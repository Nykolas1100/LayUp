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3.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D8F7A75-0ECE-456C-8262-A071B4A3C6CA}" xr6:coauthVersionLast="45" xr6:coauthVersionMax="45" xr10:uidLastSave="{00000000-0000-0000-0000-000000000000}"/>
  <bookViews>
    <workbookView xWindow="3420" yWindow="3420" windowWidth="28800" windowHeight="15460" tabRatio="724"/>
  </bookViews>
  <sheets>
    <sheet name="Intro" sheetId="6" r:id="rId1"/>
    <sheet name="Exh. 3 Value of Unprotected Bid" sheetId="1" r:id="rId2"/>
    <sheet name="Exh. 4-5 Fixed Exchange Ratio" sheetId="4" r:id="rId3"/>
    <sheet name="Fig. 6-7 Fixed Value" sheetId="2" r:id="rId4"/>
    <sheet name="Collar valuation model" sheetId="5" r:id="rId5"/>
  </sheets>
  <definedNames>
    <definedName name="_xlnm.Print_Area" localSheetId="3">'Fig. 6-7 Fixed Value'!$B$1:$M$40</definedName>
  </definedNames>
  <calcPr calcId="191029" iterate="1" iterateCount="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0" i="5" l="1"/>
  <c r="F30" i="5" s="1"/>
  <c r="F15" i="5"/>
  <c r="F19" i="5"/>
  <c r="F31" i="5"/>
  <c r="F27" i="5" s="1"/>
  <c r="F34" i="5"/>
  <c r="F35" i="5"/>
  <c r="G7" i="1"/>
  <c r="D10" i="1"/>
  <c r="F7" i="4"/>
  <c r="I7" i="4"/>
  <c r="G7" i="4" s="1"/>
  <c r="H7" i="4" s="1"/>
  <c r="J7" i="4"/>
  <c r="K7" i="4"/>
  <c r="L7" i="4"/>
  <c r="M7" i="4"/>
  <c r="F8" i="4"/>
  <c r="I8" i="4"/>
  <c r="G8" i="4" s="1"/>
  <c r="J8" i="4"/>
  <c r="K8" i="4"/>
  <c r="L8" i="4"/>
  <c r="M8" i="4"/>
  <c r="F9" i="4"/>
  <c r="I9" i="4"/>
  <c r="G9" i="4" s="1"/>
  <c r="H9" i="4" s="1"/>
  <c r="J9" i="4"/>
  <c r="K9" i="4"/>
  <c r="L9" i="4"/>
  <c r="M9" i="4"/>
  <c r="F10" i="4"/>
  <c r="I10" i="4"/>
  <c r="G10" i="4" s="1"/>
  <c r="H10" i="4" s="1"/>
  <c r="J10" i="4"/>
  <c r="K10" i="4"/>
  <c r="L10" i="4"/>
  <c r="M10" i="4"/>
  <c r="F11" i="4"/>
  <c r="I11" i="4"/>
  <c r="G11" i="4" s="1"/>
  <c r="H11" i="4" s="1"/>
  <c r="J11" i="4"/>
  <c r="K11" i="4"/>
  <c r="M11" i="4"/>
  <c r="F12" i="4"/>
  <c r="I12" i="4"/>
  <c r="G12" i="4" s="1"/>
  <c r="H12" i="4" s="1"/>
  <c r="J12" i="4"/>
  <c r="K12" i="4"/>
  <c r="L12" i="4"/>
  <c r="M12" i="4"/>
  <c r="F13" i="4"/>
  <c r="I13" i="4"/>
  <c r="J13" i="4"/>
  <c r="G13" i="4" s="1"/>
  <c r="K13" i="4"/>
  <c r="L13" i="4"/>
  <c r="M13" i="4"/>
  <c r="F14" i="4"/>
  <c r="I14" i="4"/>
  <c r="G14" i="4" s="1"/>
  <c r="H14" i="4" s="1"/>
  <c r="J14" i="4"/>
  <c r="K14" i="4"/>
  <c r="L14" i="4"/>
  <c r="M14" i="4"/>
  <c r="F15" i="4"/>
  <c r="I15" i="4"/>
  <c r="G15" i="4" s="1"/>
  <c r="H15" i="4" s="1"/>
  <c r="J15" i="4"/>
  <c r="K15" i="4"/>
  <c r="L15" i="4"/>
  <c r="M15" i="4"/>
  <c r="G6" i="2"/>
  <c r="J6" i="2"/>
  <c r="H6" i="2" s="1"/>
  <c r="K6" i="2"/>
  <c r="L6" i="2"/>
  <c r="M6" i="2"/>
  <c r="N6" i="2"/>
  <c r="O6" i="2"/>
  <c r="P6" i="2"/>
  <c r="G7" i="2"/>
  <c r="J7" i="2"/>
  <c r="H7" i="2" s="1"/>
  <c r="I7" i="2" s="1"/>
  <c r="K7" i="2"/>
  <c r="L7" i="2"/>
  <c r="M7" i="2"/>
  <c r="O7" i="2" s="1"/>
  <c r="P7" i="2" s="1"/>
  <c r="N7" i="2"/>
  <c r="G8" i="2"/>
  <c r="J8" i="2"/>
  <c r="H8" i="2" s="1"/>
  <c r="K8" i="2"/>
  <c r="L8" i="2"/>
  <c r="M8" i="2"/>
  <c r="N8" i="2"/>
  <c r="O8" i="2"/>
  <c r="P8" i="2" s="1"/>
  <c r="G9" i="2"/>
  <c r="J9" i="2"/>
  <c r="H9" i="2" s="1"/>
  <c r="I9" i="2" s="1"/>
  <c r="K9" i="2"/>
  <c r="L9" i="2"/>
  <c r="M9" i="2"/>
  <c r="O9" i="2" s="1"/>
  <c r="P9" i="2" s="1"/>
  <c r="N9" i="2"/>
  <c r="G10" i="2"/>
  <c r="J10" i="2"/>
  <c r="H10" i="2" s="1"/>
  <c r="K10" i="2"/>
  <c r="L10" i="2"/>
  <c r="M10" i="2"/>
  <c r="N10" i="2"/>
  <c r="O10" i="2"/>
  <c r="P10" i="2" s="1"/>
  <c r="G11" i="2"/>
  <c r="J11" i="2"/>
  <c r="H11" i="2" s="1"/>
  <c r="I11" i="2" s="1"/>
  <c r="K11" i="2"/>
  <c r="L11" i="2"/>
  <c r="M11" i="2"/>
  <c r="O11" i="2" s="1"/>
  <c r="P11" i="2" s="1"/>
  <c r="N11" i="2"/>
  <c r="G12" i="2"/>
  <c r="J12" i="2"/>
  <c r="H12" i="2" s="1"/>
  <c r="K12" i="2"/>
  <c r="L12" i="2"/>
  <c r="M12" i="2"/>
  <c r="N12" i="2"/>
  <c r="O12" i="2"/>
  <c r="P12" i="2"/>
  <c r="G13" i="2"/>
  <c r="J13" i="2"/>
  <c r="H13" i="2" s="1"/>
  <c r="I13" i="2" s="1"/>
  <c r="K13" i="2"/>
  <c r="L13" i="2"/>
  <c r="N13" i="2" s="1"/>
  <c r="M13" i="2"/>
  <c r="O13" i="2" s="1"/>
  <c r="P13" i="2" s="1"/>
  <c r="F23" i="5" l="1"/>
  <c r="F37" i="5" s="1"/>
  <c r="I8" i="2"/>
  <c r="H8" i="4"/>
  <c r="I10" i="2"/>
  <c r="H13" i="4"/>
  <c r="I12" i="2"/>
  <c r="I6" i="2"/>
</calcChain>
</file>

<file path=xl/sharedStrings.xml><?xml version="1.0" encoding="utf-8"?>
<sst xmlns="http://schemas.openxmlformats.org/spreadsheetml/2006/main" count="98" uniqueCount="63">
  <si>
    <t>Value Offered per share</t>
  </si>
  <si>
    <t>Buyer´s stock price</t>
  </si>
  <si>
    <t>Buyer´s Stock Price</t>
  </si>
  <si>
    <t>Value of</t>
  </si>
  <si>
    <t>Collar</t>
  </si>
  <si>
    <t>Stock</t>
  </si>
  <si>
    <t>Price</t>
  </si>
  <si>
    <t>Ratio</t>
  </si>
  <si>
    <t>Exchange</t>
  </si>
  <si>
    <t>Assumptions</t>
  </si>
  <si>
    <t>Base-Case Exchange Ratio</t>
  </si>
  <si>
    <t>Without Collar</t>
  </si>
  <si>
    <t>With Collar</t>
  </si>
  <si>
    <t>Value of Bid</t>
  </si>
  <si>
    <t>Payoff on</t>
  </si>
  <si>
    <t>Stock Collar</t>
  </si>
  <si>
    <t>With Stock Collar</t>
  </si>
  <si>
    <t>Buyer's</t>
  </si>
  <si>
    <t>Collar upper strike</t>
  </si>
  <si>
    <t>Collar lower strike</t>
  </si>
  <si>
    <t>Exch. Ratio above upper strike</t>
  </si>
  <si>
    <t>Exch Ratio below lower strike</t>
  </si>
  <si>
    <t>Upper Strike</t>
  </si>
  <si>
    <t>Lower Strike</t>
  </si>
  <si>
    <t>Number of Buyer Shares Issued Per Target Share</t>
  </si>
  <si>
    <t>"Fixed" Exchange Ratio</t>
  </si>
  <si>
    <t>Life of the collar:</t>
  </si>
  <si>
    <t>Expected days</t>
  </si>
  <si>
    <t>Maximum days</t>
  </si>
  <si>
    <t>Minimum days</t>
  </si>
  <si>
    <r>
      <t>Annualized v</t>
    </r>
    <r>
      <rPr>
        <sz val="10"/>
        <rFont val="Arial"/>
      </rPr>
      <t>olatility of buyer's share price:</t>
    </r>
  </si>
  <si>
    <t>Buyer's share price today:</t>
  </si>
  <si>
    <t>Structure of the collar:</t>
  </si>
  <si>
    <t>If one component is a long call:</t>
  </si>
  <si>
    <t>If one component is a short call:</t>
  </si>
  <si>
    <t>If one component is a long put:</t>
  </si>
  <si>
    <t>Strike price:</t>
  </si>
  <si>
    <t>If one component is a short put:</t>
  </si>
  <si>
    <t>Payoff formula (text):</t>
  </si>
  <si>
    <t xml:space="preserve">Payoff calculated: </t>
  </si>
  <si>
    <t>Maximum of (strike price minus stock price) or zero</t>
  </si>
  <si>
    <t>Zero minus the maximum of (strike price minus stock price) or zero</t>
  </si>
  <si>
    <t>Maximum of (stock price minus strike price) or zero</t>
  </si>
  <si>
    <t>Zero minus the maximum of (stock price minus strike price) or zero</t>
  </si>
  <si>
    <t>Forecast of buyer's share price at closing of deal:</t>
  </si>
  <si>
    <t>Forecast of life of collar:</t>
  </si>
  <si>
    <t>Calculated value of the collar (sum of four payoffs):</t>
  </si>
  <si>
    <r>
      <t xml:space="preserve">Explanatory note:  This model uses Monte Carlo simulation with the add-in software, @Risk!, to estimate the value of a collar.  It supposes that any collar is composed of at least two, and at most four, embedded options (either a long call, short call, long put, or short put).  To use this model, please insert assumptions in the cells indicated by </t>
    </r>
    <r>
      <rPr>
        <sz val="10"/>
        <color indexed="12"/>
        <rFont val="Arial"/>
        <family val="2"/>
      </rPr>
      <t>blue</t>
    </r>
    <r>
      <rPr>
        <sz val="10"/>
        <rFont val="Arial"/>
      </rPr>
      <t xml:space="preserve"> lettering.  Key simulation results are indicated by </t>
    </r>
    <r>
      <rPr>
        <sz val="10"/>
        <color indexed="10"/>
        <rFont val="Arial"/>
        <family val="2"/>
      </rPr>
      <t>red</t>
    </r>
    <r>
      <rPr>
        <sz val="10"/>
        <rFont val="Arial"/>
      </rPr>
      <t xml:space="preserve"> lettering.  Also, check that the calculations in cells F17, F21, F25, and F29, correspond exactly to the collar you are valuing.  Then invoke the simulation software, run it, and interpret the results.</t>
    </r>
  </si>
  <si>
    <t>Important note:  this calculation is from the standpoint of the target firm's shareholder.</t>
  </si>
  <si>
    <t>Collar valuation model</t>
  </si>
  <si>
    <t>Copyright © 2001 by Robert F. Bruner and the Trustees of the University of Virginia Darden School Foundation.</t>
  </si>
  <si>
    <t>Risk-free rate of return today</t>
  </si>
  <si>
    <r>
      <t xml:space="preserve">Annualized </t>
    </r>
    <r>
      <rPr>
        <sz val="10"/>
        <rFont val="Arial"/>
        <family val="2"/>
      </rPr>
      <t>volatility of risk-free rate of return</t>
    </r>
  </si>
  <si>
    <t>Standard deviation of buyer's share price over the expected life</t>
  </si>
  <si>
    <t>Forecast of risk-free rate of return:</t>
  </si>
  <si>
    <t>Standard deviation of annualized risk-free rate of return</t>
  </si>
  <si>
    <t>"Fixed" Value per Target Share</t>
  </si>
  <si>
    <r>
      <t xml:space="preserve">This worksheet permits visual modeling of </t>
    </r>
    <r>
      <rPr>
        <b/>
        <sz val="10"/>
        <rFont val="Arial"/>
        <family val="2"/>
      </rPr>
      <t xml:space="preserve">Fixed Value deals and their collars.  </t>
    </r>
    <r>
      <rPr>
        <sz val="10"/>
        <rFont val="Arial"/>
        <family val="2"/>
      </rPr>
      <t xml:space="preserve">Insert assumptions into the </t>
    </r>
    <r>
      <rPr>
        <sz val="10"/>
        <color indexed="12"/>
        <rFont val="Arial"/>
        <family val="2"/>
      </rPr>
      <t>blue cells</t>
    </r>
    <r>
      <rPr>
        <sz val="10"/>
        <color indexed="8"/>
        <rFont val="Arial"/>
        <family val="2"/>
      </rPr>
      <t xml:space="preserve"> to observe results.</t>
    </r>
  </si>
  <si>
    <r>
      <t xml:space="preserve">This worksheet permits visual modeling of </t>
    </r>
    <r>
      <rPr>
        <b/>
        <sz val="10"/>
        <rFont val="Arial"/>
        <family val="2"/>
      </rPr>
      <t xml:space="preserve">Fixed Exchange Ratio deals and their collars.  </t>
    </r>
    <r>
      <rPr>
        <sz val="10"/>
        <rFont val="Arial"/>
        <family val="2"/>
      </rPr>
      <t xml:space="preserve">Insert assumptions into the </t>
    </r>
    <r>
      <rPr>
        <sz val="10"/>
        <color indexed="12"/>
        <rFont val="Arial"/>
        <family val="2"/>
      </rPr>
      <t>blue cells</t>
    </r>
    <r>
      <rPr>
        <sz val="10"/>
        <color indexed="8"/>
        <rFont val="Arial"/>
        <family val="2"/>
      </rPr>
      <t xml:space="preserve"> to observe results.</t>
    </r>
  </si>
  <si>
    <r>
      <t xml:space="preserve">This spreadsheet graphs the value of the bid to target shareholders under various exchange ratio assumptions.  To use the model, please enter values into the </t>
    </r>
    <r>
      <rPr>
        <sz val="10"/>
        <color indexed="12"/>
        <rFont val="Arial"/>
        <family val="2"/>
      </rPr>
      <t>blue cells.</t>
    </r>
  </si>
  <si>
    <t xml:space="preserve">Collars analysis v. 3.1.xls </t>
  </si>
  <si>
    <t>Revised May 22, 2001</t>
  </si>
  <si>
    <r>
      <t xml:space="preserve">This model supports reader analysis and valuation of collars used in merger and acquisition transactions.  Three worksheets </t>
    </r>
    <r>
      <rPr>
        <sz val="10"/>
        <color indexed="8"/>
        <rFont val="Arial"/>
        <family val="2"/>
      </rPr>
      <t xml:space="preserve">permit visual analysis of collar structures on the value and number of shares paid to target shareholders.  Exhibit 4  gives a table illustrating the results of this example, the total shares issued by the buyer, and total consideration paid.  Exhibit 5 gives graphs of the value and shares paid for the stock portion alone (Figures 5a and 5b), the collar alone (Figures 5c and 5d), and  the combination of stock and the collar (Figures 5e and 5f).    The </t>
    </r>
    <r>
      <rPr>
        <b/>
        <sz val="10"/>
        <color indexed="8"/>
        <rFont val="Arial"/>
        <family val="2"/>
      </rPr>
      <t>collar valuation model</t>
    </r>
    <r>
      <rPr>
        <sz val="10"/>
        <color indexed="8"/>
        <rFont val="Arial"/>
        <family val="2"/>
      </rPr>
      <t xml:space="preserve"> must be invoked with @Risk! simulation software, or comparable software.  To use the worksheets, enter values for the assumptions indicated in </t>
    </r>
    <r>
      <rPr>
        <sz val="10"/>
        <color indexed="12"/>
        <rFont val="Arial"/>
        <family val="2"/>
      </rPr>
      <t>blue</t>
    </r>
    <r>
      <rPr>
        <sz val="10"/>
        <color indexed="8"/>
        <rFont val="Arial"/>
        <family val="2"/>
      </rPr>
      <t>.  Please see the chapter, "Risk Management in Mergers and Acquisitions" by Robert Bruner (</t>
    </r>
    <r>
      <rPr>
        <i/>
        <sz val="10"/>
        <color indexed="8"/>
        <rFont val="Arial"/>
        <family val="2"/>
      </rPr>
      <t>Applied Mergers and Acquisitions</t>
    </r>
    <r>
      <rPr>
        <sz val="10"/>
        <color indexed="8"/>
        <rFont val="Arial"/>
        <family val="2"/>
      </rPr>
      <t>) for a discussion of this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</si>
</sst>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6" formatCode="&quot;$&quot;#,##0.00_);\(&quot;$&quot;#,##0.00\)"/>
    <numFmt numFmtId="170" formatCode="_(&quot;$&quot;* #,##0.00_);_(&quot;$&quot;* \(#,##0.00\);_(&quot;$&quot;* &quot;-&quot;??_);_(@_)"/>
    <numFmt numFmtId="171" formatCode="_(* #,##0.00_);_(* \(#,##0.00\);_(* &quot;-&quot;??_);_(@_)"/>
    <numFmt numFmtId="172" formatCode="_;;;"/>
    <numFmt numFmtId="179" formatCode="0.0%"/>
  </numFmts>
  <fonts count="15" x14ac:knownFonts="1">
    <font>
      <sz val="10"/>
      <name val="Arial"/>
    </font>
    <font>
      <sz val="10"/>
      <name val="Arial"/>
    </font>
    <font>
      <b/>
      <sz val="10"/>
      <name val="Arial"/>
      <family val="2"/>
    </font>
    <font>
      <sz val="10"/>
      <color indexed="10"/>
      <name val="Arial"/>
      <family val="2"/>
    </font>
    <font>
      <b/>
      <u/>
      <sz val="10"/>
      <name val="Arial"/>
      <family val="2"/>
    </font>
    <font>
      <sz val="10"/>
      <name val="Arial"/>
      <family val="2"/>
    </font>
    <font>
      <b/>
      <u val="singleAccounting"/>
      <sz val="10"/>
      <name val="Arial"/>
      <family val="2"/>
    </font>
    <font>
      <sz val="10"/>
      <color indexed="12"/>
      <name val="Arial"/>
      <family val="2"/>
    </font>
    <font>
      <sz val="10"/>
      <color indexed="8"/>
      <name val="Arial"/>
      <family val="2"/>
    </font>
    <font>
      <i/>
      <sz val="10"/>
      <name val="Arial"/>
      <family val="2"/>
    </font>
    <font>
      <i/>
      <u/>
      <sz val="10"/>
      <name val="Arial"/>
      <family val="2"/>
    </font>
    <font>
      <i/>
      <sz val="10"/>
      <color indexed="8"/>
      <name val="Arial"/>
      <family val="2"/>
    </font>
    <font>
      <b/>
      <sz val="10"/>
      <color indexed="8"/>
      <name val="Arial"/>
      <family val="2"/>
    </font>
    <font>
      <b/>
      <sz val="10"/>
      <color indexed="12"/>
      <name val="Arial"/>
      <family val="2"/>
    </font>
    <font>
      <b/>
      <u/>
      <sz val="10"/>
      <color indexed="12"/>
      <name val="Arial"/>
      <family val="2"/>
    </font>
  </fonts>
  <fills count="3">
    <fill>
      <patternFill patternType="none"/>
    </fill>
    <fill>
      <patternFill patternType="gray125"/>
    </fill>
    <fill>
      <patternFill patternType="solid">
        <fgColor indexed="44"/>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4">
    <xf numFmtId="0" fontId="0" fillId="0" borderId="0"/>
    <xf numFmtId="171" fontId="1" fillId="0" borderId="0" applyFont="0" applyFill="0" applyBorder="0" applyAlignment="0" applyProtection="0"/>
    <xf numFmtId="170" fontId="1" fillId="0" borderId="0" applyFont="0" applyFill="0" applyBorder="0" applyAlignment="0" applyProtection="0"/>
    <xf numFmtId="9" fontId="1" fillId="0" borderId="0" applyFont="0" applyFill="0" applyBorder="0" applyAlignment="0" applyProtection="0"/>
  </cellStyleXfs>
  <cellXfs count="46">
    <xf numFmtId="0" fontId="0" fillId="0" borderId="0" xfId="0"/>
    <xf numFmtId="170" fontId="0" fillId="0" borderId="0" xfId="2" applyFont="1"/>
    <xf numFmtId="170" fontId="0" fillId="0" borderId="0" xfId="0" applyNumberFormat="1"/>
    <xf numFmtId="2" fontId="2" fillId="0" borderId="0" xfId="0" applyNumberFormat="1" applyFont="1"/>
    <xf numFmtId="0" fontId="2" fillId="0" borderId="0" xfId="0" applyFont="1" applyAlignment="1">
      <alignment horizontal="right"/>
    </xf>
    <xf numFmtId="0" fontId="2" fillId="0" borderId="0" xfId="0" applyFont="1"/>
    <xf numFmtId="172" fontId="0" fillId="0" borderId="0" xfId="0" applyNumberFormat="1"/>
    <xf numFmtId="170" fontId="5" fillId="0" borderId="0" xfId="2" applyFont="1"/>
    <xf numFmtId="0" fontId="2" fillId="0" borderId="0" xfId="0" applyFont="1" applyAlignment="1">
      <alignment horizontal="center"/>
    </xf>
    <xf numFmtId="170" fontId="4" fillId="0" borderId="0" xfId="2" applyFont="1" applyAlignment="1">
      <alignment horizontal="center"/>
    </xf>
    <xf numFmtId="0" fontId="4" fillId="0" borderId="0" xfId="0" applyFont="1" applyAlignment="1">
      <alignment horizontal="center"/>
    </xf>
    <xf numFmtId="2" fontId="4" fillId="0" borderId="0" xfId="0" applyNumberFormat="1" applyFont="1" applyAlignment="1">
      <alignment horizontal="center"/>
    </xf>
    <xf numFmtId="166" fontId="0" fillId="0" borderId="0" xfId="2" applyNumberFormat="1" applyFont="1"/>
    <xf numFmtId="0" fontId="4" fillId="0" borderId="0" xfId="0" applyFont="1"/>
    <xf numFmtId="170" fontId="6" fillId="0" borderId="0" xfId="2" applyFont="1"/>
    <xf numFmtId="0" fontId="0" fillId="0" borderId="0" xfId="0" applyAlignment="1">
      <alignment horizontal="center"/>
    </xf>
    <xf numFmtId="170" fontId="6" fillId="0" borderId="0" xfId="2" applyFont="1" applyAlignment="1">
      <alignment horizontal="center"/>
    </xf>
    <xf numFmtId="0" fontId="6" fillId="0" borderId="0" xfId="0" applyFont="1" applyAlignment="1">
      <alignment horizontal="center"/>
    </xf>
    <xf numFmtId="2" fontId="5" fillId="0" borderId="0" xfId="0" applyNumberFormat="1" applyFont="1" applyAlignment="1">
      <alignment horizontal="center"/>
    </xf>
    <xf numFmtId="170" fontId="5" fillId="0" borderId="0" xfId="2" applyFont="1" applyAlignment="1">
      <alignment horizontal="center"/>
    </xf>
    <xf numFmtId="171" fontId="5" fillId="0" borderId="0" xfId="1" applyNumberFormat="1" applyFont="1" applyAlignment="1">
      <alignment horizontal="center"/>
    </xf>
    <xf numFmtId="171" fontId="5" fillId="0" borderId="0" xfId="0" applyNumberFormat="1" applyFont="1" applyAlignment="1">
      <alignment horizontal="center"/>
    </xf>
    <xf numFmtId="9" fontId="7" fillId="0" borderId="0" xfId="3" applyFont="1"/>
    <xf numFmtId="0" fontId="9" fillId="0" borderId="0" xfId="0" applyFont="1"/>
    <xf numFmtId="9" fontId="0" fillId="0" borderId="0" xfId="3" applyFont="1"/>
    <xf numFmtId="0" fontId="10" fillId="0" borderId="0" xfId="0" applyFont="1"/>
    <xf numFmtId="0" fontId="0" fillId="0" borderId="0" xfId="0" applyNumberFormat="1"/>
    <xf numFmtId="0" fontId="7" fillId="0" borderId="0" xfId="0" applyFont="1"/>
    <xf numFmtId="0" fontId="3" fillId="0" borderId="0" xfId="0" applyFont="1"/>
    <xf numFmtId="170" fontId="7" fillId="0" borderId="0" xfId="2" applyFont="1"/>
    <xf numFmtId="179" fontId="0" fillId="0" borderId="0" xfId="3" applyNumberFormat="1" applyFont="1"/>
    <xf numFmtId="2" fontId="0" fillId="0" borderId="0" xfId="0" applyNumberFormat="1"/>
    <xf numFmtId="171" fontId="7" fillId="0" borderId="0" xfId="1" applyFont="1"/>
    <xf numFmtId="0" fontId="12" fillId="0" borderId="0" xfId="0" applyFont="1"/>
    <xf numFmtId="170" fontId="13" fillId="0" borderId="0" xfId="2" applyFont="1" applyAlignment="1">
      <alignment horizontal="center"/>
    </xf>
    <xf numFmtId="2" fontId="13" fillId="0" borderId="0" xfId="0" applyNumberFormat="1" applyFont="1"/>
    <xf numFmtId="170" fontId="7" fillId="0" borderId="0" xfId="0" applyNumberFormat="1" applyFont="1"/>
    <xf numFmtId="166" fontId="14" fillId="0" borderId="0" xfId="2" applyNumberFormat="1" applyFont="1"/>
    <xf numFmtId="170" fontId="14" fillId="0" borderId="0" xfId="2" applyFont="1"/>
    <xf numFmtId="0" fontId="8" fillId="2" borderId="1" xfId="0" applyFont="1" applyFill="1" applyBorder="1" applyAlignment="1">
      <alignment horizontal="left" wrapText="1"/>
    </xf>
    <xf numFmtId="0" fontId="8" fillId="2" borderId="2" xfId="0" applyFont="1" applyFill="1" applyBorder="1" applyAlignment="1">
      <alignment horizontal="left" wrapText="1"/>
    </xf>
    <xf numFmtId="0" fontId="8" fillId="2" borderId="3" xfId="0" applyFont="1" applyFill="1" applyBorder="1" applyAlignment="1">
      <alignment horizontal="left" wrapText="1"/>
    </xf>
    <xf numFmtId="0" fontId="4" fillId="0" borderId="0" xfId="0" applyFont="1" applyAlignment="1">
      <alignment horizontal="center"/>
    </xf>
    <xf numFmtId="0" fontId="0" fillId="0" borderId="4"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How the Value of the Bid Varies with Buyer´s Stock Price</a:t>
            </a:r>
          </a:p>
        </c:rich>
      </c:tx>
      <c:layout>
        <c:manualLayout>
          <c:xMode val="edge"/>
          <c:yMode val="edge"/>
          <c:x val="0.15714806398789022"/>
          <c:y val="3.422170772485613E-2"/>
        </c:manualLayout>
      </c:layout>
      <c:overlay val="0"/>
      <c:spPr>
        <a:noFill/>
        <a:ln w="25400">
          <a:noFill/>
        </a:ln>
      </c:spPr>
    </c:title>
    <c:autoTitleDeleted val="0"/>
    <c:plotArea>
      <c:layout>
        <c:manualLayout>
          <c:layoutTarget val="inner"/>
          <c:xMode val="edge"/>
          <c:yMode val="edge"/>
          <c:x val="0.23810312725437913"/>
          <c:y val="0.24335436604342139"/>
          <c:w val="0.49049244214402099"/>
          <c:h val="0.54564611761298387"/>
        </c:manualLayout>
      </c:layout>
      <c:lineChart>
        <c:grouping val="standard"/>
        <c:varyColors val="0"/>
        <c:ser>
          <c:idx val="1"/>
          <c:order val="0"/>
          <c:tx>
            <c:v>ER=0.5</c:v>
          </c:tx>
          <c:spPr>
            <a:ln w="12700">
              <a:solidFill>
                <a:srgbClr val="000000"/>
              </a:solidFill>
              <a:prstDash val="solid"/>
            </a:ln>
          </c:spPr>
          <c:marker>
            <c:symbol val="triangle"/>
            <c:size val="7"/>
            <c:spPr>
              <a:solidFill>
                <a:srgbClr val="000000"/>
              </a:solidFill>
              <a:ln>
                <a:solidFill>
                  <a:srgbClr val="000000"/>
                </a:solidFill>
                <a:prstDash val="solid"/>
              </a:ln>
            </c:spPr>
          </c:marker>
          <c:cat>
            <c:numRef>
              <c:f>'Exh. 3 Value of Unprotected Bid'!$E$10:$I$10</c:f>
              <c:numCache>
                <c:formatCode>_("$"* #,##0.00_);_("$"* \(#,##0.00\);_("$"* "-"??_);_(@_)</c:formatCode>
                <c:ptCount val="5"/>
                <c:pt idx="0" formatCode="&quot;$&quot;#,##0.00_);\(&quot;$&quot;#,##0.00\)">
                  <c:v>0</c:v>
                </c:pt>
                <c:pt idx="1">
                  <c:v>25</c:v>
                </c:pt>
                <c:pt idx="2">
                  <c:v>50</c:v>
                </c:pt>
                <c:pt idx="3">
                  <c:v>75</c:v>
                </c:pt>
                <c:pt idx="4">
                  <c:v>100</c:v>
                </c:pt>
              </c:numCache>
            </c:numRef>
          </c:cat>
          <c:val>
            <c:numRef>
              <c:f>'Exh. 3 Value of Unprotected Bid'!$E$11:$I$11</c:f>
              <c:numCache>
                <c:formatCode>_("$"* #,##0.00_);_("$"* \(#,##0.00\);_("$"* "-"??_);_(@_)</c:formatCode>
                <c:ptCount val="5"/>
                <c:pt idx="0" formatCode="&quot;$&quot;#,##0.00_);\(&quot;$&quot;#,##0.00\)">
                  <c:v>0</c:v>
                </c:pt>
                <c:pt idx="1">
                  <c:v>12.5</c:v>
                </c:pt>
                <c:pt idx="2">
                  <c:v>25</c:v>
                </c:pt>
                <c:pt idx="3">
                  <c:v>37.5</c:v>
                </c:pt>
                <c:pt idx="4">
                  <c:v>50</c:v>
                </c:pt>
              </c:numCache>
            </c:numRef>
          </c:val>
          <c:smooth val="0"/>
          <c:extLst>
            <c:ext xmlns:c16="http://schemas.microsoft.com/office/drawing/2014/chart" uri="{C3380CC4-5D6E-409C-BE32-E72D297353CC}">
              <c16:uniqueId val="{00000000-B50D-480B-9219-72E56D2ED4B5}"/>
            </c:ext>
          </c:extLst>
        </c:ser>
        <c:ser>
          <c:idx val="2"/>
          <c:order val="1"/>
          <c:tx>
            <c:v>ER=1.0</c:v>
          </c:tx>
          <c:spPr>
            <a:ln w="12700">
              <a:solidFill>
                <a:srgbClr val="000000"/>
              </a:solidFill>
              <a:prstDash val="solid"/>
            </a:ln>
          </c:spPr>
          <c:marker>
            <c:symbol val="diamond"/>
            <c:size val="7"/>
            <c:spPr>
              <a:solidFill>
                <a:srgbClr val="000000"/>
              </a:solidFill>
              <a:ln>
                <a:solidFill>
                  <a:srgbClr val="000000"/>
                </a:solidFill>
                <a:prstDash val="solid"/>
              </a:ln>
            </c:spPr>
          </c:marker>
          <c:cat>
            <c:numRef>
              <c:f>'Exh. 3 Value of Unprotected Bid'!$E$10:$I$10</c:f>
              <c:numCache>
                <c:formatCode>_("$"* #,##0.00_);_("$"* \(#,##0.00\);_("$"* "-"??_);_(@_)</c:formatCode>
                <c:ptCount val="5"/>
                <c:pt idx="0" formatCode="&quot;$&quot;#,##0.00_);\(&quot;$&quot;#,##0.00\)">
                  <c:v>0</c:v>
                </c:pt>
                <c:pt idx="1">
                  <c:v>25</c:v>
                </c:pt>
                <c:pt idx="2">
                  <c:v>50</c:v>
                </c:pt>
                <c:pt idx="3">
                  <c:v>75</c:v>
                </c:pt>
                <c:pt idx="4">
                  <c:v>100</c:v>
                </c:pt>
              </c:numCache>
            </c:numRef>
          </c:cat>
          <c:val>
            <c:numRef>
              <c:f>'Exh. 3 Value of Unprotected Bid'!$E$12:$I$12</c:f>
              <c:numCache>
                <c:formatCode>_("$"* #,##0.00_);_("$"* \(#,##0.00\);_("$"* "-"??_);_(@_)</c:formatCode>
                <c:ptCount val="5"/>
                <c:pt idx="0" formatCode="&quot;$&quot;#,##0.00_);\(&quot;$&quot;#,##0.00\)">
                  <c:v>0</c:v>
                </c:pt>
                <c:pt idx="1">
                  <c:v>25</c:v>
                </c:pt>
                <c:pt idx="2">
                  <c:v>50</c:v>
                </c:pt>
                <c:pt idx="3">
                  <c:v>75</c:v>
                </c:pt>
                <c:pt idx="4">
                  <c:v>100</c:v>
                </c:pt>
              </c:numCache>
            </c:numRef>
          </c:val>
          <c:smooth val="0"/>
          <c:extLst>
            <c:ext xmlns:c16="http://schemas.microsoft.com/office/drawing/2014/chart" uri="{C3380CC4-5D6E-409C-BE32-E72D297353CC}">
              <c16:uniqueId val="{00000001-B50D-480B-9219-72E56D2ED4B5}"/>
            </c:ext>
          </c:extLst>
        </c:ser>
        <c:ser>
          <c:idx val="3"/>
          <c:order val="2"/>
          <c:tx>
            <c:v>ER=1.5</c:v>
          </c:tx>
          <c:spPr>
            <a:ln w="12700">
              <a:solidFill>
                <a:srgbClr val="000000"/>
              </a:solidFill>
              <a:prstDash val="solid"/>
            </a:ln>
          </c:spPr>
          <c:marker>
            <c:symbol val="square"/>
            <c:size val="7"/>
            <c:spPr>
              <a:solidFill>
                <a:srgbClr val="000000"/>
              </a:solidFill>
              <a:ln>
                <a:solidFill>
                  <a:srgbClr val="000000"/>
                </a:solidFill>
                <a:prstDash val="solid"/>
              </a:ln>
            </c:spPr>
          </c:marker>
          <c:cat>
            <c:numRef>
              <c:f>'Exh. 3 Value of Unprotected Bid'!$E$10:$I$10</c:f>
              <c:numCache>
                <c:formatCode>_("$"* #,##0.00_);_("$"* \(#,##0.00\);_("$"* "-"??_);_(@_)</c:formatCode>
                <c:ptCount val="5"/>
                <c:pt idx="0" formatCode="&quot;$&quot;#,##0.00_);\(&quot;$&quot;#,##0.00\)">
                  <c:v>0</c:v>
                </c:pt>
                <c:pt idx="1">
                  <c:v>25</c:v>
                </c:pt>
                <c:pt idx="2">
                  <c:v>50</c:v>
                </c:pt>
                <c:pt idx="3">
                  <c:v>75</c:v>
                </c:pt>
                <c:pt idx="4">
                  <c:v>100</c:v>
                </c:pt>
              </c:numCache>
            </c:numRef>
          </c:cat>
          <c:val>
            <c:numRef>
              <c:f>'Exh. 3 Value of Unprotected Bid'!$E$13:$I$13</c:f>
              <c:numCache>
                <c:formatCode>_("$"* #,##0.00_);_("$"* \(#,##0.00\);_("$"* "-"??_);_(@_)</c:formatCode>
                <c:ptCount val="5"/>
                <c:pt idx="0" formatCode="&quot;$&quot;#,##0.00_);\(&quot;$&quot;#,##0.00\)">
                  <c:v>0</c:v>
                </c:pt>
                <c:pt idx="1">
                  <c:v>37.5</c:v>
                </c:pt>
                <c:pt idx="2">
                  <c:v>75</c:v>
                </c:pt>
                <c:pt idx="3">
                  <c:v>112.5</c:v>
                </c:pt>
                <c:pt idx="4">
                  <c:v>150</c:v>
                </c:pt>
              </c:numCache>
            </c:numRef>
          </c:val>
          <c:smooth val="0"/>
          <c:extLst>
            <c:ext xmlns:c16="http://schemas.microsoft.com/office/drawing/2014/chart" uri="{C3380CC4-5D6E-409C-BE32-E72D297353CC}">
              <c16:uniqueId val="{00000002-B50D-480B-9219-72E56D2ED4B5}"/>
            </c:ext>
          </c:extLst>
        </c:ser>
        <c:dLbls>
          <c:showLegendKey val="0"/>
          <c:showVal val="0"/>
          <c:showCatName val="0"/>
          <c:showSerName val="0"/>
          <c:showPercent val="0"/>
          <c:showBubbleSize val="0"/>
        </c:dLbls>
        <c:marker val="1"/>
        <c:smooth val="0"/>
        <c:axId val="885460815"/>
        <c:axId val="1"/>
      </c:lineChart>
      <c:catAx>
        <c:axId val="885460815"/>
        <c:scaling>
          <c:orientation val="minMax"/>
        </c:scaling>
        <c:delete val="0"/>
        <c:axPos val="b"/>
        <c:title>
          <c:tx>
            <c:rich>
              <a:bodyPr/>
              <a:lstStyle/>
              <a:p>
                <a:pPr>
                  <a:defRPr sz="1100" b="1" i="0" u="none" strike="noStrike" baseline="0">
                    <a:solidFill>
                      <a:srgbClr val="000000"/>
                    </a:solidFill>
                    <a:latin typeface="Arial"/>
                    <a:ea typeface="Arial"/>
                    <a:cs typeface="Arial"/>
                  </a:defRPr>
                </a:pPr>
                <a:r>
                  <a:rPr lang="en-GB"/>
                  <a:t>Buyer´s Stock Price</a:t>
                </a:r>
              </a:p>
            </c:rich>
          </c:tx>
          <c:layout>
            <c:manualLayout>
              <c:xMode val="edge"/>
              <c:yMode val="edge"/>
              <c:x val="0.31747083633917217"/>
              <c:y val="0.88786319486154519"/>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10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FFFFFF"/>
              </a:solidFill>
              <a:prstDash val="solid"/>
            </a:ln>
          </c:spPr>
        </c:majorGridlines>
        <c:title>
          <c:tx>
            <c:rich>
              <a:bodyPr/>
              <a:lstStyle/>
              <a:p>
                <a:pPr>
                  <a:defRPr sz="1100" b="1" i="0" u="none" strike="noStrike" baseline="0">
                    <a:solidFill>
                      <a:srgbClr val="000000"/>
                    </a:solidFill>
                    <a:latin typeface="Arial"/>
                    <a:ea typeface="Arial"/>
                    <a:cs typeface="Arial"/>
                  </a:defRPr>
                </a:pPr>
                <a:r>
                  <a:rPr lang="en-GB"/>
                  <a:t>Value of the Bid 
per Target Share</a:t>
                </a:r>
              </a:p>
            </c:rich>
          </c:tx>
          <c:layout>
            <c:manualLayout>
              <c:xMode val="edge"/>
              <c:yMode val="edge"/>
              <c:x val="3.4921791997308937E-2"/>
              <c:y val="0.34601948921798981"/>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885460815"/>
        <c:crosses val="autoZero"/>
        <c:crossBetween val="midCat"/>
      </c:valAx>
      <c:spPr>
        <a:solidFill>
          <a:srgbClr val="FFFFFF"/>
        </a:solidFill>
        <a:ln w="12700">
          <a:solidFill>
            <a:srgbClr val="000000"/>
          </a:solidFill>
          <a:prstDash val="solid"/>
        </a:ln>
      </c:spPr>
    </c:plotArea>
    <c:legend>
      <c:legendPos val="r"/>
      <c:layout>
        <c:manualLayout>
          <c:xMode val="edge"/>
          <c:yMode val="edge"/>
          <c:x val="0.80637592430149729"/>
          <c:y val="0.4448822004231297"/>
          <c:w val="0.17619631416824055"/>
          <c:h val="0.14449165483828144"/>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5a: Fixed Exchange Ratio Deal:</a:t>
            </a:r>
          </a:p>
          <a:p>
            <a:pPr>
              <a:defRPr sz="2025" b="1" i="0" u="none" strike="noStrike" baseline="0">
                <a:solidFill>
                  <a:srgbClr val="000000"/>
                </a:solidFill>
                <a:latin typeface="Arial"/>
                <a:ea typeface="Arial"/>
                <a:cs typeface="Arial"/>
              </a:defRPr>
            </a:pPr>
            <a:r>
              <a:rPr lang="en-GB" sz="1650" b="1" i="0" u="none" strike="noStrike" baseline="0">
                <a:solidFill>
                  <a:srgbClr val="000000"/>
                </a:solidFill>
                <a:latin typeface="Arial"/>
                <a:cs typeface="Arial"/>
              </a:rPr>
              <a:t>Value Received by Target Investor, </a:t>
            </a:r>
          </a:p>
          <a:p>
            <a:pPr>
              <a:defRPr sz="2025" b="1" i="0" u="none" strike="noStrike" baseline="0">
                <a:solidFill>
                  <a:srgbClr val="000000"/>
                </a:solidFill>
                <a:latin typeface="Arial"/>
                <a:ea typeface="Arial"/>
                <a:cs typeface="Arial"/>
              </a:defRPr>
            </a:pPr>
            <a:r>
              <a:rPr lang="en-GB" sz="1650" b="1" i="1" u="none" strike="noStrike" baseline="0">
                <a:solidFill>
                  <a:srgbClr val="000000"/>
                </a:solidFill>
                <a:latin typeface="Arial"/>
                <a:cs typeface="Arial"/>
              </a:rPr>
              <a:t>without a Collar</a:t>
            </a:r>
          </a:p>
        </c:rich>
      </c:tx>
      <c:layout>
        <c:manualLayout>
          <c:xMode val="edge"/>
          <c:yMode val="edge"/>
          <c:x val="0.15490497064669123"/>
          <c:y val="3.3168620549584041E-2"/>
        </c:manualLayout>
      </c:layout>
      <c:overlay val="0"/>
      <c:spPr>
        <a:noFill/>
        <a:ln w="25400">
          <a:noFill/>
        </a:ln>
      </c:spPr>
    </c:title>
    <c:autoTitleDeleted val="0"/>
    <c:plotArea>
      <c:layout>
        <c:manualLayout>
          <c:layoutTarget val="inner"/>
          <c:xMode val="edge"/>
          <c:yMode val="edge"/>
          <c:x val="0.29294953632503512"/>
          <c:y val="0.45606853255678054"/>
          <c:w val="0.64174916410772087"/>
          <c:h val="0.28193327467146434"/>
        </c:manualLayout>
      </c:layout>
      <c:lineChart>
        <c:grouping val="standard"/>
        <c:varyColors val="0"/>
        <c:ser>
          <c:idx val="2"/>
          <c:order val="0"/>
          <c:tx>
            <c:strRef>
              <c:f>'Exh. 4-5 Fixed Exchange Ratio'!$F$6</c:f>
              <c:strCache>
                <c:ptCount val="1"/>
                <c:pt idx="0">
                  <c:v>Without Collar</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numRef>
              <c:f>'Exh. 4-5 Fixed Exchange Ratio'!$E$7:$E$15</c:f>
              <c:numCache>
                <c:formatCode>_("$"* #,##0.00_);_("$"* \(#,##0.00\);_("$"* "-"??_);_(@_)</c:formatCode>
                <c:ptCount val="9"/>
                <c:pt idx="0">
                  <c:v>0.01</c:v>
                </c:pt>
                <c:pt idx="1">
                  <c:v>5</c:v>
                </c:pt>
                <c:pt idx="2">
                  <c:v>10</c:v>
                </c:pt>
                <c:pt idx="3">
                  <c:v>15</c:v>
                </c:pt>
                <c:pt idx="4">
                  <c:v>20</c:v>
                </c:pt>
                <c:pt idx="5">
                  <c:v>25</c:v>
                </c:pt>
                <c:pt idx="6">
                  <c:v>30</c:v>
                </c:pt>
                <c:pt idx="7">
                  <c:v>35</c:v>
                </c:pt>
                <c:pt idx="8">
                  <c:v>40</c:v>
                </c:pt>
              </c:numCache>
            </c:numRef>
          </c:cat>
          <c:val>
            <c:numRef>
              <c:f>'Exh. 4-5 Fixed Exchange Ratio'!$F$7:$F$15</c:f>
              <c:numCache>
                <c:formatCode>_("$"* #,##0.00_);_("$"* \(#,##0.00\);_("$"* "-"??_);_(@_)</c:formatCode>
                <c:ptCount val="9"/>
                <c:pt idx="0">
                  <c:v>0.01</c:v>
                </c:pt>
                <c:pt idx="1">
                  <c:v>5</c:v>
                </c:pt>
                <c:pt idx="2">
                  <c:v>10</c:v>
                </c:pt>
                <c:pt idx="3">
                  <c:v>15</c:v>
                </c:pt>
                <c:pt idx="4">
                  <c:v>20</c:v>
                </c:pt>
                <c:pt idx="5">
                  <c:v>25</c:v>
                </c:pt>
                <c:pt idx="6">
                  <c:v>30</c:v>
                </c:pt>
                <c:pt idx="7">
                  <c:v>35</c:v>
                </c:pt>
                <c:pt idx="8">
                  <c:v>40</c:v>
                </c:pt>
              </c:numCache>
            </c:numRef>
          </c:val>
          <c:smooth val="0"/>
          <c:extLst>
            <c:ext xmlns:c16="http://schemas.microsoft.com/office/drawing/2014/chart" uri="{C3380CC4-5D6E-409C-BE32-E72D297353CC}">
              <c16:uniqueId val="{00000000-2FFB-489F-A349-555193DF4BD4}"/>
            </c:ext>
          </c:extLst>
        </c:ser>
        <c:dLbls>
          <c:showLegendKey val="0"/>
          <c:showVal val="0"/>
          <c:showCatName val="0"/>
          <c:showSerName val="0"/>
          <c:showPercent val="0"/>
          <c:showBubbleSize val="0"/>
        </c:dLbls>
        <c:marker val="1"/>
        <c:smooth val="0"/>
        <c:axId val="885458815"/>
        <c:axId val="1"/>
      </c:lineChart>
      <c:catAx>
        <c:axId val="885458815"/>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3731675386650931"/>
              <c:y val="0.86735942737162264"/>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Value of Bid per Target Share</a:t>
                </a:r>
              </a:p>
            </c:rich>
          </c:tx>
          <c:layout>
            <c:manualLayout>
              <c:xMode val="edge"/>
              <c:yMode val="edge"/>
              <c:x val="2.3183056831477603E-2"/>
              <c:y val="0.42124148097971731"/>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885458815"/>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50" b="1" i="0" u="none" strike="noStrike" baseline="0">
                <a:solidFill>
                  <a:srgbClr val="000000"/>
                </a:solidFill>
                <a:latin typeface="Arial"/>
                <a:ea typeface="Arial"/>
                <a:cs typeface="Arial"/>
              </a:defRPr>
            </a:pPr>
            <a:r>
              <a:rPr lang="en-GB" sz="1850" b="1" i="0" u="none" strike="noStrike" baseline="0">
                <a:solidFill>
                  <a:srgbClr val="000000"/>
                </a:solidFill>
                <a:latin typeface="Arial"/>
                <a:cs typeface="Arial"/>
              </a:rPr>
              <a:t>Figure 5b: Fixed Exchange Ratio Deal:</a:t>
            </a:r>
          </a:p>
          <a:p>
            <a:pPr>
              <a:defRPr sz="1850" b="1" i="0" u="none" strike="noStrike" baseline="0">
                <a:solidFill>
                  <a:srgbClr val="000000"/>
                </a:solidFill>
                <a:latin typeface="Arial"/>
                <a:ea typeface="Arial"/>
                <a:cs typeface="Arial"/>
              </a:defRPr>
            </a:pPr>
            <a:r>
              <a:rPr lang="en-GB" sz="1500" b="1" i="0" u="none" strike="noStrike" baseline="0">
                <a:solidFill>
                  <a:srgbClr val="000000"/>
                </a:solidFill>
                <a:latin typeface="Arial"/>
                <a:cs typeface="Arial"/>
              </a:rPr>
              <a:t>Number of Shares Issued, </a:t>
            </a:r>
          </a:p>
          <a:p>
            <a:pPr>
              <a:defRPr sz="1850" b="1" i="0" u="none" strike="noStrike" baseline="0">
                <a:solidFill>
                  <a:srgbClr val="000000"/>
                </a:solidFill>
                <a:latin typeface="Arial"/>
                <a:ea typeface="Arial"/>
                <a:cs typeface="Arial"/>
              </a:defRPr>
            </a:pPr>
            <a:r>
              <a:rPr lang="en-GB" sz="1500" b="1" i="1" u="none" strike="noStrike" baseline="0">
                <a:solidFill>
                  <a:srgbClr val="000000"/>
                </a:solidFill>
                <a:latin typeface="Arial"/>
                <a:cs typeface="Arial"/>
              </a:rPr>
              <a:t>without a Stock Collar</a:t>
            </a:r>
          </a:p>
        </c:rich>
      </c:tx>
      <c:layout>
        <c:manualLayout>
          <c:xMode val="edge"/>
          <c:yMode val="edge"/>
          <c:x val="0.1557894267298203"/>
          <c:y val="3.3168620549584041E-2"/>
        </c:manualLayout>
      </c:layout>
      <c:overlay val="0"/>
      <c:spPr>
        <a:noFill/>
        <a:ln w="25400">
          <a:noFill/>
        </a:ln>
      </c:spPr>
    </c:title>
    <c:autoTitleDeleted val="0"/>
    <c:plotArea>
      <c:layout>
        <c:manualLayout>
          <c:layoutTarget val="inner"/>
          <c:xMode val="edge"/>
          <c:yMode val="edge"/>
          <c:x val="0.28981415413709216"/>
          <c:y val="0.42953363611711332"/>
          <c:w val="0.64721342722315045"/>
          <c:h val="0.32671091241340278"/>
        </c:manualLayout>
      </c:layout>
      <c:lineChart>
        <c:grouping val="standard"/>
        <c:varyColors val="0"/>
        <c:ser>
          <c:idx val="1"/>
          <c:order val="0"/>
          <c:tx>
            <c:strRef>
              <c:f>'Exh. 4-5 Fixed Exchange Ratio'!$K$6</c:f>
              <c:strCache>
                <c:ptCount val="1"/>
                <c:pt idx="0">
                  <c:v> Without Collar </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'Exh. 4-5 Fixed Exchange Ratio'!$E$7:$E$14</c:f>
              <c:numCache>
                <c:formatCode>_("$"* #,##0.00_);_("$"* \(#,##0.00\);_("$"* "-"??_);_(@_)</c:formatCode>
                <c:ptCount val="8"/>
                <c:pt idx="0">
                  <c:v>0.01</c:v>
                </c:pt>
                <c:pt idx="1">
                  <c:v>5</c:v>
                </c:pt>
                <c:pt idx="2">
                  <c:v>10</c:v>
                </c:pt>
                <c:pt idx="3">
                  <c:v>15</c:v>
                </c:pt>
                <c:pt idx="4">
                  <c:v>20</c:v>
                </c:pt>
                <c:pt idx="5">
                  <c:v>25</c:v>
                </c:pt>
                <c:pt idx="6">
                  <c:v>30</c:v>
                </c:pt>
                <c:pt idx="7">
                  <c:v>35</c:v>
                </c:pt>
              </c:numCache>
            </c:numRef>
          </c:cat>
          <c:val>
            <c:numRef>
              <c:f>'Exh. 4-5 Fixed Exchange Ratio'!$K$7:$K$15</c:f>
              <c:numCache>
                <c:formatCode>_(* #,##0.00_);_(* \(#,##0.00\);_(* "-"??_);_(@_)</c:formatCode>
                <c:ptCount val="9"/>
                <c:pt idx="0">
                  <c:v>1</c:v>
                </c:pt>
                <c:pt idx="1">
                  <c:v>1</c:v>
                </c:pt>
                <c:pt idx="2">
                  <c:v>1</c:v>
                </c:pt>
                <c:pt idx="3">
                  <c:v>1</c:v>
                </c:pt>
                <c:pt idx="4">
                  <c:v>1</c:v>
                </c:pt>
                <c:pt idx="5">
                  <c:v>1</c:v>
                </c:pt>
                <c:pt idx="6">
                  <c:v>1</c:v>
                </c:pt>
                <c:pt idx="7">
                  <c:v>1</c:v>
                </c:pt>
                <c:pt idx="8">
                  <c:v>1</c:v>
                </c:pt>
              </c:numCache>
            </c:numRef>
          </c:val>
          <c:smooth val="0"/>
          <c:extLst>
            <c:ext xmlns:c16="http://schemas.microsoft.com/office/drawing/2014/chart" uri="{C3380CC4-5D6E-409C-BE32-E72D297353CC}">
              <c16:uniqueId val="{00000000-B183-4132-A979-B68923481142}"/>
            </c:ext>
          </c:extLst>
        </c:ser>
        <c:dLbls>
          <c:showLegendKey val="0"/>
          <c:showVal val="0"/>
          <c:showCatName val="0"/>
          <c:showSerName val="0"/>
          <c:showPercent val="0"/>
          <c:showBubbleSize val="0"/>
        </c:dLbls>
        <c:marker val="1"/>
        <c:smooth val="0"/>
        <c:axId val="702480271"/>
        <c:axId val="1"/>
      </c:lineChart>
      <c:catAx>
        <c:axId val="702480271"/>
        <c:scaling>
          <c:orientation val="minMax"/>
        </c:scaling>
        <c:delete val="0"/>
        <c:axPos val="b"/>
        <c:title>
          <c:tx>
            <c:rich>
              <a:bodyPr/>
              <a:lstStyle/>
              <a:p>
                <a:pPr>
                  <a:defRPr sz="1550" b="1" i="0" u="none" strike="noStrike" baseline="0">
                    <a:solidFill>
                      <a:srgbClr val="000000"/>
                    </a:solidFill>
                    <a:latin typeface="Arial"/>
                    <a:ea typeface="Arial"/>
                    <a:cs typeface="Arial"/>
                  </a:defRPr>
                </a:pPr>
                <a:r>
                  <a:rPr lang="en-GB"/>
                  <a:t>Buyer´s Share Price</a:t>
                </a:r>
              </a:p>
            </c:rich>
          </c:tx>
          <c:layout>
            <c:manualLayout>
              <c:xMode val="edge"/>
              <c:yMode val="edge"/>
              <c:x val="0.4410215389042707"/>
              <c:y val="0.87731001353649785"/>
            </c:manualLayout>
          </c:layout>
          <c:overlay val="0"/>
          <c:spPr>
            <a:noFill/>
            <a:ln w="25400">
              <a:noFill/>
            </a:ln>
          </c:spPr>
        </c:title>
        <c:numFmt formatCode="&quot;$&quot;#,##0_);\(&quot;$&quot;#,##0\)" sourceLinked="0"/>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550" b="1" i="0" u="none" strike="noStrike" baseline="0">
                    <a:solidFill>
                      <a:srgbClr val="000000"/>
                    </a:solidFill>
                    <a:latin typeface="Arial"/>
                    <a:ea typeface="Arial"/>
                    <a:cs typeface="Arial"/>
                  </a:defRPr>
                </a:pPr>
                <a:r>
                  <a:rPr lang="en-GB"/>
                  <a:t>Buyer Shares per Target Share</a:t>
                </a:r>
              </a:p>
            </c:rich>
          </c:tx>
          <c:layout>
            <c:manualLayout>
              <c:xMode val="edge"/>
              <c:yMode val="edge"/>
              <c:x val="2.5201230794529753E-2"/>
              <c:y val="0.4129493258423213"/>
            </c:manualLayout>
          </c:layout>
          <c:overlay val="0"/>
          <c:spPr>
            <a:noFill/>
            <a:ln w="25400">
              <a:noFill/>
            </a:ln>
          </c:spPr>
        </c:title>
        <c:numFmt formatCode="#,##0.00_);\(#,##0.00\)" sourceLinked="0"/>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702480271"/>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5c: Fixed Exchange Ratio Deal:</a:t>
            </a:r>
          </a:p>
          <a:p>
            <a:pPr>
              <a:defRPr sz="2025" b="1" i="0" u="none" strike="noStrike" baseline="0">
                <a:solidFill>
                  <a:srgbClr val="000000"/>
                </a:solidFill>
                <a:latin typeface="Arial"/>
                <a:ea typeface="Arial"/>
                <a:cs typeface="Arial"/>
              </a:defRPr>
            </a:pPr>
            <a:r>
              <a:rPr lang="en-GB" sz="1625" b="1" i="0" u="none" strike="noStrike" baseline="0">
                <a:solidFill>
                  <a:srgbClr val="000000"/>
                </a:solidFill>
                <a:latin typeface="Arial"/>
                <a:cs typeface="Arial"/>
              </a:rPr>
              <a:t>Value Received by Target Investor, </a:t>
            </a:r>
          </a:p>
          <a:p>
            <a:pPr>
              <a:defRPr sz="2025" b="1" i="0" u="none" strike="noStrike" baseline="0">
                <a:solidFill>
                  <a:srgbClr val="000000"/>
                </a:solidFill>
                <a:latin typeface="Arial"/>
                <a:ea typeface="Arial"/>
                <a:cs typeface="Arial"/>
              </a:defRPr>
            </a:pPr>
            <a:r>
              <a:rPr lang="en-GB" sz="1625" b="1" i="1" u="none" strike="noStrike" baseline="0">
                <a:solidFill>
                  <a:srgbClr val="000000"/>
                </a:solidFill>
                <a:latin typeface="Arial"/>
                <a:cs typeface="Arial"/>
              </a:rPr>
              <a:t>Due to the Collar</a:t>
            </a:r>
          </a:p>
        </c:rich>
      </c:tx>
      <c:layout>
        <c:manualLayout>
          <c:xMode val="edge"/>
          <c:yMode val="edge"/>
          <c:x val="0.15328187074494379"/>
          <c:y val="3.3390063562176053E-2"/>
        </c:manualLayout>
      </c:layout>
      <c:overlay val="0"/>
      <c:spPr>
        <a:noFill/>
        <a:ln w="25400">
          <a:noFill/>
        </a:ln>
      </c:spPr>
    </c:title>
    <c:autoTitleDeleted val="0"/>
    <c:plotArea>
      <c:layout>
        <c:manualLayout>
          <c:layoutTarget val="inner"/>
          <c:xMode val="edge"/>
          <c:yMode val="edge"/>
          <c:x val="0.30550662513992244"/>
          <c:y val="0.45744387080181192"/>
          <c:w val="0.62898422822925204"/>
          <c:h val="0.36228218964961018"/>
        </c:manualLayout>
      </c:layout>
      <c:lineChart>
        <c:grouping val="standard"/>
        <c:varyColors val="0"/>
        <c:ser>
          <c:idx val="3"/>
          <c:order val="0"/>
          <c:tx>
            <c:strRef>
              <c:f>'Exh. 4-5 Fixed Exchange Ratio'!$G$6</c:f>
              <c:strCache>
                <c:ptCount val="1"/>
                <c:pt idx="0">
                  <c:v> Collar </c:v>
                </c:pt>
              </c:strCache>
            </c:strRef>
          </c:tx>
          <c:spPr>
            <a:ln w="12700">
              <a:solidFill>
                <a:srgbClr val="000000"/>
              </a:solidFill>
              <a:prstDash val="solid"/>
            </a:ln>
          </c:spPr>
          <c:marker>
            <c:symbol val="circle"/>
            <c:size val="7"/>
            <c:spPr>
              <a:solidFill>
                <a:srgbClr val="000000"/>
              </a:solidFill>
              <a:ln>
                <a:solidFill>
                  <a:srgbClr val="000000"/>
                </a:solidFill>
                <a:prstDash val="solid"/>
              </a:ln>
            </c:spPr>
          </c:marker>
          <c:cat>
            <c:numRef>
              <c:f>'Exh. 4-5 Fixed Exchange Ratio'!$E$7:$E$15</c:f>
              <c:numCache>
                <c:formatCode>_("$"* #,##0.00_);_("$"* \(#,##0.00\);_("$"* "-"??_);_(@_)</c:formatCode>
                <c:ptCount val="9"/>
                <c:pt idx="0">
                  <c:v>0.01</c:v>
                </c:pt>
                <c:pt idx="1">
                  <c:v>5</c:v>
                </c:pt>
                <c:pt idx="2">
                  <c:v>10</c:v>
                </c:pt>
                <c:pt idx="3">
                  <c:v>15</c:v>
                </c:pt>
                <c:pt idx="4">
                  <c:v>20</c:v>
                </c:pt>
                <c:pt idx="5">
                  <c:v>25</c:v>
                </c:pt>
                <c:pt idx="6">
                  <c:v>30</c:v>
                </c:pt>
                <c:pt idx="7">
                  <c:v>35</c:v>
                </c:pt>
                <c:pt idx="8">
                  <c:v>40</c:v>
                </c:pt>
              </c:numCache>
            </c:numRef>
          </c:cat>
          <c:val>
            <c:numRef>
              <c:f>'Exh. 4-5 Fixed Exchange Ratio'!$G$7:$G$15</c:f>
              <c:numCache>
                <c:formatCode>_("$"* #,##0.00_);_("$"* \(#,##0.00\);_("$"* "-"??_);_(@_)</c:formatCode>
                <c:ptCount val="9"/>
                <c:pt idx="0">
                  <c:v>14.99</c:v>
                </c:pt>
                <c:pt idx="1">
                  <c:v>10</c:v>
                </c:pt>
                <c:pt idx="2">
                  <c:v>5</c:v>
                </c:pt>
                <c:pt idx="3">
                  <c:v>0</c:v>
                </c:pt>
                <c:pt idx="4">
                  <c:v>0</c:v>
                </c:pt>
                <c:pt idx="5">
                  <c:v>0</c:v>
                </c:pt>
                <c:pt idx="6">
                  <c:v>-5</c:v>
                </c:pt>
                <c:pt idx="7">
                  <c:v>-10</c:v>
                </c:pt>
                <c:pt idx="8">
                  <c:v>-15</c:v>
                </c:pt>
              </c:numCache>
            </c:numRef>
          </c:val>
          <c:smooth val="0"/>
          <c:extLst>
            <c:ext xmlns:c16="http://schemas.microsoft.com/office/drawing/2014/chart" uri="{C3380CC4-5D6E-409C-BE32-E72D297353CC}">
              <c16:uniqueId val="{00000000-29E6-4ED4-B17F-67625F070EFE}"/>
            </c:ext>
          </c:extLst>
        </c:ser>
        <c:dLbls>
          <c:showLegendKey val="0"/>
          <c:showVal val="0"/>
          <c:showCatName val="0"/>
          <c:showSerName val="0"/>
          <c:showPercent val="0"/>
          <c:showBubbleSize val="0"/>
        </c:dLbls>
        <c:marker val="1"/>
        <c:smooth val="0"/>
        <c:axId val="702479871"/>
        <c:axId val="1"/>
      </c:lineChart>
      <c:catAx>
        <c:axId val="702479871"/>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4293175063538925"/>
              <c:y val="0.86647214943846851"/>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Value of Bid per Target Share</a:t>
                </a:r>
              </a:p>
            </c:rich>
          </c:tx>
          <c:layout>
            <c:manualLayout>
              <c:xMode val="edge"/>
              <c:yMode val="edge"/>
              <c:x val="2.3256559699232848E-2"/>
              <c:y val="0.46078287715802951"/>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702479871"/>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5e: Fixed Exchange Ratio Deal:</a:t>
            </a:r>
          </a:p>
          <a:p>
            <a:pPr>
              <a:defRPr sz="2025" b="1" i="0" u="none" strike="noStrike" baseline="0">
                <a:solidFill>
                  <a:srgbClr val="000000"/>
                </a:solidFill>
                <a:latin typeface="Arial"/>
                <a:ea typeface="Arial"/>
                <a:cs typeface="Arial"/>
              </a:defRPr>
            </a:pPr>
            <a:r>
              <a:rPr lang="en-GB" sz="1625" b="1" i="0" u="none" strike="noStrike" baseline="0">
                <a:solidFill>
                  <a:srgbClr val="000000"/>
                </a:solidFill>
                <a:latin typeface="Arial"/>
                <a:cs typeface="Arial"/>
              </a:rPr>
              <a:t>Value Received by Target Investor, </a:t>
            </a:r>
          </a:p>
          <a:p>
            <a:pPr>
              <a:defRPr sz="2025" b="1" i="0" u="none" strike="noStrike" baseline="0">
                <a:solidFill>
                  <a:srgbClr val="000000"/>
                </a:solidFill>
                <a:latin typeface="Arial"/>
                <a:ea typeface="Arial"/>
                <a:cs typeface="Arial"/>
              </a:defRPr>
            </a:pPr>
            <a:r>
              <a:rPr lang="en-GB" sz="1625" b="1" i="1" u="none" strike="noStrike" baseline="0">
                <a:solidFill>
                  <a:srgbClr val="000000"/>
                </a:solidFill>
                <a:latin typeface="Arial"/>
                <a:cs typeface="Arial"/>
              </a:rPr>
              <a:t>Stock Plus Collar</a:t>
            </a:r>
          </a:p>
        </c:rich>
      </c:tx>
      <c:layout>
        <c:manualLayout>
          <c:xMode val="edge"/>
          <c:yMode val="edge"/>
          <c:x val="0.15328187074494379"/>
          <c:y val="3.3102171649459979E-2"/>
        </c:manualLayout>
      </c:layout>
      <c:overlay val="0"/>
      <c:spPr>
        <a:noFill/>
        <a:ln w="25400">
          <a:noFill/>
        </a:ln>
      </c:spPr>
    </c:title>
    <c:autoTitleDeleted val="0"/>
    <c:plotArea>
      <c:layout>
        <c:manualLayout>
          <c:layoutTarget val="inner"/>
          <c:xMode val="edge"/>
          <c:yMode val="edge"/>
          <c:x val="0.29387834529030599"/>
          <c:y val="0.47562594001592495"/>
          <c:w val="0.64061250807886849"/>
          <c:h val="0.24913739715119879"/>
        </c:manualLayout>
      </c:layout>
      <c:lineChart>
        <c:grouping val="standard"/>
        <c:varyColors val="0"/>
        <c:ser>
          <c:idx val="0"/>
          <c:order val="0"/>
          <c:tx>
            <c:strRef>
              <c:f>'Exh. 4-5 Fixed Exchange Ratio'!$H$6</c:f>
              <c:strCache>
                <c:ptCount val="1"/>
                <c:pt idx="0">
                  <c:v> With Collar </c:v>
                </c:pt>
              </c:strCache>
            </c:strRef>
          </c:tx>
          <c:spPr>
            <a:ln w="12700">
              <a:solidFill>
                <a:srgbClr val="000000"/>
              </a:solidFill>
              <a:prstDash val="solid"/>
            </a:ln>
          </c:spPr>
          <c:marker>
            <c:symbol val="square"/>
            <c:size val="7"/>
            <c:spPr>
              <a:solidFill>
                <a:srgbClr val="000000"/>
              </a:solidFill>
              <a:ln>
                <a:solidFill>
                  <a:srgbClr val="000000"/>
                </a:solidFill>
                <a:prstDash val="solid"/>
              </a:ln>
            </c:spPr>
          </c:marker>
          <c:cat>
            <c:numRef>
              <c:f>'Exh. 4-5 Fixed Exchange Ratio'!$E$7:$E$15</c:f>
              <c:numCache>
                <c:formatCode>_("$"* #,##0.00_);_("$"* \(#,##0.00\);_("$"* "-"??_);_(@_)</c:formatCode>
                <c:ptCount val="9"/>
                <c:pt idx="0">
                  <c:v>0.01</c:v>
                </c:pt>
                <c:pt idx="1">
                  <c:v>5</c:v>
                </c:pt>
                <c:pt idx="2">
                  <c:v>10</c:v>
                </c:pt>
                <c:pt idx="3">
                  <c:v>15</c:v>
                </c:pt>
                <c:pt idx="4">
                  <c:v>20</c:v>
                </c:pt>
                <c:pt idx="5">
                  <c:v>25</c:v>
                </c:pt>
                <c:pt idx="6">
                  <c:v>30</c:v>
                </c:pt>
                <c:pt idx="7">
                  <c:v>35</c:v>
                </c:pt>
                <c:pt idx="8">
                  <c:v>40</c:v>
                </c:pt>
              </c:numCache>
            </c:numRef>
          </c:cat>
          <c:val>
            <c:numRef>
              <c:f>'Exh. 4-5 Fixed Exchange Ratio'!$H$7:$H$15</c:f>
              <c:numCache>
                <c:formatCode>_("$"* #,##0.00_);_("$"* \(#,##0.00\);_("$"* "-"??_);_(@_)</c:formatCode>
                <c:ptCount val="9"/>
                <c:pt idx="0">
                  <c:v>15</c:v>
                </c:pt>
                <c:pt idx="1">
                  <c:v>15</c:v>
                </c:pt>
                <c:pt idx="2">
                  <c:v>15</c:v>
                </c:pt>
                <c:pt idx="3">
                  <c:v>15</c:v>
                </c:pt>
                <c:pt idx="4">
                  <c:v>20</c:v>
                </c:pt>
                <c:pt idx="5">
                  <c:v>25</c:v>
                </c:pt>
                <c:pt idx="6">
                  <c:v>25</c:v>
                </c:pt>
                <c:pt idx="7">
                  <c:v>25</c:v>
                </c:pt>
                <c:pt idx="8">
                  <c:v>25</c:v>
                </c:pt>
              </c:numCache>
            </c:numRef>
          </c:val>
          <c:smooth val="0"/>
          <c:extLst>
            <c:ext xmlns:c16="http://schemas.microsoft.com/office/drawing/2014/chart" uri="{C3380CC4-5D6E-409C-BE32-E72D297353CC}">
              <c16:uniqueId val="{00000000-4460-484F-BB47-004B89C36AB2}"/>
            </c:ext>
          </c:extLst>
        </c:ser>
        <c:dLbls>
          <c:showLegendKey val="0"/>
          <c:showVal val="0"/>
          <c:showCatName val="0"/>
          <c:showSerName val="0"/>
          <c:showPercent val="0"/>
          <c:showBubbleSize val="0"/>
        </c:dLbls>
        <c:marker val="1"/>
        <c:smooth val="0"/>
        <c:axId val="702478671"/>
        <c:axId val="1"/>
      </c:lineChart>
      <c:catAx>
        <c:axId val="702478671"/>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3764616888556362"/>
              <c:y val="0.86065646288595943"/>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Value of Bid per Target Share</a:t>
                </a:r>
              </a:p>
            </c:rich>
          </c:tx>
          <c:layout>
            <c:manualLayout>
              <c:xMode val="edge"/>
              <c:yMode val="edge"/>
              <c:x val="2.3256559699232848E-2"/>
              <c:y val="0.4146482553984987"/>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702478671"/>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50" b="1" i="0" u="none" strike="noStrike" baseline="0">
                <a:solidFill>
                  <a:srgbClr val="000000"/>
                </a:solidFill>
                <a:latin typeface="Arial"/>
                <a:ea typeface="Arial"/>
                <a:cs typeface="Arial"/>
              </a:defRPr>
            </a:pPr>
            <a:r>
              <a:rPr lang="en-GB" sz="1850" b="1" i="0" u="none" strike="noStrike" baseline="0">
                <a:solidFill>
                  <a:srgbClr val="000000"/>
                </a:solidFill>
                <a:latin typeface="Arial"/>
                <a:cs typeface="Arial"/>
              </a:rPr>
              <a:t>Figure 5d: Fixed Exchange Ratio Deal:</a:t>
            </a:r>
          </a:p>
          <a:p>
            <a:pPr>
              <a:defRPr sz="1850" b="1" i="0" u="none" strike="noStrike" baseline="0">
                <a:solidFill>
                  <a:srgbClr val="000000"/>
                </a:solidFill>
                <a:latin typeface="Arial"/>
                <a:ea typeface="Arial"/>
                <a:cs typeface="Arial"/>
              </a:defRPr>
            </a:pPr>
            <a:r>
              <a:rPr lang="en-GB" sz="1525" b="1" i="0" u="none" strike="noStrike" baseline="0">
                <a:solidFill>
                  <a:srgbClr val="000000"/>
                </a:solidFill>
                <a:latin typeface="Arial"/>
                <a:cs typeface="Arial"/>
              </a:rPr>
              <a:t>Number of Shares Issued, </a:t>
            </a:r>
          </a:p>
          <a:p>
            <a:pPr>
              <a:defRPr sz="1850" b="1" i="0" u="none" strike="noStrike" baseline="0">
                <a:solidFill>
                  <a:srgbClr val="000000"/>
                </a:solidFill>
                <a:latin typeface="Arial"/>
                <a:ea typeface="Arial"/>
                <a:cs typeface="Arial"/>
              </a:defRPr>
            </a:pPr>
            <a:r>
              <a:rPr lang="en-GB" sz="1525" b="1" i="1" u="none" strike="noStrike" baseline="0">
                <a:solidFill>
                  <a:srgbClr val="000000"/>
                </a:solidFill>
                <a:latin typeface="Arial"/>
                <a:cs typeface="Arial"/>
              </a:rPr>
              <a:t>Due to the Collar</a:t>
            </a:r>
          </a:p>
        </c:rich>
      </c:tx>
      <c:layout>
        <c:manualLayout>
          <c:xMode val="edge"/>
          <c:yMode val="edge"/>
          <c:x val="0.15639761404953653"/>
          <c:y val="3.3168620549584041E-2"/>
        </c:manualLayout>
      </c:layout>
      <c:overlay val="0"/>
      <c:spPr>
        <a:noFill/>
        <a:ln w="25400">
          <a:noFill/>
        </a:ln>
      </c:spPr>
    </c:title>
    <c:autoTitleDeleted val="0"/>
    <c:plotArea>
      <c:layout>
        <c:manualLayout>
          <c:layoutTarget val="inner"/>
          <c:xMode val="edge"/>
          <c:yMode val="edge"/>
          <c:x val="0.30023775543816139"/>
          <c:y val="0.43285049817207172"/>
          <c:w val="0.63700634043533855"/>
          <c:h val="0.40134030864996689"/>
        </c:manualLayout>
      </c:layout>
      <c:lineChart>
        <c:grouping val="standard"/>
        <c:varyColors val="0"/>
        <c:ser>
          <c:idx val="2"/>
          <c:order val="0"/>
          <c:tx>
            <c:strRef>
              <c:f>'Exh. 4-5 Fixed Exchange Ratio'!$L$6</c:f>
              <c:strCache>
                <c:ptCount val="1"/>
                <c:pt idx="0">
                  <c:v>Stock Collar</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numRef>
              <c:f>'Exh. 4-5 Fixed Exchange Ratio'!$E$8:$E$14</c:f>
              <c:numCache>
                <c:formatCode>_("$"* #,##0.00_);_("$"* \(#,##0.00\);_("$"* "-"??_);_(@_)</c:formatCode>
                <c:ptCount val="7"/>
                <c:pt idx="0">
                  <c:v>5</c:v>
                </c:pt>
                <c:pt idx="1">
                  <c:v>10</c:v>
                </c:pt>
                <c:pt idx="2">
                  <c:v>15</c:v>
                </c:pt>
                <c:pt idx="3">
                  <c:v>20</c:v>
                </c:pt>
                <c:pt idx="4">
                  <c:v>25</c:v>
                </c:pt>
                <c:pt idx="5">
                  <c:v>30</c:v>
                </c:pt>
                <c:pt idx="6">
                  <c:v>35</c:v>
                </c:pt>
              </c:numCache>
            </c:numRef>
          </c:cat>
          <c:val>
            <c:numRef>
              <c:f>'Exh. 4-5 Fixed Exchange Ratio'!$L$8:$L$15</c:f>
              <c:numCache>
                <c:formatCode>0.00</c:formatCode>
                <c:ptCount val="8"/>
                <c:pt idx="0">
                  <c:v>2</c:v>
                </c:pt>
                <c:pt idx="1">
                  <c:v>0.5</c:v>
                </c:pt>
                <c:pt idx="2">
                  <c:v>0</c:v>
                </c:pt>
                <c:pt idx="3">
                  <c:v>0</c:v>
                </c:pt>
                <c:pt idx="4">
                  <c:v>0</c:v>
                </c:pt>
                <c:pt idx="5">
                  <c:v>-0.16666666666666663</c:v>
                </c:pt>
                <c:pt idx="6">
                  <c:v>-0.2857142857142857</c:v>
                </c:pt>
                <c:pt idx="7">
                  <c:v>-0.375</c:v>
                </c:pt>
              </c:numCache>
            </c:numRef>
          </c:val>
          <c:smooth val="0"/>
          <c:extLst>
            <c:ext xmlns:c16="http://schemas.microsoft.com/office/drawing/2014/chart" uri="{C3380CC4-5D6E-409C-BE32-E72D297353CC}">
              <c16:uniqueId val="{00000000-3537-4FBD-B623-6A5A1EB884BA}"/>
            </c:ext>
          </c:extLst>
        </c:ser>
        <c:dLbls>
          <c:showLegendKey val="0"/>
          <c:showVal val="0"/>
          <c:showCatName val="0"/>
          <c:showSerName val="0"/>
          <c:showPercent val="0"/>
          <c:showBubbleSize val="0"/>
        </c:dLbls>
        <c:marker val="1"/>
        <c:smooth val="0"/>
        <c:axId val="702478271"/>
        <c:axId val="1"/>
      </c:lineChart>
      <c:catAx>
        <c:axId val="702478271"/>
        <c:scaling>
          <c:orientation val="minMax"/>
        </c:scaling>
        <c:delete val="0"/>
        <c:axPos val="b"/>
        <c:title>
          <c:tx>
            <c:rich>
              <a:bodyPr/>
              <a:lstStyle/>
              <a:p>
                <a:pPr>
                  <a:defRPr sz="1550" b="1" i="0" u="none" strike="noStrike" baseline="0">
                    <a:solidFill>
                      <a:srgbClr val="000000"/>
                    </a:solidFill>
                    <a:latin typeface="Arial"/>
                    <a:ea typeface="Arial"/>
                    <a:cs typeface="Arial"/>
                  </a:defRPr>
                </a:pPr>
                <a:r>
                  <a:rPr lang="en-GB"/>
                  <a:t>Buyer´s Share Price</a:t>
                </a:r>
              </a:p>
            </c:rich>
          </c:tx>
          <c:layout>
            <c:manualLayout>
              <c:xMode val="edge"/>
              <c:yMode val="edge"/>
              <c:x val="0.44750266209794393"/>
              <c:y val="0.87731001353649785"/>
            </c:manualLayout>
          </c:layout>
          <c:overlay val="0"/>
          <c:spPr>
            <a:noFill/>
            <a:ln w="25400">
              <a:noFill/>
            </a:ln>
          </c:spPr>
        </c:title>
        <c:numFmt formatCode="&quot;$&quot;#,##0_);\(&quot;$&quot;#,##0\)" sourceLinked="0"/>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550" b="1" i="0" u="none" strike="noStrike" baseline="0">
                    <a:solidFill>
                      <a:srgbClr val="000000"/>
                    </a:solidFill>
                    <a:latin typeface="Arial"/>
                    <a:ea typeface="Arial"/>
                    <a:cs typeface="Arial"/>
                  </a:defRPr>
                </a:pPr>
                <a:r>
                  <a:rPr lang="en-GB"/>
                  <a:t>Buyer Shares per Target Share</a:t>
                </a:r>
              </a:p>
            </c:rich>
          </c:tx>
          <c:layout>
            <c:manualLayout>
              <c:xMode val="edge"/>
              <c:yMode val="edge"/>
              <c:x val="2.5114945321823384E-2"/>
              <c:y val="0.45441010152930134"/>
            </c:manualLayout>
          </c:layout>
          <c:overlay val="0"/>
          <c:spPr>
            <a:noFill/>
            <a:ln w="25400">
              <a:noFill/>
            </a:ln>
          </c:spPr>
        </c:title>
        <c:numFmt formatCode="#,##0.00_);\(#,##0.00\)" sourceLinked="0"/>
        <c:majorTickMark val="out"/>
        <c:minorTickMark val="none"/>
        <c:tickLblPos val="nextTo"/>
        <c:spPr>
          <a:ln w="3175">
            <a:solidFill>
              <a:srgbClr val="000000"/>
            </a:solidFill>
            <a:prstDash val="solid"/>
          </a:ln>
        </c:spPr>
        <c:txPr>
          <a:bodyPr rot="0" vert="horz"/>
          <a:lstStyle/>
          <a:p>
            <a:pPr>
              <a:defRPr sz="1550" b="0" i="0" u="none" strike="noStrike" baseline="0">
                <a:solidFill>
                  <a:srgbClr val="000000"/>
                </a:solidFill>
                <a:latin typeface="Arial"/>
                <a:ea typeface="Arial"/>
                <a:cs typeface="Arial"/>
              </a:defRPr>
            </a:pPr>
            <a:endParaRPr lang="en-US"/>
          </a:p>
        </c:txPr>
        <c:crossAx val="702478271"/>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900" b="1" i="0" u="none" strike="noStrike" baseline="0">
                <a:solidFill>
                  <a:srgbClr val="000000"/>
                </a:solidFill>
                <a:latin typeface="Arial"/>
                <a:ea typeface="Arial"/>
                <a:cs typeface="Arial"/>
              </a:defRPr>
            </a:pPr>
            <a:r>
              <a:rPr lang="en-GB" sz="1900" b="1" i="0" u="none" strike="noStrike" baseline="0">
                <a:solidFill>
                  <a:srgbClr val="000000"/>
                </a:solidFill>
                <a:latin typeface="Arial"/>
                <a:cs typeface="Arial"/>
              </a:rPr>
              <a:t>Figure 5f: Fixed Exchange Ratio Deal:</a:t>
            </a:r>
          </a:p>
          <a:p>
            <a:pPr>
              <a:defRPr sz="1900" b="1" i="0" u="none" strike="noStrike" baseline="0">
                <a:solidFill>
                  <a:srgbClr val="000000"/>
                </a:solidFill>
                <a:latin typeface="Arial"/>
                <a:ea typeface="Arial"/>
                <a:cs typeface="Arial"/>
              </a:defRPr>
            </a:pPr>
            <a:r>
              <a:rPr lang="en-GB" sz="1525" b="1" i="0" u="none" strike="noStrike" baseline="0">
                <a:solidFill>
                  <a:srgbClr val="000000"/>
                </a:solidFill>
                <a:latin typeface="Arial"/>
                <a:cs typeface="Arial"/>
              </a:rPr>
              <a:t>Number of Shares Issued, </a:t>
            </a:r>
          </a:p>
          <a:p>
            <a:pPr>
              <a:defRPr sz="1900" b="1" i="0" u="none" strike="noStrike" baseline="0">
                <a:solidFill>
                  <a:srgbClr val="000000"/>
                </a:solidFill>
                <a:latin typeface="Arial"/>
                <a:ea typeface="Arial"/>
                <a:cs typeface="Arial"/>
              </a:defRPr>
            </a:pPr>
            <a:r>
              <a:rPr lang="en-GB" sz="1525" b="1" i="1" u="none" strike="noStrike" baseline="0">
                <a:solidFill>
                  <a:srgbClr val="000000"/>
                </a:solidFill>
                <a:latin typeface="Arial"/>
                <a:cs typeface="Arial"/>
              </a:rPr>
              <a:t>Stock Plus Collar</a:t>
            </a:r>
          </a:p>
        </c:rich>
      </c:tx>
      <c:layout>
        <c:manualLayout>
          <c:xMode val="edge"/>
          <c:yMode val="edge"/>
          <c:x val="0.10923773684144142"/>
          <c:y val="3.287301717877459E-2"/>
        </c:manualLayout>
      </c:layout>
      <c:overlay val="0"/>
      <c:spPr>
        <a:noFill/>
        <a:ln w="25400">
          <a:noFill/>
        </a:ln>
      </c:spPr>
    </c:title>
    <c:autoTitleDeleted val="0"/>
    <c:plotArea>
      <c:layout>
        <c:manualLayout>
          <c:layoutTarget val="inner"/>
          <c:xMode val="edge"/>
          <c:yMode val="edge"/>
          <c:x val="0.24775569180533105"/>
          <c:y val="0.37198414175981775"/>
          <c:w val="0.68921128811301191"/>
          <c:h val="0.37025398296093487"/>
        </c:manualLayout>
      </c:layout>
      <c:lineChart>
        <c:grouping val="standard"/>
        <c:varyColors val="0"/>
        <c:ser>
          <c:idx val="3"/>
          <c:order val="0"/>
          <c:tx>
            <c:strRef>
              <c:f>'Exh. 4-5 Fixed Exchange Ratio'!$M$6</c:f>
              <c:strCache>
                <c:ptCount val="1"/>
                <c:pt idx="0">
                  <c:v>With Stock Collar</c:v>
                </c:pt>
              </c:strCache>
            </c:strRef>
          </c:tx>
          <c:spPr>
            <a:ln w="12700">
              <a:solidFill>
                <a:srgbClr val="000000"/>
              </a:solidFill>
              <a:prstDash val="solid"/>
            </a:ln>
          </c:spPr>
          <c:marker>
            <c:symbol val="square"/>
            <c:size val="7"/>
            <c:spPr>
              <a:solidFill>
                <a:srgbClr val="000000"/>
              </a:solidFill>
              <a:ln>
                <a:solidFill>
                  <a:srgbClr val="000000"/>
                </a:solidFill>
                <a:prstDash val="solid"/>
              </a:ln>
            </c:spPr>
          </c:marker>
          <c:cat>
            <c:numRef>
              <c:f>'Exh. 4-5 Fixed Exchange Ratio'!$E$8:$E$14</c:f>
              <c:numCache>
                <c:formatCode>_("$"* #,##0.00_);_("$"* \(#,##0.00\);_("$"* "-"??_);_(@_)</c:formatCode>
                <c:ptCount val="7"/>
                <c:pt idx="0">
                  <c:v>5</c:v>
                </c:pt>
                <c:pt idx="1">
                  <c:v>10</c:v>
                </c:pt>
                <c:pt idx="2">
                  <c:v>15</c:v>
                </c:pt>
                <c:pt idx="3">
                  <c:v>20</c:v>
                </c:pt>
                <c:pt idx="4">
                  <c:v>25</c:v>
                </c:pt>
                <c:pt idx="5">
                  <c:v>30</c:v>
                </c:pt>
                <c:pt idx="6">
                  <c:v>35</c:v>
                </c:pt>
              </c:numCache>
            </c:numRef>
          </c:cat>
          <c:val>
            <c:numRef>
              <c:f>'Exh. 4-5 Fixed Exchange Ratio'!$M$8:$M$15</c:f>
              <c:numCache>
                <c:formatCode>_(* #,##0.00_);_(* \(#,##0.00\);_(* "-"??_);_(@_)</c:formatCode>
                <c:ptCount val="8"/>
                <c:pt idx="0">
                  <c:v>3</c:v>
                </c:pt>
                <c:pt idx="1">
                  <c:v>1.5</c:v>
                </c:pt>
                <c:pt idx="2">
                  <c:v>1</c:v>
                </c:pt>
                <c:pt idx="3">
                  <c:v>1</c:v>
                </c:pt>
                <c:pt idx="4">
                  <c:v>1</c:v>
                </c:pt>
                <c:pt idx="5">
                  <c:v>0.83333333333333337</c:v>
                </c:pt>
                <c:pt idx="6">
                  <c:v>0.7142857142857143</c:v>
                </c:pt>
                <c:pt idx="7">
                  <c:v>0.625</c:v>
                </c:pt>
              </c:numCache>
            </c:numRef>
          </c:val>
          <c:smooth val="0"/>
          <c:extLst>
            <c:ext xmlns:c16="http://schemas.microsoft.com/office/drawing/2014/chart" uri="{C3380CC4-5D6E-409C-BE32-E72D297353CC}">
              <c16:uniqueId val="{00000000-9CA7-4795-9E07-6605A498EC9B}"/>
            </c:ext>
          </c:extLst>
        </c:ser>
        <c:dLbls>
          <c:showLegendKey val="0"/>
          <c:showVal val="0"/>
          <c:showCatName val="0"/>
          <c:showSerName val="0"/>
          <c:showPercent val="0"/>
          <c:showBubbleSize val="0"/>
        </c:dLbls>
        <c:marker val="1"/>
        <c:smooth val="0"/>
        <c:axId val="860880303"/>
        <c:axId val="1"/>
      </c:lineChart>
      <c:catAx>
        <c:axId val="860880303"/>
        <c:scaling>
          <c:orientation val="minMax"/>
        </c:scaling>
        <c:delete val="0"/>
        <c:axPos val="b"/>
        <c:title>
          <c:tx>
            <c:rich>
              <a:bodyPr/>
              <a:lstStyle/>
              <a:p>
                <a:pPr>
                  <a:defRPr sz="1575" b="1" i="0" u="none" strike="noStrike" baseline="0">
                    <a:solidFill>
                      <a:srgbClr val="000000"/>
                    </a:solidFill>
                    <a:latin typeface="Arial"/>
                    <a:ea typeface="Arial"/>
                    <a:cs typeface="Arial"/>
                  </a:defRPr>
                </a:pPr>
                <a:r>
                  <a:rPr lang="en-GB"/>
                  <a:t>Buyer´s Share Price</a:t>
                </a:r>
              </a:p>
            </c:rich>
          </c:tx>
          <c:layout>
            <c:manualLayout>
              <c:xMode val="edge"/>
              <c:yMode val="edge"/>
              <c:x val="0.4155538648916689"/>
              <c:y val="0.87026987583808524"/>
            </c:manualLayout>
          </c:layout>
          <c:overlay val="0"/>
          <c:spPr>
            <a:noFill/>
            <a:ln w="25400">
              <a:noFill/>
            </a:ln>
          </c:spPr>
        </c:title>
        <c:numFmt formatCode="&quot;$&quot;#,##0_);\(&quot;$&quot;#,##0\)" sourceLinked="0"/>
        <c:majorTickMark val="out"/>
        <c:minorTickMark val="none"/>
        <c:tickLblPos val="nextTo"/>
        <c:spPr>
          <a:ln w="3175">
            <a:solidFill>
              <a:srgbClr val="000000"/>
            </a:solidFill>
            <a:prstDash val="solid"/>
          </a:ln>
        </c:spPr>
        <c:txPr>
          <a:bodyPr rot="0" vert="horz"/>
          <a:lstStyle/>
          <a:p>
            <a:pPr>
              <a:defRPr sz="1575"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575" b="1" i="0" u="none" strike="noStrike" baseline="0">
                    <a:solidFill>
                      <a:srgbClr val="000000"/>
                    </a:solidFill>
                    <a:latin typeface="Arial"/>
                    <a:ea typeface="Arial"/>
                    <a:cs typeface="Arial"/>
                  </a:defRPr>
                </a:pPr>
                <a:r>
                  <a:rPr lang="en-GB"/>
                  <a:t>Buyer Shares per Target Share</a:t>
                </a:r>
              </a:p>
            </c:rich>
          </c:tx>
          <c:layout>
            <c:manualLayout>
              <c:xMode val="edge"/>
              <c:yMode val="edge"/>
              <c:x val="2.4775569180533107E-2"/>
              <c:y val="0.32700001298886305"/>
            </c:manualLayout>
          </c:layout>
          <c:overlay val="0"/>
          <c:spPr>
            <a:noFill/>
            <a:ln w="25400">
              <a:noFill/>
            </a:ln>
          </c:spPr>
        </c:title>
        <c:numFmt formatCode="#,##0.00_);\(#,##0.00\)" sourceLinked="0"/>
        <c:majorTickMark val="out"/>
        <c:minorTickMark val="none"/>
        <c:tickLblPos val="nextTo"/>
        <c:spPr>
          <a:ln w="3175">
            <a:solidFill>
              <a:srgbClr val="000000"/>
            </a:solidFill>
            <a:prstDash val="solid"/>
          </a:ln>
        </c:spPr>
        <c:txPr>
          <a:bodyPr rot="0" vert="horz"/>
          <a:lstStyle/>
          <a:p>
            <a:pPr>
              <a:defRPr sz="1575" b="0" i="0" u="none" strike="noStrike" baseline="0">
                <a:solidFill>
                  <a:srgbClr val="000000"/>
                </a:solidFill>
                <a:latin typeface="Arial"/>
                <a:ea typeface="Arial"/>
                <a:cs typeface="Arial"/>
              </a:defRPr>
            </a:pPr>
            <a:endParaRPr lang="en-US"/>
          </a:p>
        </c:txPr>
        <c:crossAx val="860880303"/>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a:ea typeface="Arial"/>
                <a:cs typeface="Arial"/>
              </a:defRPr>
            </a:pPr>
            <a:r>
              <a:rPr lang="en-GB" sz="2000" b="1" i="0" u="none" strike="noStrike" baseline="0">
                <a:solidFill>
                  <a:srgbClr val="000000"/>
                </a:solidFill>
                <a:latin typeface="Arial"/>
                <a:cs typeface="Arial"/>
              </a:rPr>
              <a:t>Figure 7a: Fixed Value Deal:</a:t>
            </a:r>
          </a:p>
          <a:p>
            <a:pPr>
              <a:defRPr sz="2000" b="1" i="0" u="none" strike="noStrike" baseline="0">
                <a:solidFill>
                  <a:srgbClr val="000000"/>
                </a:solidFill>
                <a:latin typeface="Arial"/>
                <a:ea typeface="Arial"/>
                <a:cs typeface="Arial"/>
              </a:defRPr>
            </a:pPr>
            <a:r>
              <a:rPr lang="en-GB" sz="1625" b="1" i="0" u="none" strike="noStrike" baseline="0">
                <a:solidFill>
                  <a:srgbClr val="000000"/>
                </a:solidFill>
                <a:latin typeface="Arial"/>
                <a:cs typeface="Arial"/>
              </a:rPr>
              <a:t>Value Received by Target Investor, </a:t>
            </a:r>
          </a:p>
          <a:p>
            <a:pPr>
              <a:defRPr sz="2000" b="1" i="0" u="none" strike="noStrike" baseline="0">
                <a:solidFill>
                  <a:srgbClr val="000000"/>
                </a:solidFill>
                <a:latin typeface="Arial"/>
                <a:ea typeface="Arial"/>
                <a:cs typeface="Arial"/>
              </a:defRPr>
            </a:pPr>
            <a:r>
              <a:rPr lang="en-GB" sz="1625" b="1" i="1" u="none" strike="noStrike" baseline="0">
                <a:solidFill>
                  <a:srgbClr val="000000"/>
                </a:solidFill>
                <a:latin typeface="Arial"/>
                <a:cs typeface="Arial"/>
              </a:rPr>
              <a:t>Without a Collar</a:t>
            </a:r>
          </a:p>
        </c:rich>
      </c:tx>
      <c:layout>
        <c:manualLayout>
          <c:xMode val="edge"/>
          <c:yMode val="edge"/>
          <c:x val="0.20021953873983828"/>
          <c:y val="3.253535678748469E-2"/>
        </c:manualLayout>
      </c:layout>
      <c:overlay val="0"/>
      <c:spPr>
        <a:noFill/>
        <a:ln w="25400">
          <a:noFill/>
        </a:ln>
      </c:spPr>
    </c:title>
    <c:autoTitleDeleted val="0"/>
    <c:plotArea>
      <c:layout>
        <c:manualLayout>
          <c:layoutTarget val="inner"/>
          <c:xMode val="edge"/>
          <c:yMode val="edge"/>
          <c:x val="0.29606931792380342"/>
          <c:y val="0.38014995825376846"/>
          <c:w val="0.63793353034661238"/>
          <c:h val="0.34932698866562512"/>
        </c:manualLayout>
      </c:layout>
      <c:lineChart>
        <c:grouping val="standard"/>
        <c:varyColors val="0"/>
        <c:ser>
          <c:idx val="1"/>
          <c:order val="0"/>
          <c:tx>
            <c:strRef>
              <c:f>'Fig. 6-7 Fixed Value'!$G$5</c:f>
              <c:strCache>
                <c:ptCount val="1"/>
                <c:pt idx="0">
                  <c:v>Without Collar</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'Fig. 6-7 Fixed Value'!$F$6:$F$13</c:f>
              <c:numCache>
                <c:formatCode>_("$"* #,##0.00_);_("$"* \(#,##0.00\);_("$"* "-"??_);_(@_)</c:formatCode>
                <c:ptCount val="8"/>
                <c:pt idx="0">
                  <c:v>0.01</c:v>
                </c:pt>
                <c:pt idx="1">
                  <c:v>5</c:v>
                </c:pt>
                <c:pt idx="2">
                  <c:v>10</c:v>
                </c:pt>
                <c:pt idx="3">
                  <c:v>15</c:v>
                </c:pt>
                <c:pt idx="4">
                  <c:v>20</c:v>
                </c:pt>
                <c:pt idx="5">
                  <c:v>25</c:v>
                </c:pt>
                <c:pt idx="6">
                  <c:v>30</c:v>
                </c:pt>
                <c:pt idx="7">
                  <c:v>35</c:v>
                </c:pt>
              </c:numCache>
            </c:numRef>
          </c:cat>
          <c:val>
            <c:numRef>
              <c:f>'Fig. 6-7 Fixed Value'!$G$6:$G$13</c:f>
              <c:numCache>
                <c:formatCode>_("$"* #,##0.00_);_("$"* \(#,##0.00\);_("$"* "-"??_);_(@_)</c:formatCode>
                <c:ptCount val="8"/>
                <c:pt idx="0">
                  <c:v>20</c:v>
                </c:pt>
                <c:pt idx="1">
                  <c:v>20</c:v>
                </c:pt>
                <c:pt idx="2">
                  <c:v>20</c:v>
                </c:pt>
                <c:pt idx="3">
                  <c:v>20</c:v>
                </c:pt>
                <c:pt idx="4">
                  <c:v>20</c:v>
                </c:pt>
                <c:pt idx="5">
                  <c:v>20</c:v>
                </c:pt>
                <c:pt idx="6">
                  <c:v>20</c:v>
                </c:pt>
                <c:pt idx="7">
                  <c:v>20</c:v>
                </c:pt>
              </c:numCache>
            </c:numRef>
          </c:val>
          <c:smooth val="0"/>
          <c:extLst>
            <c:ext xmlns:c16="http://schemas.microsoft.com/office/drawing/2014/chart" uri="{C3380CC4-5D6E-409C-BE32-E72D297353CC}">
              <c16:uniqueId val="{00000000-B219-463C-9B68-C010822E84B9}"/>
            </c:ext>
          </c:extLst>
        </c:ser>
        <c:dLbls>
          <c:showLegendKey val="0"/>
          <c:showVal val="0"/>
          <c:showCatName val="0"/>
          <c:showSerName val="0"/>
          <c:showPercent val="0"/>
          <c:showBubbleSize val="0"/>
        </c:dLbls>
        <c:marker val="1"/>
        <c:smooth val="0"/>
        <c:axId val="860878303"/>
        <c:axId val="1"/>
      </c:lineChart>
      <c:catAx>
        <c:axId val="860878303"/>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3664899406028562"/>
              <c:y val="0.863043148468015"/>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Value of Bid per Target Share</a:t>
                </a:r>
              </a:p>
            </c:rich>
          </c:tx>
          <c:layout>
            <c:manualLayout>
              <c:xMode val="edge"/>
              <c:yMode val="edge"/>
              <c:x val="2.3429946022747034E-2"/>
              <c:y val="0.3733004094564033"/>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860878303"/>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7b: Fixed Value Deal:</a:t>
            </a:r>
          </a:p>
          <a:p>
            <a:pPr>
              <a:defRPr sz="2025" b="1" i="0" u="none" strike="noStrike" baseline="0">
                <a:solidFill>
                  <a:srgbClr val="000000"/>
                </a:solidFill>
                <a:latin typeface="Arial"/>
                <a:ea typeface="Arial"/>
                <a:cs typeface="Arial"/>
              </a:defRPr>
            </a:pPr>
            <a:r>
              <a:rPr lang="en-GB" sz="1650" b="1" i="0" u="none" strike="noStrike" baseline="0">
                <a:solidFill>
                  <a:srgbClr val="000000"/>
                </a:solidFill>
                <a:latin typeface="Arial"/>
                <a:cs typeface="Arial"/>
              </a:rPr>
              <a:t>Number of Shares Issued, </a:t>
            </a:r>
          </a:p>
          <a:p>
            <a:pPr>
              <a:defRPr sz="2025" b="1" i="0" u="none" strike="noStrike" baseline="0">
                <a:solidFill>
                  <a:srgbClr val="000000"/>
                </a:solidFill>
                <a:latin typeface="Arial"/>
                <a:ea typeface="Arial"/>
                <a:cs typeface="Arial"/>
              </a:defRPr>
            </a:pPr>
            <a:r>
              <a:rPr lang="en-GB" sz="1650" b="1" i="1" u="none" strike="noStrike" baseline="0">
                <a:solidFill>
                  <a:srgbClr val="000000"/>
                </a:solidFill>
                <a:latin typeface="Arial"/>
                <a:cs typeface="Arial"/>
              </a:rPr>
              <a:t>Without a Collar</a:t>
            </a:r>
          </a:p>
        </c:rich>
      </c:tx>
      <c:layout>
        <c:manualLayout>
          <c:xMode val="edge"/>
          <c:yMode val="edge"/>
          <c:x val="0.20588877476853604"/>
          <c:y val="3.3044488452432311E-2"/>
        </c:manualLayout>
      </c:layout>
      <c:overlay val="0"/>
      <c:spPr>
        <a:noFill/>
        <a:ln w="25400">
          <a:noFill/>
        </a:ln>
      </c:spPr>
    </c:title>
    <c:autoTitleDeleted val="0"/>
    <c:plotArea>
      <c:layout>
        <c:manualLayout>
          <c:layoutTarget val="inner"/>
          <c:xMode val="edge"/>
          <c:yMode val="edge"/>
          <c:x val="0.26996640365058039"/>
          <c:y val="0.38609875981263014"/>
          <c:w val="0.6649367062677719"/>
          <c:h val="0.33914080253812107"/>
        </c:manualLayout>
      </c:layout>
      <c:lineChart>
        <c:grouping val="standard"/>
        <c:varyColors val="0"/>
        <c:ser>
          <c:idx val="1"/>
          <c:order val="0"/>
          <c:tx>
            <c:strRef>
              <c:f>'Fig. 6-7 Fixed Value'!$G$5</c:f>
              <c:strCache>
                <c:ptCount val="1"/>
                <c:pt idx="0">
                  <c:v>Without Collar</c:v>
                </c:pt>
              </c:strCache>
            </c:strRef>
          </c:tx>
          <c:spPr>
            <a:ln w="12700">
              <a:solidFill>
                <a:srgbClr val="000000"/>
              </a:solidFill>
              <a:prstDash val="solid"/>
            </a:ln>
          </c:spPr>
          <c:marker>
            <c:symbol val="diamond"/>
            <c:size val="7"/>
            <c:spPr>
              <a:solidFill>
                <a:srgbClr val="000000"/>
              </a:solidFill>
              <a:ln>
                <a:solidFill>
                  <a:srgbClr val="000000"/>
                </a:solidFill>
                <a:prstDash val="solid"/>
              </a:ln>
            </c:spPr>
          </c:marker>
          <c:cat>
            <c:numRef>
              <c:f>'Fig. 6-7 Fixed Value'!$F$7:$F$13</c:f>
              <c:numCache>
                <c:formatCode>_("$"* #,##0.00_);_("$"* \(#,##0.00\);_("$"* "-"??_);_(@_)</c:formatCode>
                <c:ptCount val="7"/>
                <c:pt idx="0">
                  <c:v>5</c:v>
                </c:pt>
                <c:pt idx="1">
                  <c:v>10</c:v>
                </c:pt>
                <c:pt idx="2">
                  <c:v>15</c:v>
                </c:pt>
                <c:pt idx="3">
                  <c:v>20</c:v>
                </c:pt>
                <c:pt idx="4">
                  <c:v>25</c:v>
                </c:pt>
                <c:pt idx="5">
                  <c:v>30</c:v>
                </c:pt>
                <c:pt idx="6">
                  <c:v>35</c:v>
                </c:pt>
              </c:numCache>
            </c:numRef>
          </c:cat>
          <c:val>
            <c:numRef>
              <c:f>'Fig. 6-7 Fixed Value'!$L$7:$L$13</c:f>
              <c:numCache>
                <c:formatCode>_(* #,##0.00_);_(* \(#,##0.00\);_(* "-"??_);_(@_)</c:formatCode>
                <c:ptCount val="7"/>
                <c:pt idx="0">
                  <c:v>4</c:v>
                </c:pt>
                <c:pt idx="1">
                  <c:v>2</c:v>
                </c:pt>
                <c:pt idx="2">
                  <c:v>1.3333333333333333</c:v>
                </c:pt>
                <c:pt idx="3">
                  <c:v>1</c:v>
                </c:pt>
                <c:pt idx="4">
                  <c:v>0.8</c:v>
                </c:pt>
                <c:pt idx="5">
                  <c:v>0.66666666666666663</c:v>
                </c:pt>
                <c:pt idx="6">
                  <c:v>0.5714285714285714</c:v>
                </c:pt>
              </c:numCache>
            </c:numRef>
          </c:val>
          <c:smooth val="0"/>
          <c:extLst>
            <c:ext xmlns:c16="http://schemas.microsoft.com/office/drawing/2014/chart" uri="{C3380CC4-5D6E-409C-BE32-E72D297353CC}">
              <c16:uniqueId val="{00000000-25F6-4338-AC67-F6A04B448C76}"/>
            </c:ext>
          </c:extLst>
        </c:ser>
        <c:dLbls>
          <c:showLegendKey val="0"/>
          <c:showVal val="0"/>
          <c:showCatName val="0"/>
          <c:showSerName val="0"/>
          <c:showPercent val="0"/>
          <c:showBubbleSize val="0"/>
        </c:dLbls>
        <c:marker val="1"/>
        <c:smooth val="0"/>
        <c:axId val="860880703"/>
        <c:axId val="1"/>
      </c:lineChart>
      <c:catAx>
        <c:axId val="860880703"/>
        <c:scaling>
          <c:orientation val="minMax"/>
        </c:scaling>
        <c:delete val="0"/>
        <c:axPos val="b"/>
        <c:title>
          <c:tx>
            <c:rich>
              <a:bodyPr/>
              <a:lstStyle/>
              <a:p>
                <a:pPr>
                  <a:defRPr sz="1700" b="1" i="0" u="none" strike="noStrike" baseline="0">
                    <a:solidFill>
                      <a:srgbClr val="000000"/>
                    </a:solidFill>
                    <a:latin typeface="Arial"/>
                    <a:ea typeface="Arial"/>
                    <a:cs typeface="Arial"/>
                  </a:defRPr>
                </a:pPr>
                <a:r>
                  <a:rPr lang="en-GB"/>
                  <a:t>Buyer´s Share Price</a:t>
                </a:r>
              </a:p>
            </c:rich>
          </c:tx>
          <c:layout>
            <c:manualLayout>
              <c:xMode val="edge"/>
              <c:yMode val="edge"/>
              <c:x val="0.42648389059196745"/>
              <c:y val="0.86089588336599965"/>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700"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700" b="1" i="0" u="none" strike="noStrike" baseline="0">
                    <a:solidFill>
                      <a:srgbClr val="000000"/>
                    </a:solidFill>
                    <a:latin typeface="Arial"/>
                    <a:ea typeface="Arial"/>
                    <a:cs typeface="Arial"/>
                  </a:defRPr>
                </a:pPr>
                <a:r>
                  <a:rPr lang="en-GB"/>
                  <a:t>Buyer Shares per Target Share</a:t>
                </a:r>
              </a:p>
            </c:rich>
          </c:tx>
          <c:layout>
            <c:manualLayout>
              <c:xMode val="edge"/>
              <c:yMode val="edge"/>
              <c:x val="2.3109964514835678E-2"/>
              <c:y val="0.34783672055191905"/>
            </c:manualLayout>
          </c:layout>
          <c:overlay val="0"/>
          <c:spPr>
            <a:noFill/>
            <a:ln w="25400">
              <a:noFill/>
            </a:ln>
          </c:spPr>
        </c:title>
        <c:numFmt formatCode="#,##0.0_);\(#,##0.0\)" sourceLinked="0"/>
        <c:majorTickMark val="out"/>
        <c:minorTickMark val="none"/>
        <c:tickLblPos val="nextTo"/>
        <c:spPr>
          <a:ln w="3175">
            <a:solidFill>
              <a:srgbClr val="000000"/>
            </a:solidFill>
            <a:prstDash val="solid"/>
          </a:ln>
        </c:spPr>
        <c:txPr>
          <a:bodyPr rot="0" vert="horz"/>
          <a:lstStyle/>
          <a:p>
            <a:pPr>
              <a:defRPr sz="1700" b="0" i="0" u="none" strike="noStrike" baseline="0">
                <a:solidFill>
                  <a:srgbClr val="000000"/>
                </a:solidFill>
                <a:latin typeface="Arial"/>
                <a:ea typeface="Arial"/>
                <a:cs typeface="Arial"/>
              </a:defRPr>
            </a:pPr>
            <a:endParaRPr lang="en-US"/>
          </a:p>
        </c:txPr>
        <c:crossAx val="860880703"/>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b="1" i="0" u="none" strike="noStrike" baseline="0">
                <a:solidFill>
                  <a:srgbClr val="000000"/>
                </a:solidFill>
                <a:latin typeface="Arial"/>
                <a:ea typeface="Arial"/>
                <a:cs typeface="Arial"/>
              </a:defRPr>
            </a:pPr>
            <a:r>
              <a:rPr lang="en-GB" sz="2000" b="1" i="0" u="none" strike="noStrike" baseline="0">
                <a:solidFill>
                  <a:srgbClr val="000000"/>
                </a:solidFill>
                <a:latin typeface="Arial"/>
                <a:cs typeface="Arial"/>
              </a:rPr>
              <a:t>Figure 7c: Fixed Value Deal:</a:t>
            </a:r>
          </a:p>
          <a:p>
            <a:pPr>
              <a:defRPr sz="2000" b="1" i="0" u="none" strike="noStrike" baseline="0">
                <a:solidFill>
                  <a:srgbClr val="000000"/>
                </a:solidFill>
                <a:latin typeface="Arial"/>
                <a:ea typeface="Arial"/>
                <a:cs typeface="Arial"/>
              </a:defRPr>
            </a:pPr>
            <a:r>
              <a:rPr lang="en-GB" sz="1625" b="1" i="0" u="none" strike="noStrike" baseline="0">
                <a:solidFill>
                  <a:srgbClr val="000000"/>
                </a:solidFill>
                <a:latin typeface="Arial"/>
                <a:cs typeface="Arial"/>
              </a:rPr>
              <a:t>Value Received by Target Investor, </a:t>
            </a:r>
          </a:p>
          <a:p>
            <a:pPr>
              <a:defRPr sz="2000" b="1" i="0" u="none" strike="noStrike" baseline="0">
                <a:solidFill>
                  <a:srgbClr val="000000"/>
                </a:solidFill>
                <a:latin typeface="Arial"/>
                <a:ea typeface="Arial"/>
                <a:cs typeface="Arial"/>
              </a:defRPr>
            </a:pPr>
            <a:r>
              <a:rPr lang="en-GB" sz="1625" b="1" i="1" u="none" strike="noStrike" baseline="0">
                <a:solidFill>
                  <a:srgbClr val="000000"/>
                </a:solidFill>
                <a:latin typeface="Arial"/>
                <a:cs typeface="Arial"/>
              </a:rPr>
              <a:t>Due to the Collar</a:t>
            </a:r>
          </a:p>
        </c:rich>
      </c:tx>
      <c:layout>
        <c:manualLayout>
          <c:xMode val="edge"/>
          <c:yMode val="edge"/>
          <c:x val="0.20021953873983828"/>
          <c:y val="3.287301717877459E-2"/>
        </c:manualLayout>
      </c:layout>
      <c:overlay val="0"/>
      <c:spPr>
        <a:noFill/>
        <a:ln w="25400">
          <a:noFill/>
        </a:ln>
      </c:spPr>
    </c:title>
    <c:autoTitleDeleted val="0"/>
    <c:plotArea>
      <c:layout>
        <c:manualLayout>
          <c:layoutTarget val="inner"/>
          <c:xMode val="edge"/>
          <c:yMode val="edge"/>
          <c:x val="0.3077842909351769"/>
          <c:y val="0.38409525335199785"/>
          <c:w val="0.6262185573352389"/>
          <c:h val="0.4290793821229526"/>
        </c:manualLayout>
      </c:layout>
      <c:lineChart>
        <c:grouping val="standard"/>
        <c:varyColors val="0"/>
        <c:ser>
          <c:idx val="2"/>
          <c:order val="0"/>
          <c:tx>
            <c:strRef>
              <c:f>'Fig. 6-7 Fixed Value'!$H$5</c:f>
              <c:strCache>
                <c:ptCount val="1"/>
                <c:pt idx="0">
                  <c:v> Collar </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numRef>
              <c:f>'Fig. 6-7 Fixed Value'!$F$6:$F$13</c:f>
              <c:numCache>
                <c:formatCode>_("$"* #,##0.00_);_("$"* \(#,##0.00\);_("$"* "-"??_);_(@_)</c:formatCode>
                <c:ptCount val="8"/>
                <c:pt idx="0">
                  <c:v>0.01</c:v>
                </c:pt>
                <c:pt idx="1">
                  <c:v>5</c:v>
                </c:pt>
                <c:pt idx="2">
                  <c:v>10</c:v>
                </c:pt>
                <c:pt idx="3">
                  <c:v>15</c:v>
                </c:pt>
                <c:pt idx="4">
                  <c:v>20</c:v>
                </c:pt>
                <c:pt idx="5">
                  <c:v>25</c:v>
                </c:pt>
                <c:pt idx="6">
                  <c:v>30</c:v>
                </c:pt>
                <c:pt idx="7">
                  <c:v>35</c:v>
                </c:pt>
              </c:numCache>
            </c:numRef>
          </c:cat>
          <c:val>
            <c:numRef>
              <c:f>'Fig. 6-7 Fixed Value'!$H$6:$H$13</c:f>
              <c:numCache>
                <c:formatCode>_("$"* #,##0.00_);_("$"* \(#,##0.00\);_("$"* "-"??_);_(@_)</c:formatCode>
                <c:ptCount val="8"/>
                <c:pt idx="0">
                  <c:v>-14.99</c:v>
                </c:pt>
                <c:pt idx="1">
                  <c:v>-10</c:v>
                </c:pt>
                <c:pt idx="2">
                  <c:v>-5</c:v>
                </c:pt>
                <c:pt idx="3">
                  <c:v>0</c:v>
                </c:pt>
                <c:pt idx="4">
                  <c:v>0</c:v>
                </c:pt>
                <c:pt idx="5">
                  <c:v>0</c:v>
                </c:pt>
                <c:pt idx="6">
                  <c:v>3.75</c:v>
                </c:pt>
                <c:pt idx="7">
                  <c:v>7.5</c:v>
                </c:pt>
              </c:numCache>
            </c:numRef>
          </c:val>
          <c:smooth val="0"/>
          <c:extLst>
            <c:ext xmlns:c16="http://schemas.microsoft.com/office/drawing/2014/chart" uri="{C3380CC4-5D6E-409C-BE32-E72D297353CC}">
              <c16:uniqueId val="{00000000-A987-4615-8695-56AC11CD4F4C}"/>
            </c:ext>
          </c:extLst>
        </c:ser>
        <c:dLbls>
          <c:showLegendKey val="0"/>
          <c:showVal val="0"/>
          <c:showCatName val="0"/>
          <c:showSerName val="0"/>
          <c:showPercent val="0"/>
          <c:showBubbleSize val="0"/>
        </c:dLbls>
        <c:marker val="1"/>
        <c:smooth val="0"/>
        <c:axId val="781758223"/>
        <c:axId val="1"/>
      </c:lineChart>
      <c:catAx>
        <c:axId val="781758223"/>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430389793392166"/>
              <c:y val="0.86161908184367086"/>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Value of Bid per Target Share</a:t>
                </a:r>
              </a:p>
            </c:rich>
          </c:tx>
          <c:layout>
            <c:manualLayout>
              <c:xMode val="edge"/>
              <c:yMode val="edge"/>
              <c:x val="2.3429946022747034E-2"/>
              <c:y val="0.41523811173188957"/>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781758223"/>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975" b="1" i="0" u="none" strike="noStrike" baseline="0">
                <a:solidFill>
                  <a:srgbClr val="000000"/>
                </a:solidFill>
                <a:latin typeface="Arial"/>
                <a:ea typeface="Arial"/>
                <a:cs typeface="Arial"/>
              </a:defRPr>
            </a:pPr>
            <a:r>
              <a:rPr lang="en-GB" sz="1975" b="1" i="0" u="none" strike="noStrike" baseline="0">
                <a:solidFill>
                  <a:srgbClr val="000000"/>
                </a:solidFill>
                <a:latin typeface="Arial"/>
                <a:cs typeface="Arial"/>
              </a:rPr>
              <a:t>Figure 7e: Fixed Value Deal:</a:t>
            </a:r>
          </a:p>
          <a:p>
            <a:pPr>
              <a:defRPr sz="1975" b="1" i="0" u="none" strike="noStrike" baseline="0">
                <a:solidFill>
                  <a:srgbClr val="000000"/>
                </a:solidFill>
                <a:latin typeface="Arial"/>
                <a:ea typeface="Arial"/>
                <a:cs typeface="Arial"/>
              </a:defRPr>
            </a:pPr>
            <a:r>
              <a:rPr lang="en-GB" sz="1600" b="1" i="0" u="none" strike="noStrike" baseline="0">
                <a:solidFill>
                  <a:srgbClr val="000000"/>
                </a:solidFill>
                <a:latin typeface="Arial"/>
                <a:cs typeface="Arial"/>
              </a:rPr>
              <a:t>Value Received by Target Investor, </a:t>
            </a:r>
          </a:p>
          <a:p>
            <a:pPr>
              <a:defRPr sz="1975" b="1" i="0" u="none" strike="noStrike" baseline="0">
                <a:solidFill>
                  <a:srgbClr val="000000"/>
                </a:solidFill>
                <a:latin typeface="Arial"/>
                <a:ea typeface="Arial"/>
                <a:cs typeface="Arial"/>
              </a:defRPr>
            </a:pPr>
            <a:r>
              <a:rPr lang="en-GB" sz="1600" b="1" i="1" u="none" strike="noStrike" baseline="0">
                <a:solidFill>
                  <a:srgbClr val="000000"/>
                </a:solidFill>
                <a:latin typeface="Arial"/>
                <a:cs typeface="Arial"/>
              </a:rPr>
              <a:t>Stock Plus Collar</a:t>
            </a:r>
          </a:p>
        </c:rich>
      </c:tx>
      <c:layout>
        <c:manualLayout>
          <c:xMode val="edge"/>
          <c:yMode val="edge"/>
          <c:x val="0.20494197731026295"/>
          <c:y val="3.3102171649459979E-2"/>
        </c:manualLayout>
      </c:layout>
      <c:overlay val="0"/>
      <c:spPr>
        <a:noFill/>
        <a:ln w="25400">
          <a:noFill/>
        </a:ln>
      </c:spPr>
    </c:title>
    <c:autoTitleDeleted val="0"/>
    <c:plotArea>
      <c:layout>
        <c:manualLayout>
          <c:layoutTarget val="inner"/>
          <c:xMode val="edge"/>
          <c:yMode val="edge"/>
          <c:x val="0.24249678990638443"/>
          <c:y val="0.37980386418854084"/>
          <c:w val="0.69208154641423869"/>
          <c:h val="0.35367057078107239"/>
        </c:manualLayout>
      </c:layout>
      <c:lineChart>
        <c:grouping val="standard"/>
        <c:varyColors val="0"/>
        <c:ser>
          <c:idx val="3"/>
          <c:order val="0"/>
          <c:tx>
            <c:strRef>
              <c:f>'Fig. 6-7 Fixed Value'!$I$5</c:f>
              <c:strCache>
                <c:ptCount val="1"/>
                <c:pt idx="0">
                  <c:v> With Collar </c:v>
                </c:pt>
              </c:strCache>
            </c:strRef>
          </c:tx>
          <c:spPr>
            <a:ln w="12700">
              <a:solidFill>
                <a:srgbClr val="000000"/>
              </a:solidFill>
              <a:prstDash val="solid"/>
            </a:ln>
          </c:spPr>
          <c:marker>
            <c:symbol val="square"/>
            <c:size val="7"/>
            <c:spPr>
              <a:solidFill>
                <a:srgbClr val="000000"/>
              </a:solidFill>
              <a:ln>
                <a:solidFill>
                  <a:srgbClr val="000000"/>
                </a:solidFill>
                <a:prstDash val="solid"/>
              </a:ln>
            </c:spPr>
          </c:marker>
          <c:cat>
            <c:numRef>
              <c:f>'Fig. 6-7 Fixed Value'!$F$6:$F$13</c:f>
              <c:numCache>
                <c:formatCode>_("$"* #,##0.00_);_("$"* \(#,##0.00\);_("$"* "-"??_);_(@_)</c:formatCode>
                <c:ptCount val="8"/>
                <c:pt idx="0">
                  <c:v>0.01</c:v>
                </c:pt>
                <c:pt idx="1">
                  <c:v>5</c:v>
                </c:pt>
                <c:pt idx="2">
                  <c:v>10</c:v>
                </c:pt>
                <c:pt idx="3">
                  <c:v>15</c:v>
                </c:pt>
                <c:pt idx="4">
                  <c:v>20</c:v>
                </c:pt>
                <c:pt idx="5">
                  <c:v>25</c:v>
                </c:pt>
                <c:pt idx="6">
                  <c:v>30</c:v>
                </c:pt>
                <c:pt idx="7">
                  <c:v>35</c:v>
                </c:pt>
              </c:numCache>
            </c:numRef>
          </c:cat>
          <c:val>
            <c:numRef>
              <c:f>'Fig. 6-7 Fixed Value'!$I$6:$I$13</c:f>
              <c:numCache>
                <c:formatCode>_("$"* #,##0.00_);_("$"* \(#,##0.00\);_("$"* "-"??_);_(@_)</c:formatCode>
                <c:ptCount val="8"/>
                <c:pt idx="0">
                  <c:v>5.01</c:v>
                </c:pt>
                <c:pt idx="1">
                  <c:v>10</c:v>
                </c:pt>
                <c:pt idx="2">
                  <c:v>15</c:v>
                </c:pt>
                <c:pt idx="3">
                  <c:v>20</c:v>
                </c:pt>
                <c:pt idx="4">
                  <c:v>20</c:v>
                </c:pt>
                <c:pt idx="5">
                  <c:v>20</c:v>
                </c:pt>
                <c:pt idx="6">
                  <c:v>23.75</c:v>
                </c:pt>
                <c:pt idx="7">
                  <c:v>27.5</c:v>
                </c:pt>
              </c:numCache>
            </c:numRef>
          </c:val>
          <c:smooth val="0"/>
          <c:extLst>
            <c:ext xmlns:c16="http://schemas.microsoft.com/office/drawing/2014/chart" uri="{C3380CC4-5D6E-409C-BE32-E72D297353CC}">
              <c16:uniqueId val="{00000000-9245-42FF-9ECA-5C1D81E176A7}"/>
            </c:ext>
          </c:extLst>
        </c:ser>
        <c:dLbls>
          <c:showLegendKey val="0"/>
          <c:showVal val="0"/>
          <c:showCatName val="0"/>
          <c:showSerName val="0"/>
          <c:showPercent val="0"/>
          <c:showBubbleSize val="0"/>
        </c:dLbls>
        <c:marker val="1"/>
        <c:smooth val="0"/>
        <c:axId val="887154079"/>
        <c:axId val="1"/>
      </c:lineChart>
      <c:catAx>
        <c:axId val="887154079"/>
        <c:scaling>
          <c:orientation val="minMax"/>
        </c:scaling>
        <c:delete val="0"/>
        <c:axPos val="b"/>
        <c:title>
          <c:tx>
            <c:rich>
              <a:bodyPr/>
              <a:lstStyle/>
              <a:p>
                <a:pPr>
                  <a:defRPr sz="1650" b="1" i="0" u="none" strike="noStrike" baseline="0">
                    <a:solidFill>
                      <a:srgbClr val="000000"/>
                    </a:solidFill>
                    <a:latin typeface="Arial"/>
                    <a:ea typeface="Arial"/>
                    <a:cs typeface="Arial"/>
                  </a:defRPr>
                </a:pPr>
                <a:r>
                  <a:rPr lang="en-GB"/>
                  <a:t>Buyer´s Share Price</a:t>
                </a:r>
              </a:p>
            </c:rich>
          </c:tx>
          <c:layout>
            <c:manualLayout>
              <c:xMode val="edge"/>
              <c:yMode val="edge"/>
              <c:x val="0.41632192249414673"/>
              <c:y val="0.86762534112795109"/>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50"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50" b="1" i="0" u="none" strike="noStrike" baseline="0">
                    <a:solidFill>
                      <a:srgbClr val="000000"/>
                    </a:solidFill>
                    <a:latin typeface="Arial"/>
                    <a:ea typeface="Arial"/>
                    <a:cs typeface="Arial"/>
                  </a:defRPr>
                </a:pPr>
                <a:r>
                  <a:rPr lang="en-GB"/>
                  <a:t>Value of Bid per Target Share</a:t>
                </a:r>
              </a:p>
            </c:rich>
          </c:tx>
          <c:layout>
            <c:manualLayout>
              <c:xMode val="edge"/>
              <c:yMode val="edge"/>
              <c:x val="2.3605882203276359E-2"/>
              <c:y val="0.32405283825260822"/>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50" b="0" i="0" u="none" strike="noStrike" baseline="0">
                <a:solidFill>
                  <a:srgbClr val="000000"/>
                </a:solidFill>
                <a:latin typeface="Arial"/>
                <a:ea typeface="Arial"/>
                <a:cs typeface="Arial"/>
              </a:defRPr>
            </a:pPr>
            <a:endParaRPr lang="en-US"/>
          </a:p>
        </c:txPr>
        <c:crossAx val="887154079"/>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7d: Fixed Value Deal:</a:t>
            </a:r>
          </a:p>
          <a:p>
            <a:pPr>
              <a:defRPr sz="2025" b="1" i="0" u="none" strike="noStrike" baseline="0">
                <a:solidFill>
                  <a:srgbClr val="000000"/>
                </a:solidFill>
                <a:latin typeface="Arial"/>
                <a:ea typeface="Arial"/>
                <a:cs typeface="Arial"/>
              </a:defRPr>
            </a:pPr>
            <a:r>
              <a:rPr lang="en-GB" sz="1650" b="1" i="0" u="none" strike="noStrike" baseline="0">
                <a:solidFill>
                  <a:srgbClr val="000000"/>
                </a:solidFill>
                <a:latin typeface="Arial"/>
                <a:cs typeface="Arial"/>
              </a:rPr>
              <a:t>Number of Shares Issued, </a:t>
            </a:r>
          </a:p>
          <a:p>
            <a:pPr>
              <a:defRPr sz="2025" b="1" i="0" u="none" strike="noStrike" baseline="0">
                <a:solidFill>
                  <a:srgbClr val="000000"/>
                </a:solidFill>
                <a:latin typeface="Arial"/>
                <a:ea typeface="Arial"/>
                <a:cs typeface="Arial"/>
              </a:defRPr>
            </a:pPr>
            <a:r>
              <a:rPr lang="en-GB" sz="1650" b="1" i="1" u="none" strike="noStrike" baseline="0">
                <a:solidFill>
                  <a:srgbClr val="000000"/>
                </a:solidFill>
                <a:latin typeface="Arial"/>
                <a:cs typeface="Arial"/>
              </a:rPr>
              <a:t>Due to the Collar</a:t>
            </a:r>
          </a:p>
        </c:rich>
      </c:tx>
      <c:layout>
        <c:manualLayout>
          <c:xMode val="edge"/>
          <c:yMode val="edge"/>
          <c:x val="0.20548618555173329"/>
          <c:y val="3.3044488452432311E-2"/>
        </c:manualLayout>
      </c:layout>
      <c:overlay val="0"/>
      <c:spPr>
        <a:noFill/>
        <a:ln w="25400">
          <a:noFill/>
        </a:ln>
      </c:spPr>
    </c:title>
    <c:autoTitleDeleted val="0"/>
    <c:plotArea>
      <c:layout>
        <c:manualLayout>
          <c:layoutTarget val="inner"/>
          <c:xMode val="edge"/>
          <c:yMode val="edge"/>
          <c:x val="0.28241178321981802"/>
          <c:y val="0.38609875981263014"/>
          <c:w val="0.65228691721293797"/>
          <c:h val="0.42609998267610083"/>
        </c:manualLayout>
      </c:layout>
      <c:lineChart>
        <c:grouping val="standard"/>
        <c:varyColors val="0"/>
        <c:ser>
          <c:idx val="2"/>
          <c:order val="0"/>
          <c:tx>
            <c:strRef>
              <c:f>'Fig. 6-7 Fixed Value'!$H$5</c:f>
              <c:strCache>
                <c:ptCount val="1"/>
                <c:pt idx="0">
                  <c:v> Collar </c:v>
                </c:pt>
              </c:strCache>
            </c:strRef>
          </c:tx>
          <c:spPr>
            <a:ln w="12700">
              <a:solidFill>
                <a:srgbClr val="000000"/>
              </a:solidFill>
              <a:prstDash val="solid"/>
            </a:ln>
          </c:spPr>
          <c:marker>
            <c:symbol val="triangle"/>
            <c:size val="7"/>
            <c:spPr>
              <a:solidFill>
                <a:srgbClr val="000000"/>
              </a:solidFill>
              <a:ln>
                <a:solidFill>
                  <a:srgbClr val="000000"/>
                </a:solidFill>
                <a:prstDash val="solid"/>
              </a:ln>
            </c:spPr>
          </c:marker>
          <c:cat>
            <c:numRef>
              <c:f>'Fig. 6-7 Fixed Value'!$F$7:$F$13</c:f>
              <c:numCache>
                <c:formatCode>_("$"* #,##0.00_);_("$"* \(#,##0.00\);_("$"* "-"??_);_(@_)</c:formatCode>
                <c:ptCount val="7"/>
                <c:pt idx="0">
                  <c:v>5</c:v>
                </c:pt>
                <c:pt idx="1">
                  <c:v>10</c:v>
                </c:pt>
                <c:pt idx="2">
                  <c:v>15</c:v>
                </c:pt>
                <c:pt idx="3">
                  <c:v>20</c:v>
                </c:pt>
                <c:pt idx="4">
                  <c:v>25</c:v>
                </c:pt>
                <c:pt idx="5">
                  <c:v>30</c:v>
                </c:pt>
                <c:pt idx="6">
                  <c:v>35</c:v>
                </c:pt>
              </c:numCache>
            </c:numRef>
          </c:cat>
          <c:val>
            <c:numRef>
              <c:f>'Fig. 6-7 Fixed Value'!$O$7:$O$13</c:f>
              <c:numCache>
                <c:formatCode>0.00</c:formatCode>
                <c:ptCount val="7"/>
                <c:pt idx="0">
                  <c:v>-2.5</c:v>
                </c:pt>
                <c:pt idx="1">
                  <c:v>-0.5</c:v>
                </c:pt>
                <c:pt idx="2">
                  <c:v>0</c:v>
                </c:pt>
                <c:pt idx="3">
                  <c:v>0</c:v>
                </c:pt>
                <c:pt idx="4">
                  <c:v>0</c:v>
                </c:pt>
                <c:pt idx="5">
                  <c:v>8.333333333333337E-2</c:v>
                </c:pt>
                <c:pt idx="6">
                  <c:v>0.1785714285714286</c:v>
                </c:pt>
              </c:numCache>
            </c:numRef>
          </c:val>
          <c:smooth val="0"/>
          <c:extLst>
            <c:ext xmlns:c16="http://schemas.microsoft.com/office/drawing/2014/chart" uri="{C3380CC4-5D6E-409C-BE32-E72D297353CC}">
              <c16:uniqueId val="{00000000-097F-46E7-9594-8698C343E3BE}"/>
            </c:ext>
          </c:extLst>
        </c:ser>
        <c:dLbls>
          <c:showLegendKey val="0"/>
          <c:showVal val="0"/>
          <c:showCatName val="0"/>
          <c:showSerName val="0"/>
          <c:showPercent val="0"/>
          <c:showBubbleSize val="0"/>
        </c:dLbls>
        <c:marker val="1"/>
        <c:smooth val="0"/>
        <c:axId val="887153679"/>
        <c:axId val="1"/>
      </c:lineChart>
      <c:catAx>
        <c:axId val="887153679"/>
        <c:scaling>
          <c:orientation val="minMax"/>
        </c:scaling>
        <c:delete val="0"/>
        <c:axPos val="b"/>
        <c:title>
          <c:tx>
            <c:rich>
              <a:bodyPr/>
              <a:lstStyle/>
              <a:p>
                <a:pPr>
                  <a:defRPr sz="1675" b="1" i="0" u="none" strike="noStrike" baseline="0">
                    <a:solidFill>
                      <a:srgbClr val="000000"/>
                    </a:solidFill>
                    <a:latin typeface="Arial"/>
                    <a:ea typeface="Arial"/>
                    <a:cs typeface="Arial"/>
                  </a:defRPr>
                </a:pPr>
                <a:r>
                  <a:rPr lang="en-GB"/>
                  <a:t>Buyer´s Share Price</a:t>
                </a:r>
              </a:p>
            </c:rich>
          </c:tx>
          <c:layout>
            <c:manualLayout>
              <c:xMode val="edge"/>
              <c:yMode val="edge"/>
              <c:x val="0.43204787731390076"/>
              <c:y val="0.86089588336599965"/>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Buyer Shares per Target Share</a:t>
                </a:r>
              </a:p>
            </c:rich>
          </c:tx>
          <c:layout>
            <c:manualLayout>
              <c:xMode val="edge"/>
              <c:yMode val="edge"/>
              <c:x val="2.3183056831477603E-2"/>
              <c:y val="0.39131631062090894"/>
            </c:manualLayout>
          </c:layout>
          <c:overlay val="0"/>
          <c:spPr>
            <a:noFill/>
            <a:ln w="25400">
              <a:noFill/>
            </a:ln>
          </c:spPr>
        </c:title>
        <c:numFmt formatCode="#,##0.0_);\(#,##0.0\)" sourceLinked="0"/>
        <c:majorTickMark val="out"/>
        <c:minorTickMark val="none"/>
        <c:tickLblPos val="nextTo"/>
        <c:spPr>
          <a:ln w="3175">
            <a:solidFill>
              <a:srgbClr val="000000"/>
            </a:solidFill>
            <a:prstDash val="solid"/>
          </a:ln>
        </c:spPr>
        <c:txPr>
          <a:bodyPr rot="0" vert="horz"/>
          <a:lstStyle/>
          <a:p>
            <a:pPr>
              <a:defRPr sz="1675" b="0" i="0" u="none" strike="noStrike" baseline="0">
                <a:solidFill>
                  <a:srgbClr val="000000"/>
                </a:solidFill>
                <a:latin typeface="Arial"/>
                <a:ea typeface="Arial"/>
                <a:cs typeface="Arial"/>
              </a:defRPr>
            </a:pPr>
            <a:endParaRPr lang="en-US"/>
          </a:p>
        </c:txPr>
        <c:crossAx val="887153679"/>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6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25" b="1" i="0" u="none" strike="noStrike" baseline="0">
                <a:solidFill>
                  <a:srgbClr val="000000"/>
                </a:solidFill>
                <a:latin typeface="Arial"/>
                <a:ea typeface="Arial"/>
                <a:cs typeface="Arial"/>
              </a:defRPr>
            </a:pPr>
            <a:r>
              <a:rPr lang="en-GB" sz="2025" b="1" i="0" u="none" strike="noStrike" baseline="0">
                <a:solidFill>
                  <a:srgbClr val="000000"/>
                </a:solidFill>
                <a:latin typeface="Arial"/>
                <a:cs typeface="Arial"/>
              </a:rPr>
              <a:t>Figure 7f: Fixed Value Deal:</a:t>
            </a:r>
          </a:p>
          <a:p>
            <a:pPr>
              <a:defRPr sz="2025" b="1" i="0" u="none" strike="noStrike" baseline="0">
                <a:solidFill>
                  <a:srgbClr val="000000"/>
                </a:solidFill>
                <a:latin typeface="Arial"/>
                <a:ea typeface="Arial"/>
                <a:cs typeface="Arial"/>
              </a:defRPr>
            </a:pPr>
            <a:r>
              <a:rPr lang="en-GB" sz="1650" b="1" i="0" u="none" strike="noStrike" baseline="0">
                <a:solidFill>
                  <a:srgbClr val="000000"/>
                </a:solidFill>
                <a:latin typeface="Arial"/>
                <a:cs typeface="Arial"/>
              </a:rPr>
              <a:t>Number of Shares Issued, </a:t>
            </a:r>
          </a:p>
          <a:p>
            <a:pPr>
              <a:defRPr sz="2025" b="1" i="0" u="none" strike="noStrike" baseline="0">
                <a:solidFill>
                  <a:srgbClr val="000000"/>
                </a:solidFill>
                <a:latin typeface="Arial"/>
                <a:ea typeface="Arial"/>
                <a:cs typeface="Arial"/>
              </a:defRPr>
            </a:pPr>
            <a:r>
              <a:rPr lang="en-GB" sz="1650" b="1" i="1" u="none" strike="noStrike" baseline="0">
                <a:solidFill>
                  <a:srgbClr val="000000"/>
                </a:solidFill>
                <a:latin typeface="Arial"/>
                <a:cs typeface="Arial"/>
              </a:rPr>
              <a:t>Stock Plus Collar</a:t>
            </a:r>
          </a:p>
        </c:rich>
      </c:tx>
      <c:layout>
        <c:manualLayout>
          <c:xMode val="edge"/>
          <c:yMode val="edge"/>
          <c:x val="0.21219149236349122"/>
          <c:y val="3.3102171649459979E-2"/>
        </c:manualLayout>
      </c:layout>
      <c:overlay val="0"/>
      <c:spPr>
        <a:noFill/>
        <a:ln w="25400">
          <a:noFill/>
        </a:ln>
      </c:spPr>
    </c:title>
    <c:autoTitleDeleted val="0"/>
    <c:plotArea>
      <c:layout>
        <c:manualLayout>
          <c:layoutTarget val="inner"/>
          <c:xMode val="edge"/>
          <c:yMode val="edge"/>
          <c:x val="0.26996640365058039"/>
          <c:y val="0.38677274243053239"/>
          <c:w val="0.6649367062677719"/>
          <c:h val="0.33799059473659138"/>
        </c:manualLayout>
      </c:layout>
      <c:lineChart>
        <c:grouping val="standard"/>
        <c:varyColors val="0"/>
        <c:ser>
          <c:idx val="3"/>
          <c:order val="0"/>
          <c:tx>
            <c:strRef>
              <c:f>'Fig. 6-7 Fixed Value'!$I$5</c:f>
              <c:strCache>
                <c:ptCount val="1"/>
                <c:pt idx="0">
                  <c:v> With Collar </c:v>
                </c:pt>
              </c:strCache>
            </c:strRef>
          </c:tx>
          <c:spPr>
            <a:ln w="12700">
              <a:solidFill>
                <a:srgbClr val="000000"/>
              </a:solidFill>
              <a:prstDash val="solid"/>
            </a:ln>
          </c:spPr>
          <c:marker>
            <c:symbol val="square"/>
            <c:size val="7"/>
            <c:spPr>
              <a:solidFill>
                <a:srgbClr val="000000"/>
              </a:solidFill>
              <a:ln>
                <a:solidFill>
                  <a:srgbClr val="000000"/>
                </a:solidFill>
                <a:prstDash val="solid"/>
              </a:ln>
            </c:spPr>
          </c:marker>
          <c:cat>
            <c:numRef>
              <c:f>'Fig. 6-7 Fixed Value'!$F$7:$F$13</c:f>
              <c:numCache>
                <c:formatCode>_("$"* #,##0.00_);_("$"* \(#,##0.00\);_("$"* "-"??_);_(@_)</c:formatCode>
                <c:ptCount val="7"/>
                <c:pt idx="0">
                  <c:v>5</c:v>
                </c:pt>
                <c:pt idx="1">
                  <c:v>10</c:v>
                </c:pt>
                <c:pt idx="2">
                  <c:v>15</c:v>
                </c:pt>
                <c:pt idx="3">
                  <c:v>20</c:v>
                </c:pt>
                <c:pt idx="4">
                  <c:v>25</c:v>
                </c:pt>
                <c:pt idx="5">
                  <c:v>30</c:v>
                </c:pt>
                <c:pt idx="6">
                  <c:v>35</c:v>
                </c:pt>
              </c:numCache>
            </c:numRef>
          </c:cat>
          <c:val>
            <c:numRef>
              <c:f>'Fig. 6-7 Fixed Value'!$P$7:$P$13</c:f>
              <c:numCache>
                <c:formatCode>_(* #,##0.00_);_(* \(#,##0.00\);_(* "-"??_);_(@_)</c:formatCode>
                <c:ptCount val="7"/>
                <c:pt idx="0">
                  <c:v>1.5</c:v>
                </c:pt>
                <c:pt idx="1">
                  <c:v>1.5</c:v>
                </c:pt>
                <c:pt idx="2">
                  <c:v>1.3333333333333333</c:v>
                </c:pt>
                <c:pt idx="3">
                  <c:v>1</c:v>
                </c:pt>
                <c:pt idx="4">
                  <c:v>0.8</c:v>
                </c:pt>
                <c:pt idx="5">
                  <c:v>0.75</c:v>
                </c:pt>
                <c:pt idx="6">
                  <c:v>0.75</c:v>
                </c:pt>
              </c:numCache>
            </c:numRef>
          </c:val>
          <c:smooth val="0"/>
          <c:extLst>
            <c:ext xmlns:c16="http://schemas.microsoft.com/office/drawing/2014/chart" uri="{C3380CC4-5D6E-409C-BE32-E72D297353CC}">
              <c16:uniqueId val="{00000000-0380-439F-B598-BE46CF40B1AC}"/>
            </c:ext>
          </c:extLst>
        </c:ser>
        <c:dLbls>
          <c:showLegendKey val="0"/>
          <c:showVal val="0"/>
          <c:showCatName val="0"/>
          <c:showSerName val="0"/>
          <c:showPercent val="0"/>
          <c:showBubbleSize val="0"/>
        </c:dLbls>
        <c:marker val="1"/>
        <c:smooth val="0"/>
        <c:axId val="704748175"/>
        <c:axId val="1"/>
      </c:lineChart>
      <c:catAx>
        <c:axId val="704748175"/>
        <c:scaling>
          <c:orientation val="minMax"/>
        </c:scaling>
        <c:delete val="0"/>
        <c:axPos val="b"/>
        <c:title>
          <c:tx>
            <c:rich>
              <a:bodyPr/>
              <a:lstStyle/>
              <a:p>
                <a:pPr>
                  <a:defRPr sz="1700" b="1" i="0" u="none" strike="noStrike" baseline="0">
                    <a:solidFill>
                      <a:srgbClr val="000000"/>
                    </a:solidFill>
                    <a:latin typeface="Arial"/>
                    <a:ea typeface="Arial"/>
                    <a:cs typeface="Arial"/>
                  </a:defRPr>
                </a:pPr>
                <a:r>
                  <a:rPr lang="en-GB"/>
                  <a:t>Buyer´s Share Price</a:t>
                </a:r>
              </a:p>
            </c:rich>
          </c:tx>
          <c:layout>
            <c:manualLayout>
              <c:xMode val="edge"/>
              <c:yMode val="edge"/>
              <c:x val="0.42648389059196745"/>
              <c:y val="0.86065646288595943"/>
            </c:manualLayout>
          </c:layout>
          <c:overlay val="0"/>
          <c:spPr>
            <a:noFill/>
            <a:ln w="25400">
              <a:noFill/>
            </a:ln>
          </c:spPr>
        </c:title>
        <c:numFmt formatCode="_(&quot;$&quot;* #,##0_);_(&quot;$&quot;* \(#,##0\);_(&quot;$&quot;* &quot;-&quot;_);_(@_)" sourceLinked="0"/>
        <c:majorTickMark val="out"/>
        <c:minorTickMark val="none"/>
        <c:tickLblPos val="nextTo"/>
        <c:spPr>
          <a:ln w="3175">
            <a:solidFill>
              <a:srgbClr val="000000"/>
            </a:solidFill>
            <a:prstDash val="solid"/>
          </a:ln>
        </c:spPr>
        <c:txPr>
          <a:bodyPr rot="0" vert="horz"/>
          <a:lstStyle/>
          <a:p>
            <a:pPr>
              <a:defRPr sz="1700" b="0" i="0" u="none" strike="noStrike" baseline="0">
                <a:solidFill>
                  <a:srgbClr val="000000"/>
                </a:solidFill>
                <a:latin typeface="Arial"/>
                <a:ea typeface="Arial"/>
                <a:cs typeface="Arial"/>
              </a:defRPr>
            </a:pPr>
            <a:endParaRPr lang="en-US"/>
          </a:p>
        </c:txPr>
        <c:crossAx val="1"/>
        <c:crosses val="autoZero"/>
        <c:auto val="1"/>
        <c:lblAlgn val="ctr"/>
        <c:lblOffset val="100"/>
        <c:tickLblSkip val="2"/>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700" b="1" i="0" u="none" strike="noStrike" baseline="0">
                    <a:solidFill>
                      <a:srgbClr val="000000"/>
                    </a:solidFill>
                    <a:latin typeface="Arial"/>
                    <a:ea typeface="Arial"/>
                    <a:cs typeface="Arial"/>
                  </a:defRPr>
                </a:pPr>
                <a:r>
                  <a:rPr lang="en-GB"/>
                  <a:t>Buyer Shares per Target Share</a:t>
                </a:r>
              </a:p>
            </c:rich>
          </c:tx>
          <c:layout>
            <c:manualLayout>
              <c:xMode val="edge"/>
              <c:yMode val="edge"/>
              <c:x val="2.3109964514835678E-2"/>
              <c:y val="0.34844391209957876"/>
            </c:manualLayout>
          </c:layout>
          <c:overlay val="0"/>
          <c:spPr>
            <a:noFill/>
            <a:ln w="25400">
              <a:noFill/>
            </a:ln>
          </c:spPr>
        </c:title>
        <c:numFmt formatCode="#,##0.0_);\(#,##0.0\)" sourceLinked="0"/>
        <c:majorTickMark val="out"/>
        <c:minorTickMark val="none"/>
        <c:tickLblPos val="nextTo"/>
        <c:spPr>
          <a:ln w="3175">
            <a:solidFill>
              <a:srgbClr val="000000"/>
            </a:solidFill>
            <a:prstDash val="solid"/>
          </a:ln>
        </c:spPr>
        <c:txPr>
          <a:bodyPr rot="0" vert="horz"/>
          <a:lstStyle/>
          <a:p>
            <a:pPr>
              <a:defRPr sz="1700" b="0" i="0" u="none" strike="noStrike" baseline="0">
                <a:solidFill>
                  <a:srgbClr val="000000"/>
                </a:solidFill>
                <a:latin typeface="Arial"/>
                <a:ea typeface="Arial"/>
                <a:cs typeface="Arial"/>
              </a:defRPr>
            </a:pPr>
            <a:endParaRPr lang="en-US"/>
          </a:p>
        </c:txPr>
        <c:crossAx val="704748175"/>
        <c:crosses val="autoZero"/>
        <c:crossBetween val="midCat"/>
      </c:valAx>
      <c:spPr>
        <a:solidFill>
          <a:srgbClr val="FFFFFF"/>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7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609600</xdr:colOff>
      <xdr:row>14</xdr:row>
      <xdr:rowOff>0</xdr:rowOff>
    </xdr:from>
    <xdr:to>
      <xdr:col>8</xdr:col>
      <xdr:colOff>558800</xdr:colOff>
      <xdr:row>35</xdr:row>
      <xdr:rowOff>0</xdr:rowOff>
    </xdr:to>
    <xdr:graphicFrame macro="">
      <xdr:nvGraphicFramePr>
        <xdr:cNvPr id="1025" name="Chart 1">
          <a:extLst>
            <a:ext uri="{FF2B5EF4-FFF2-40B4-BE49-F238E27FC236}">
              <a16:creationId xmlns:a16="http://schemas.microsoft.com/office/drawing/2014/main" id="{84DC1EC3-A35C-45C0-9F62-F9A540362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xdr:colOff>
      <xdr:row>16</xdr:row>
      <xdr:rowOff>0</xdr:rowOff>
    </xdr:from>
    <xdr:to>
      <xdr:col>8</xdr:col>
      <xdr:colOff>38100</xdr:colOff>
      <xdr:row>40</xdr:row>
      <xdr:rowOff>19050</xdr:rowOff>
    </xdr:to>
    <xdr:graphicFrame macro="">
      <xdr:nvGraphicFramePr>
        <xdr:cNvPr id="6145" name="Chart 1">
          <a:extLst>
            <a:ext uri="{FF2B5EF4-FFF2-40B4-BE49-F238E27FC236}">
              <a16:creationId xmlns:a16="http://schemas.microsoft.com/office/drawing/2014/main" id="{967A8CAB-E299-4F96-8B3C-CE77604AF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16</xdr:row>
      <xdr:rowOff>0</xdr:rowOff>
    </xdr:from>
    <xdr:to>
      <xdr:col>14</xdr:col>
      <xdr:colOff>590550</xdr:colOff>
      <xdr:row>40</xdr:row>
      <xdr:rowOff>19050</xdr:rowOff>
    </xdr:to>
    <xdr:graphicFrame macro="">
      <xdr:nvGraphicFramePr>
        <xdr:cNvPr id="6146" name="Chart 2">
          <a:extLst>
            <a:ext uri="{FF2B5EF4-FFF2-40B4-BE49-F238E27FC236}">
              <a16:creationId xmlns:a16="http://schemas.microsoft.com/office/drawing/2014/main" id="{28C70C75-ADC0-46FD-8DFC-DED6AF5C2A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42</xdr:row>
      <xdr:rowOff>0</xdr:rowOff>
    </xdr:from>
    <xdr:to>
      <xdr:col>8</xdr:col>
      <xdr:colOff>0</xdr:colOff>
      <xdr:row>65</xdr:row>
      <xdr:rowOff>152400</xdr:rowOff>
    </xdr:to>
    <xdr:graphicFrame macro="">
      <xdr:nvGraphicFramePr>
        <xdr:cNvPr id="6147" name="Chart 3">
          <a:extLst>
            <a:ext uri="{FF2B5EF4-FFF2-40B4-BE49-F238E27FC236}">
              <a16:creationId xmlns:a16="http://schemas.microsoft.com/office/drawing/2014/main" id="{1C9582D5-3614-4091-AA28-70F06E80B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0</xdr:colOff>
      <xdr:row>68</xdr:row>
      <xdr:rowOff>0</xdr:rowOff>
    </xdr:from>
    <xdr:to>
      <xdr:col>8</xdr:col>
      <xdr:colOff>0</xdr:colOff>
      <xdr:row>90</xdr:row>
      <xdr:rowOff>152400</xdr:rowOff>
    </xdr:to>
    <xdr:graphicFrame macro="">
      <xdr:nvGraphicFramePr>
        <xdr:cNvPr id="6148" name="Chart 4">
          <a:extLst>
            <a:ext uri="{FF2B5EF4-FFF2-40B4-BE49-F238E27FC236}">
              <a16:creationId xmlns:a16="http://schemas.microsoft.com/office/drawing/2014/main" id="{8B356049-FC3A-498C-B3EA-18A870C16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0</xdr:colOff>
      <xdr:row>42</xdr:row>
      <xdr:rowOff>0</xdr:rowOff>
    </xdr:from>
    <xdr:to>
      <xdr:col>15</xdr:col>
      <xdr:colOff>0</xdr:colOff>
      <xdr:row>66</xdr:row>
      <xdr:rowOff>19050</xdr:rowOff>
    </xdr:to>
    <xdr:graphicFrame macro="">
      <xdr:nvGraphicFramePr>
        <xdr:cNvPr id="6149" name="Chart 5">
          <a:extLst>
            <a:ext uri="{FF2B5EF4-FFF2-40B4-BE49-F238E27FC236}">
              <a16:creationId xmlns:a16="http://schemas.microsoft.com/office/drawing/2014/main" id="{F4620C30-D8AE-4739-9936-D9B36C6FB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68</xdr:row>
      <xdr:rowOff>0</xdr:rowOff>
    </xdr:from>
    <xdr:to>
      <xdr:col>15</xdr:col>
      <xdr:colOff>76200</xdr:colOff>
      <xdr:row>91</xdr:row>
      <xdr:rowOff>19050</xdr:rowOff>
    </xdr:to>
    <xdr:graphicFrame macro="">
      <xdr:nvGraphicFramePr>
        <xdr:cNvPr id="6150" name="Chart 6">
          <a:extLst>
            <a:ext uri="{FF2B5EF4-FFF2-40B4-BE49-F238E27FC236}">
              <a16:creationId xmlns:a16="http://schemas.microsoft.com/office/drawing/2014/main" id="{EE6F9064-10E6-4211-9845-83E9729D4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xdr:colOff>
      <xdr:row>15</xdr:row>
      <xdr:rowOff>0</xdr:rowOff>
    </xdr:from>
    <xdr:to>
      <xdr:col>9</xdr:col>
      <xdr:colOff>260350</xdr:colOff>
      <xdr:row>38</xdr:row>
      <xdr:rowOff>57150</xdr:rowOff>
    </xdr:to>
    <xdr:graphicFrame macro="">
      <xdr:nvGraphicFramePr>
        <xdr:cNvPr id="2050" name="Chart 2">
          <a:extLst>
            <a:ext uri="{FF2B5EF4-FFF2-40B4-BE49-F238E27FC236}">
              <a16:creationId xmlns:a16="http://schemas.microsoft.com/office/drawing/2014/main" id="{9672AFFA-CC08-4483-8C55-47613C5CD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19050</xdr:rowOff>
    </xdr:from>
    <xdr:to>
      <xdr:col>16</xdr:col>
      <xdr:colOff>38100</xdr:colOff>
      <xdr:row>38</xdr:row>
      <xdr:rowOff>19050</xdr:rowOff>
    </xdr:to>
    <xdr:graphicFrame macro="">
      <xdr:nvGraphicFramePr>
        <xdr:cNvPr id="2059" name="Chart 11">
          <a:extLst>
            <a:ext uri="{FF2B5EF4-FFF2-40B4-BE49-F238E27FC236}">
              <a16:creationId xmlns:a16="http://schemas.microsoft.com/office/drawing/2014/main" id="{498B2877-B161-44C1-824F-724D1A1ED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41</xdr:row>
      <xdr:rowOff>0</xdr:rowOff>
    </xdr:from>
    <xdr:to>
      <xdr:col>9</xdr:col>
      <xdr:colOff>241300</xdr:colOff>
      <xdr:row>64</xdr:row>
      <xdr:rowOff>19050</xdr:rowOff>
    </xdr:to>
    <xdr:graphicFrame macro="">
      <xdr:nvGraphicFramePr>
        <xdr:cNvPr id="2071" name="Chart 23">
          <a:extLst>
            <a:ext uri="{FF2B5EF4-FFF2-40B4-BE49-F238E27FC236}">
              <a16:creationId xmlns:a16="http://schemas.microsoft.com/office/drawing/2014/main" id="{A82DB8FA-9C23-4C1E-99C1-DA0E6A18A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67</xdr:row>
      <xdr:rowOff>0</xdr:rowOff>
    </xdr:from>
    <xdr:to>
      <xdr:col>9</xdr:col>
      <xdr:colOff>196850</xdr:colOff>
      <xdr:row>89</xdr:row>
      <xdr:rowOff>152400</xdr:rowOff>
    </xdr:to>
    <xdr:graphicFrame macro="">
      <xdr:nvGraphicFramePr>
        <xdr:cNvPr id="2072" name="Chart 24">
          <a:extLst>
            <a:ext uri="{FF2B5EF4-FFF2-40B4-BE49-F238E27FC236}">
              <a16:creationId xmlns:a16="http://schemas.microsoft.com/office/drawing/2014/main" id="{3B76D943-C710-423B-83A2-4A6A460F4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41</xdr:row>
      <xdr:rowOff>19050</xdr:rowOff>
    </xdr:from>
    <xdr:to>
      <xdr:col>16</xdr:col>
      <xdr:colOff>19050</xdr:colOff>
      <xdr:row>64</xdr:row>
      <xdr:rowOff>19050</xdr:rowOff>
    </xdr:to>
    <xdr:graphicFrame macro="">
      <xdr:nvGraphicFramePr>
        <xdr:cNvPr id="2073" name="Chart 25">
          <a:extLst>
            <a:ext uri="{FF2B5EF4-FFF2-40B4-BE49-F238E27FC236}">
              <a16:creationId xmlns:a16="http://schemas.microsoft.com/office/drawing/2014/main" id="{9A6F7317-64A3-486E-8677-D7C529A71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67</xdr:row>
      <xdr:rowOff>0</xdr:rowOff>
    </xdr:from>
    <xdr:to>
      <xdr:col>16</xdr:col>
      <xdr:colOff>38100</xdr:colOff>
      <xdr:row>89</xdr:row>
      <xdr:rowOff>152400</xdr:rowOff>
    </xdr:to>
    <xdr:graphicFrame macro="">
      <xdr:nvGraphicFramePr>
        <xdr:cNvPr id="2074" name="Chart 26">
          <a:extLst>
            <a:ext uri="{FF2B5EF4-FFF2-40B4-BE49-F238E27FC236}">
              <a16:creationId xmlns:a16="http://schemas.microsoft.com/office/drawing/2014/main" id="{2276918E-1849-470B-8C2F-9BDA8E28F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
  <sheetViews>
    <sheetView tabSelected="1" workbookViewId="0">
      <selection activeCell="A3" sqref="A3"/>
    </sheetView>
  </sheetViews>
  <sheetFormatPr defaultRowHeight="12.5" x14ac:dyDescent="0.25"/>
  <sheetData>
    <row r="1" spans="1:10" x14ac:dyDescent="0.25">
      <c r="A1" t="s">
        <v>60</v>
      </c>
    </row>
    <row r="2" spans="1:10" x14ac:dyDescent="0.25">
      <c r="A2" t="s">
        <v>61</v>
      </c>
    </row>
    <row r="4" spans="1:10" ht="140.25" customHeight="1" x14ac:dyDescent="0.25">
      <c r="C4" s="39" t="s">
        <v>62</v>
      </c>
      <c r="D4" s="40"/>
      <c r="E4" s="40"/>
      <c r="F4" s="40"/>
      <c r="G4" s="40"/>
      <c r="H4" s="40"/>
      <c r="I4" s="40"/>
      <c r="J4" s="41"/>
    </row>
    <row r="5" spans="1:10" x14ac:dyDescent="0.25">
      <c r="C5" s="15"/>
      <c r="D5" s="15"/>
      <c r="E5" s="15"/>
      <c r="F5" s="15"/>
      <c r="G5" s="15"/>
      <c r="H5" s="15"/>
    </row>
    <row r="6" spans="1:10" x14ac:dyDescent="0.25">
      <c r="C6" t="s">
        <v>50</v>
      </c>
    </row>
  </sheetData>
  <mergeCells count="1">
    <mergeCell ref="C4:J4"/>
  </mergeCells>
  <phoneticPr fontId="0"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zoomScale="75" workbookViewId="0">
      <selection activeCell="R2" sqref="R2"/>
    </sheetView>
  </sheetViews>
  <sheetFormatPr defaultRowHeight="12.5" x14ac:dyDescent="0.25"/>
  <cols>
    <col min="2" max="2" width="8.1796875" customWidth="1"/>
    <col min="3" max="3" width="10.26953125" customWidth="1"/>
    <col min="4" max="5" width="9.26953125" bestFit="1" customWidth="1"/>
    <col min="6" max="8" width="9.7265625" bestFit="1" customWidth="1"/>
    <col min="9" max="9" width="10.81640625" bestFit="1" customWidth="1"/>
  </cols>
  <sheetData>
    <row r="1" spans="1:9" x14ac:dyDescent="0.25">
      <c r="A1" t="s">
        <v>59</v>
      </c>
    </row>
    <row r="4" spans="1:9" ht="13" x14ac:dyDescent="0.3">
      <c r="D4" s="13" t="s">
        <v>9</v>
      </c>
    </row>
    <row r="5" spans="1:9" x14ac:dyDescent="0.25">
      <c r="D5" t="s">
        <v>10</v>
      </c>
      <c r="G5" s="27">
        <v>1.5</v>
      </c>
    </row>
    <row r="6" spans="1:9" x14ac:dyDescent="0.25">
      <c r="D6" t="s">
        <v>1</v>
      </c>
      <c r="G6" s="29">
        <v>50</v>
      </c>
    </row>
    <row r="7" spans="1:9" x14ac:dyDescent="0.25">
      <c r="D7" t="s">
        <v>0</v>
      </c>
      <c r="G7" s="36">
        <f>G6*G5</f>
        <v>75</v>
      </c>
    </row>
    <row r="9" spans="1:9" ht="13" x14ac:dyDescent="0.3">
      <c r="F9" s="5" t="s">
        <v>2</v>
      </c>
    </row>
    <row r="10" spans="1:9" ht="13" x14ac:dyDescent="0.3">
      <c r="D10" s="6">
        <f>G7</f>
        <v>75</v>
      </c>
      <c r="E10" s="37">
        <v>0</v>
      </c>
      <c r="F10" s="38">
        <v>25</v>
      </c>
      <c r="G10" s="38">
        <v>50</v>
      </c>
      <c r="H10" s="38">
        <v>75</v>
      </c>
      <c r="I10" s="38">
        <v>100</v>
      </c>
    </row>
    <row r="11" spans="1:9" ht="13" x14ac:dyDescent="0.3">
      <c r="C11" s="4" t="s">
        <v>8</v>
      </c>
      <c r="D11" s="35">
        <v>0.5</v>
      </c>
      <c r="E11" s="12">
        <f t="dataTable" ref="E11:I13" dt2D="1" dtr="0" r1="G6" r2="G5"/>
        <v>0</v>
      </c>
      <c r="F11" s="1">
        <v>12.5</v>
      </c>
      <c r="G11" s="1">
        <v>25</v>
      </c>
      <c r="H11" s="1">
        <v>37.5</v>
      </c>
      <c r="I11" s="1">
        <v>50</v>
      </c>
    </row>
    <row r="12" spans="1:9" ht="13" x14ac:dyDescent="0.3">
      <c r="C12" s="4" t="s">
        <v>7</v>
      </c>
      <c r="D12" s="35">
        <v>1</v>
      </c>
      <c r="E12" s="12">
        <v>0</v>
      </c>
      <c r="F12" s="1">
        <v>25</v>
      </c>
      <c r="G12" s="1">
        <v>50</v>
      </c>
      <c r="H12" s="1">
        <v>75</v>
      </c>
      <c r="I12" s="1">
        <v>100</v>
      </c>
    </row>
    <row r="13" spans="1:9" ht="13" x14ac:dyDescent="0.3">
      <c r="D13" s="35">
        <v>1.5</v>
      </c>
      <c r="E13" s="12">
        <v>0</v>
      </c>
      <c r="F13" s="1">
        <v>37.5</v>
      </c>
      <c r="G13" s="1">
        <v>75</v>
      </c>
      <c r="H13" s="1">
        <v>112.5</v>
      </c>
      <c r="I13" s="1">
        <v>150</v>
      </c>
    </row>
    <row r="15" spans="1:9" ht="13" x14ac:dyDescent="0.3">
      <c r="F15" s="3">
        <v>1.5</v>
      </c>
    </row>
  </sheetData>
  <phoneticPr fontId="0" type="noConversion"/>
  <pageMargins left="0.75" right="0.75" top="1" bottom="1" header="0.5" footer="0.5"/>
  <pageSetup paperSize="9" orientation="portrait"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
  <sheetViews>
    <sheetView topLeftCell="B1" zoomScale="50" workbookViewId="0">
      <selection activeCell="B4" sqref="B4:N15"/>
    </sheetView>
  </sheetViews>
  <sheetFormatPr defaultRowHeight="12.5" x14ac:dyDescent="0.25"/>
  <cols>
    <col min="1" max="1" width="5.54296875" customWidth="1"/>
    <col min="3" max="3" width="21.81640625" customWidth="1"/>
    <col min="5" max="5" width="13.7265625" customWidth="1"/>
    <col min="6" max="6" width="15.26953125" customWidth="1"/>
    <col min="7" max="7" width="12.453125" customWidth="1"/>
    <col min="8" max="8" width="14" customWidth="1"/>
    <col min="9" max="9" width="13.81640625" customWidth="1"/>
    <col min="10" max="10" width="13.7265625" customWidth="1"/>
    <col min="11" max="11" width="16" customWidth="1"/>
    <col min="12" max="12" width="15" customWidth="1"/>
    <col min="13" max="13" width="17.453125" customWidth="1"/>
  </cols>
  <sheetData>
    <row r="1" spans="1:13" ht="13" x14ac:dyDescent="0.3">
      <c r="A1" t="s">
        <v>58</v>
      </c>
    </row>
    <row r="4" spans="1:13" ht="13" x14ac:dyDescent="0.3">
      <c r="E4" s="8" t="s">
        <v>17</v>
      </c>
      <c r="F4" s="5"/>
      <c r="H4" s="8"/>
    </row>
    <row r="5" spans="1:13" ht="13" x14ac:dyDescent="0.3">
      <c r="E5" s="8" t="s">
        <v>5</v>
      </c>
      <c r="F5" s="8" t="s">
        <v>13</v>
      </c>
      <c r="G5" s="8" t="s">
        <v>3</v>
      </c>
      <c r="H5" s="8" t="s">
        <v>13</v>
      </c>
      <c r="I5" s="8" t="s">
        <v>14</v>
      </c>
      <c r="J5" s="8" t="s">
        <v>14</v>
      </c>
      <c r="K5" s="42" t="s">
        <v>24</v>
      </c>
      <c r="L5" s="42"/>
      <c r="M5" s="42"/>
    </row>
    <row r="6" spans="1:13" ht="16" x14ac:dyDescent="0.6">
      <c r="E6" s="10" t="s">
        <v>6</v>
      </c>
      <c r="F6" s="11" t="s">
        <v>11</v>
      </c>
      <c r="G6" s="9" t="s">
        <v>4</v>
      </c>
      <c r="H6" s="9" t="s">
        <v>12</v>
      </c>
      <c r="I6" s="14" t="s">
        <v>22</v>
      </c>
      <c r="J6" s="14" t="s">
        <v>23</v>
      </c>
      <c r="K6" s="16" t="s">
        <v>11</v>
      </c>
      <c r="L6" s="17" t="s">
        <v>15</v>
      </c>
      <c r="M6" s="17" t="s">
        <v>16</v>
      </c>
    </row>
    <row r="7" spans="1:13" ht="13" x14ac:dyDescent="0.3">
      <c r="B7" s="5" t="s">
        <v>25</v>
      </c>
      <c r="D7" s="32">
        <v>1</v>
      </c>
      <c r="E7" s="34">
        <v>0.01</v>
      </c>
      <c r="F7" s="19">
        <f>$D$7*E7</f>
        <v>0.01</v>
      </c>
      <c r="G7" s="19">
        <f>I7+J7</f>
        <v>14.99</v>
      </c>
      <c r="H7" s="19">
        <f>F7+G7</f>
        <v>15</v>
      </c>
      <c r="I7" s="7">
        <f t="shared" ref="I7:I12" si="0">IF(E7&gt;$D$8, ($D$8-E7),0)</f>
        <v>0</v>
      </c>
      <c r="J7" s="7">
        <f>IF(E7&lt;$D$10, ($D$10-E7),0)</f>
        <v>14.99</v>
      </c>
      <c r="K7" s="20">
        <f>$D$7</f>
        <v>1</v>
      </c>
      <c r="L7" s="18">
        <f>($D$10/E7)-$D$7</f>
        <v>1499</v>
      </c>
      <c r="M7" s="21">
        <f>K7+L7</f>
        <v>1500</v>
      </c>
    </row>
    <row r="8" spans="1:13" ht="13" x14ac:dyDescent="0.3">
      <c r="B8" s="5" t="s">
        <v>18</v>
      </c>
      <c r="D8" s="29">
        <v>25</v>
      </c>
      <c r="E8" s="34">
        <v>5</v>
      </c>
      <c r="F8" s="19">
        <f t="shared" ref="F8:F15" si="1">$D$7*E8</f>
        <v>5</v>
      </c>
      <c r="G8" s="19">
        <f t="shared" ref="G8:G14" si="2">I8+J8</f>
        <v>10</v>
      </c>
      <c r="H8" s="19">
        <f t="shared" ref="H8:H14" si="3">F8+G8</f>
        <v>15</v>
      </c>
      <c r="I8" s="7">
        <f t="shared" si="0"/>
        <v>0</v>
      </c>
      <c r="J8" s="7">
        <f t="shared" ref="J8:J14" si="4">IF(E8&lt;$D$10, ($D$10-E8),0)</f>
        <v>10</v>
      </c>
      <c r="K8" s="20">
        <f t="shared" ref="K8:K15" si="5">$D$7</f>
        <v>1</v>
      </c>
      <c r="L8" s="18">
        <f>($D$10/E8)-$D$7</f>
        <v>2</v>
      </c>
      <c r="M8" s="21">
        <f t="shared" ref="M8:M14" si="6">K8+L8</f>
        <v>3</v>
      </c>
    </row>
    <row r="9" spans="1:13" ht="13" x14ac:dyDescent="0.3">
      <c r="B9" s="5" t="s">
        <v>20</v>
      </c>
      <c r="D9" s="27">
        <v>0.75</v>
      </c>
      <c r="E9" s="34">
        <v>10</v>
      </c>
      <c r="F9" s="19">
        <f t="shared" si="1"/>
        <v>10</v>
      </c>
      <c r="G9" s="19">
        <f t="shared" si="2"/>
        <v>5</v>
      </c>
      <c r="H9" s="19">
        <f t="shared" si="3"/>
        <v>15</v>
      </c>
      <c r="I9" s="7">
        <f t="shared" si="0"/>
        <v>0</v>
      </c>
      <c r="J9" s="7">
        <f t="shared" si="4"/>
        <v>5</v>
      </c>
      <c r="K9" s="20">
        <f t="shared" si="5"/>
        <v>1</v>
      </c>
      <c r="L9" s="18">
        <f>($D$10/E9)-$D$7</f>
        <v>0.5</v>
      </c>
      <c r="M9" s="21">
        <f t="shared" si="6"/>
        <v>1.5</v>
      </c>
    </row>
    <row r="10" spans="1:13" ht="13" x14ac:dyDescent="0.3">
      <c r="B10" s="5" t="s">
        <v>19</v>
      </c>
      <c r="D10" s="29">
        <v>15</v>
      </c>
      <c r="E10" s="34">
        <v>15</v>
      </c>
      <c r="F10" s="19">
        <f t="shared" si="1"/>
        <v>15</v>
      </c>
      <c r="G10" s="19">
        <f t="shared" si="2"/>
        <v>0</v>
      </c>
      <c r="H10" s="19">
        <f t="shared" si="3"/>
        <v>15</v>
      </c>
      <c r="I10" s="7">
        <f t="shared" si="0"/>
        <v>0</v>
      </c>
      <c r="J10" s="7">
        <f t="shared" si="4"/>
        <v>0</v>
      </c>
      <c r="K10" s="20">
        <f t="shared" si="5"/>
        <v>1</v>
      </c>
      <c r="L10" s="18">
        <f>($D$10/E10)-$D$7</f>
        <v>0</v>
      </c>
      <c r="M10" s="21">
        <f t="shared" si="6"/>
        <v>1</v>
      </c>
    </row>
    <row r="11" spans="1:13" ht="13" x14ac:dyDescent="0.3">
      <c r="B11" s="5" t="s">
        <v>21</v>
      </c>
      <c r="D11" s="32">
        <v>1.5</v>
      </c>
      <c r="E11" s="34">
        <v>20</v>
      </c>
      <c r="F11" s="19">
        <f t="shared" si="1"/>
        <v>20</v>
      </c>
      <c r="G11" s="19">
        <f t="shared" si="2"/>
        <v>0</v>
      </c>
      <c r="H11" s="19">
        <f t="shared" si="3"/>
        <v>20</v>
      </c>
      <c r="I11" s="7">
        <f t="shared" si="0"/>
        <v>0</v>
      </c>
      <c r="J11" s="7">
        <f t="shared" si="4"/>
        <v>0</v>
      </c>
      <c r="K11" s="20">
        <f t="shared" si="5"/>
        <v>1</v>
      </c>
      <c r="L11" s="18">
        <v>0</v>
      </c>
      <c r="M11" s="21">
        <f t="shared" si="6"/>
        <v>1</v>
      </c>
    </row>
    <row r="12" spans="1:13" ht="13" x14ac:dyDescent="0.3">
      <c r="E12" s="34">
        <v>25</v>
      </c>
      <c r="F12" s="19">
        <f t="shared" si="1"/>
        <v>25</v>
      </c>
      <c r="G12" s="19">
        <f t="shared" si="2"/>
        <v>0</v>
      </c>
      <c r="H12" s="19">
        <f t="shared" si="3"/>
        <v>25</v>
      </c>
      <c r="I12" s="7">
        <f t="shared" si="0"/>
        <v>0</v>
      </c>
      <c r="J12" s="7">
        <f t="shared" si="4"/>
        <v>0</v>
      </c>
      <c r="K12" s="20">
        <f t="shared" si="5"/>
        <v>1</v>
      </c>
      <c r="L12" s="18">
        <f>($D$8/E12)-1</f>
        <v>0</v>
      </c>
      <c r="M12" s="21">
        <f t="shared" si="6"/>
        <v>1</v>
      </c>
    </row>
    <row r="13" spans="1:13" ht="13" x14ac:dyDescent="0.3">
      <c r="E13" s="34">
        <v>30</v>
      </c>
      <c r="F13" s="19">
        <f t="shared" si="1"/>
        <v>30</v>
      </c>
      <c r="G13" s="19">
        <f t="shared" si="2"/>
        <v>-5</v>
      </c>
      <c r="H13" s="19">
        <f t="shared" si="3"/>
        <v>25</v>
      </c>
      <c r="I13" s="7">
        <f>IF(E13&gt;$D$8, ($D$8-E13),0)</f>
        <v>-5</v>
      </c>
      <c r="J13" s="7">
        <f t="shared" si="4"/>
        <v>0</v>
      </c>
      <c r="K13" s="20">
        <f t="shared" si="5"/>
        <v>1</v>
      </c>
      <c r="L13" s="18">
        <f>($D$8/E13)-1</f>
        <v>-0.16666666666666663</v>
      </c>
      <c r="M13" s="21">
        <f t="shared" si="6"/>
        <v>0.83333333333333337</v>
      </c>
    </row>
    <row r="14" spans="1:13" ht="13" x14ac:dyDescent="0.3">
      <c r="E14" s="34">
        <v>35</v>
      </c>
      <c r="F14" s="19">
        <f t="shared" si="1"/>
        <v>35</v>
      </c>
      <c r="G14" s="19">
        <f t="shared" si="2"/>
        <v>-10</v>
      </c>
      <c r="H14" s="19">
        <f t="shared" si="3"/>
        <v>25</v>
      </c>
      <c r="I14" s="7">
        <f>IF(E14&gt;$D$8, ($D$8-E14),0)</f>
        <v>-10</v>
      </c>
      <c r="J14" s="7">
        <f t="shared" si="4"/>
        <v>0</v>
      </c>
      <c r="K14" s="20">
        <f t="shared" si="5"/>
        <v>1</v>
      </c>
      <c r="L14" s="18">
        <f>($D$8/E14)-1</f>
        <v>-0.2857142857142857</v>
      </c>
      <c r="M14" s="21">
        <f t="shared" si="6"/>
        <v>0.7142857142857143</v>
      </c>
    </row>
    <row r="15" spans="1:13" ht="13" x14ac:dyDescent="0.3">
      <c r="E15" s="34">
        <v>40</v>
      </c>
      <c r="F15" s="19">
        <f t="shared" si="1"/>
        <v>40</v>
      </c>
      <c r="G15" s="19">
        <f>I15+J15</f>
        <v>-15</v>
      </c>
      <c r="H15" s="19">
        <f>F15+G15</f>
        <v>25</v>
      </c>
      <c r="I15" s="7">
        <f>IF(E15&gt;$D$8, ($D$8-E15),0)</f>
        <v>-15</v>
      </c>
      <c r="J15" s="7">
        <f>IF(E15&lt;$D$10, ($D$10-E15),0)</f>
        <v>0</v>
      </c>
      <c r="K15" s="20">
        <f t="shared" si="5"/>
        <v>1</v>
      </c>
      <c r="L15" s="18">
        <f>($D$8/E15)-1</f>
        <v>-0.375</v>
      </c>
      <c r="M15" s="21">
        <f>K15+L15</f>
        <v>0.625</v>
      </c>
    </row>
  </sheetData>
  <mergeCells count="1">
    <mergeCell ref="K5:M5"/>
  </mergeCells>
  <phoneticPr fontId="0" type="noConversion"/>
  <pageMargins left="0.75" right="0.75" top="1" bottom="1" header="0.5" footer="0.5"/>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P14"/>
  <sheetViews>
    <sheetView zoomScale="50" workbookViewId="0">
      <selection activeCell="O7" sqref="O7"/>
    </sheetView>
  </sheetViews>
  <sheetFormatPr defaultRowHeight="12.5" x14ac:dyDescent="0.25"/>
  <cols>
    <col min="2" max="2" width="11.81640625" customWidth="1"/>
    <col min="4" max="4" width="13.26953125" customWidth="1"/>
    <col min="5" max="5" width="12.54296875" customWidth="1"/>
    <col min="6" max="6" width="14.54296875" customWidth="1"/>
    <col min="7" max="7" width="15.54296875" customWidth="1"/>
    <col min="8" max="8" width="9.81640625" customWidth="1"/>
    <col min="9" max="9" width="16.1796875" customWidth="1"/>
    <col min="10" max="10" width="15.7265625" customWidth="1"/>
    <col min="11" max="12" width="15" customWidth="1"/>
    <col min="13" max="13" width="14.453125" customWidth="1"/>
    <col min="14" max="14" width="13.453125" customWidth="1"/>
    <col min="15" max="15" width="9.54296875" bestFit="1" customWidth="1"/>
    <col min="16" max="16" width="18.54296875" customWidth="1"/>
  </cols>
  <sheetData>
    <row r="1" spans="2:16" ht="13" x14ac:dyDescent="0.3">
      <c r="B1" t="s">
        <v>57</v>
      </c>
      <c r="G1" s="5"/>
      <c r="I1" s="8"/>
    </row>
    <row r="2" spans="2:16" ht="13" x14ac:dyDescent="0.3">
      <c r="F2" s="8"/>
      <c r="G2" s="5"/>
      <c r="I2" s="8"/>
    </row>
    <row r="3" spans="2:16" ht="13" x14ac:dyDescent="0.3">
      <c r="F3" s="8" t="s">
        <v>17</v>
      </c>
      <c r="G3" s="5"/>
      <c r="I3" s="8"/>
    </row>
    <row r="4" spans="2:16" ht="13" x14ac:dyDescent="0.3">
      <c r="F4" s="8" t="s">
        <v>5</v>
      </c>
      <c r="G4" s="8" t="s">
        <v>13</v>
      </c>
      <c r="H4" s="8" t="s">
        <v>3</v>
      </c>
      <c r="I4" s="8" t="s">
        <v>13</v>
      </c>
      <c r="J4" s="8" t="s">
        <v>14</v>
      </c>
      <c r="K4" s="8" t="s">
        <v>14</v>
      </c>
      <c r="L4" s="42" t="s">
        <v>24</v>
      </c>
      <c r="M4" s="42"/>
      <c r="N4" s="42"/>
      <c r="O4" s="42"/>
      <c r="P4" s="42"/>
    </row>
    <row r="5" spans="2:16" ht="16" x14ac:dyDescent="0.6">
      <c r="F5" s="10" t="s">
        <v>6</v>
      </c>
      <c r="G5" s="11" t="s">
        <v>11</v>
      </c>
      <c r="H5" s="9" t="s">
        <v>4</v>
      </c>
      <c r="I5" s="9" t="s">
        <v>12</v>
      </c>
      <c r="J5" s="14" t="s">
        <v>22</v>
      </c>
      <c r="K5" s="14" t="s">
        <v>23</v>
      </c>
      <c r="L5" s="16" t="s">
        <v>11</v>
      </c>
      <c r="M5" s="10" t="s">
        <v>23</v>
      </c>
      <c r="N5" s="17" t="s">
        <v>22</v>
      </c>
      <c r="O5" s="10" t="s">
        <v>4</v>
      </c>
      <c r="P5" s="17" t="s">
        <v>16</v>
      </c>
    </row>
    <row r="6" spans="2:16" ht="13" x14ac:dyDescent="0.3">
      <c r="B6" s="33" t="s">
        <v>56</v>
      </c>
      <c r="E6" s="29">
        <v>20</v>
      </c>
      <c r="F6" s="34">
        <v>0.01</v>
      </c>
      <c r="G6" s="19">
        <f>$E$6</f>
        <v>20</v>
      </c>
      <c r="H6" s="19">
        <f>J6+K6</f>
        <v>-14.99</v>
      </c>
      <c r="I6" s="19">
        <f>G6+H6</f>
        <v>5.01</v>
      </c>
      <c r="J6" s="7">
        <f>IF(F6&gt;$E$7, ($E$8*(F6-$E$7)),0)</f>
        <v>0</v>
      </c>
      <c r="K6" s="7">
        <f>IF(F6&lt;$E$9, -(($E$9-F6)),0)</f>
        <v>-14.99</v>
      </c>
      <c r="L6" s="20">
        <f t="shared" ref="L6:L13" si="0">$E$6/F6</f>
        <v>2000</v>
      </c>
      <c r="M6">
        <f>IF(F6&lt;$F$9,-(L6-$E$10),0)</f>
        <v>-1998.5</v>
      </c>
      <c r="N6" s="18">
        <f>IF(F6&gt;$E$7,-(L6-$E$8),0)</f>
        <v>0</v>
      </c>
      <c r="O6" s="31">
        <f>M6+N6</f>
        <v>-1998.5</v>
      </c>
      <c r="P6" s="21">
        <f>O6+L6</f>
        <v>1.5</v>
      </c>
    </row>
    <row r="7" spans="2:16" ht="13" x14ac:dyDescent="0.3">
      <c r="B7" s="33" t="s">
        <v>18</v>
      </c>
      <c r="E7" s="29">
        <v>25</v>
      </c>
      <c r="F7" s="34">
        <v>5</v>
      </c>
      <c r="G7" s="19">
        <f t="shared" ref="G7:G13" si="1">$E$6</f>
        <v>20</v>
      </c>
      <c r="H7" s="19">
        <f t="shared" ref="H7:H13" si="2">J7+K7</f>
        <v>-10</v>
      </c>
      <c r="I7" s="19">
        <f t="shared" ref="I7:I13" si="3">G7+H7</f>
        <v>10</v>
      </c>
      <c r="J7" s="7">
        <f t="shared" ref="J7:J13" si="4">IF(F7&gt;$E$7, ($E$8*(F7-$E$7)),0)</f>
        <v>0</v>
      </c>
      <c r="K7" s="7">
        <f t="shared" ref="K7:K13" si="5">IF(F7&lt;$E$9, -(($E$9-F7)),0)</f>
        <v>-10</v>
      </c>
      <c r="L7" s="20">
        <f t="shared" si="0"/>
        <v>4</v>
      </c>
      <c r="M7">
        <f t="shared" ref="M7:M13" si="6">IF(F7&lt;$F$9,-(L7-$E$10),0)</f>
        <v>-2.5</v>
      </c>
      <c r="N7" s="18">
        <f t="shared" ref="N7:N13" si="7">IF(F7&gt;$E$7,-(L7-$E$8),0)</f>
        <v>0</v>
      </c>
      <c r="O7" s="31">
        <f t="shared" ref="O7:O13" si="8">M7+N7</f>
        <v>-2.5</v>
      </c>
      <c r="P7" s="21">
        <f t="shared" ref="P7:P13" si="9">O7+L7</f>
        <v>1.5</v>
      </c>
    </row>
    <row r="8" spans="2:16" ht="13" x14ac:dyDescent="0.3">
      <c r="B8" s="33" t="s">
        <v>20</v>
      </c>
      <c r="E8" s="27">
        <v>0.75</v>
      </c>
      <c r="F8" s="34">
        <v>10</v>
      </c>
      <c r="G8" s="19">
        <f t="shared" si="1"/>
        <v>20</v>
      </c>
      <c r="H8" s="19">
        <f t="shared" si="2"/>
        <v>-5</v>
      </c>
      <c r="I8" s="19">
        <f t="shared" si="3"/>
        <v>15</v>
      </c>
      <c r="J8" s="7">
        <f t="shared" si="4"/>
        <v>0</v>
      </c>
      <c r="K8" s="7">
        <f t="shared" si="5"/>
        <v>-5</v>
      </c>
      <c r="L8" s="20">
        <f t="shared" si="0"/>
        <v>2</v>
      </c>
      <c r="M8">
        <f t="shared" si="6"/>
        <v>-0.5</v>
      </c>
      <c r="N8" s="18">
        <f t="shared" si="7"/>
        <v>0</v>
      </c>
      <c r="O8" s="31">
        <f t="shared" si="8"/>
        <v>-0.5</v>
      </c>
      <c r="P8" s="21">
        <f t="shared" si="9"/>
        <v>1.5</v>
      </c>
    </row>
    <row r="9" spans="2:16" ht="13" x14ac:dyDescent="0.3">
      <c r="B9" s="33" t="s">
        <v>19</v>
      </c>
      <c r="E9" s="29">
        <v>15</v>
      </c>
      <c r="F9" s="34">
        <v>15</v>
      </c>
      <c r="G9" s="19">
        <f t="shared" si="1"/>
        <v>20</v>
      </c>
      <c r="H9" s="19">
        <f t="shared" si="2"/>
        <v>0</v>
      </c>
      <c r="I9" s="19">
        <f t="shared" si="3"/>
        <v>20</v>
      </c>
      <c r="J9" s="7">
        <f t="shared" si="4"/>
        <v>0</v>
      </c>
      <c r="K9" s="7">
        <f t="shared" si="5"/>
        <v>0</v>
      </c>
      <c r="L9" s="20">
        <f t="shared" si="0"/>
        <v>1.3333333333333333</v>
      </c>
      <c r="M9">
        <f t="shared" si="6"/>
        <v>0</v>
      </c>
      <c r="N9" s="18">
        <f t="shared" si="7"/>
        <v>0</v>
      </c>
      <c r="O9" s="31">
        <f t="shared" si="8"/>
        <v>0</v>
      </c>
      <c r="P9" s="21">
        <f t="shared" si="9"/>
        <v>1.3333333333333333</v>
      </c>
    </row>
    <row r="10" spans="2:16" ht="13" x14ac:dyDescent="0.3">
      <c r="B10" s="33" t="s">
        <v>21</v>
      </c>
      <c r="E10" s="32">
        <v>1.5</v>
      </c>
      <c r="F10" s="34">
        <v>20</v>
      </c>
      <c r="G10" s="19">
        <f t="shared" si="1"/>
        <v>20</v>
      </c>
      <c r="H10" s="19">
        <f t="shared" si="2"/>
        <v>0</v>
      </c>
      <c r="I10" s="19">
        <f t="shared" si="3"/>
        <v>20</v>
      </c>
      <c r="J10" s="7">
        <f t="shared" si="4"/>
        <v>0</v>
      </c>
      <c r="K10" s="7">
        <f t="shared" si="5"/>
        <v>0</v>
      </c>
      <c r="L10" s="20">
        <f t="shared" si="0"/>
        <v>1</v>
      </c>
      <c r="M10">
        <f t="shared" si="6"/>
        <v>0</v>
      </c>
      <c r="N10" s="18">
        <f t="shared" si="7"/>
        <v>0</v>
      </c>
      <c r="O10" s="31">
        <f t="shared" si="8"/>
        <v>0</v>
      </c>
      <c r="P10" s="21">
        <f t="shared" si="9"/>
        <v>1</v>
      </c>
    </row>
    <row r="11" spans="2:16" ht="13" x14ac:dyDescent="0.3">
      <c r="F11" s="34">
        <v>25</v>
      </c>
      <c r="G11" s="19">
        <f t="shared" si="1"/>
        <v>20</v>
      </c>
      <c r="H11" s="19">
        <f t="shared" si="2"/>
        <v>0</v>
      </c>
      <c r="I11" s="19">
        <f t="shared" si="3"/>
        <v>20</v>
      </c>
      <c r="J11" s="7">
        <f t="shared" si="4"/>
        <v>0</v>
      </c>
      <c r="K11" s="7">
        <f t="shared" si="5"/>
        <v>0</v>
      </c>
      <c r="L11" s="20">
        <f t="shared" si="0"/>
        <v>0.8</v>
      </c>
      <c r="M11">
        <f t="shared" si="6"/>
        <v>0</v>
      </c>
      <c r="N11" s="18">
        <f t="shared" si="7"/>
        <v>0</v>
      </c>
      <c r="O11" s="31">
        <f t="shared" si="8"/>
        <v>0</v>
      </c>
      <c r="P11" s="21">
        <f t="shared" si="9"/>
        <v>0.8</v>
      </c>
    </row>
    <row r="12" spans="2:16" ht="13" x14ac:dyDescent="0.3">
      <c r="F12" s="34">
        <v>30</v>
      </c>
      <c r="G12" s="19">
        <f t="shared" si="1"/>
        <v>20</v>
      </c>
      <c r="H12" s="19">
        <f t="shared" si="2"/>
        <v>3.75</v>
      </c>
      <c r="I12" s="19">
        <f t="shared" si="3"/>
        <v>23.75</v>
      </c>
      <c r="J12" s="7">
        <f t="shared" si="4"/>
        <v>3.75</v>
      </c>
      <c r="K12" s="7">
        <f t="shared" si="5"/>
        <v>0</v>
      </c>
      <c r="L12" s="20">
        <f t="shared" si="0"/>
        <v>0.66666666666666663</v>
      </c>
      <c r="M12">
        <f t="shared" si="6"/>
        <v>0</v>
      </c>
      <c r="N12" s="18">
        <f t="shared" si="7"/>
        <v>8.333333333333337E-2</v>
      </c>
      <c r="O12" s="31">
        <f t="shared" si="8"/>
        <v>8.333333333333337E-2</v>
      </c>
      <c r="P12" s="21">
        <f t="shared" si="9"/>
        <v>0.75</v>
      </c>
    </row>
    <row r="13" spans="2:16" ht="13" x14ac:dyDescent="0.3">
      <c r="F13" s="34">
        <v>35</v>
      </c>
      <c r="G13" s="19">
        <f t="shared" si="1"/>
        <v>20</v>
      </c>
      <c r="H13" s="19">
        <f t="shared" si="2"/>
        <v>7.5</v>
      </c>
      <c r="I13" s="19">
        <f t="shared" si="3"/>
        <v>27.5</v>
      </c>
      <c r="J13" s="7">
        <f t="shared" si="4"/>
        <v>7.5</v>
      </c>
      <c r="K13" s="7">
        <f t="shared" si="5"/>
        <v>0</v>
      </c>
      <c r="L13" s="20">
        <f t="shared" si="0"/>
        <v>0.5714285714285714</v>
      </c>
      <c r="M13">
        <f t="shared" si="6"/>
        <v>0</v>
      </c>
      <c r="N13" s="18">
        <f t="shared" si="7"/>
        <v>0.1785714285714286</v>
      </c>
      <c r="O13" s="31">
        <f t="shared" si="8"/>
        <v>0.1785714285714286</v>
      </c>
      <c r="P13" s="21">
        <f t="shared" si="9"/>
        <v>0.75</v>
      </c>
    </row>
    <row r="14" spans="2:16" ht="16" x14ac:dyDescent="0.6">
      <c r="F14" s="10"/>
      <c r="G14" s="11"/>
      <c r="H14" s="9"/>
      <c r="I14" s="9"/>
      <c r="J14" s="14"/>
      <c r="K14" s="14"/>
      <c r="L14" s="14"/>
      <c r="M14" s="16"/>
      <c r="N14" s="17"/>
      <c r="O14" s="17"/>
    </row>
  </sheetData>
  <mergeCells count="1">
    <mergeCell ref="L4:P4"/>
  </mergeCells>
  <phoneticPr fontId="0" type="noConversion"/>
  <printOptions horizontalCentered="1" verticalCentered="1"/>
  <pageMargins left="0.75" right="0.75" top="1" bottom="1" header="0.5" footer="0.5"/>
  <pageSetup paperSize="9"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workbookViewId="0"/>
  </sheetViews>
  <sheetFormatPr defaultRowHeight="12.5" x14ac:dyDescent="0.25"/>
  <cols>
    <col min="3" max="3" width="15.54296875" customWidth="1"/>
    <col min="4" max="4" width="15" customWidth="1"/>
    <col min="5" max="5" width="16" customWidth="1"/>
  </cols>
  <sheetData>
    <row r="1" spans="1:11" ht="13" thickBot="1" x14ac:dyDescent="0.3">
      <c r="A1" t="s">
        <v>49</v>
      </c>
    </row>
    <row r="2" spans="1:11" ht="72" customHeight="1" thickTop="1" thickBot="1" x14ac:dyDescent="0.3">
      <c r="B2" s="43" t="s">
        <v>47</v>
      </c>
      <c r="C2" s="44"/>
      <c r="D2" s="44"/>
      <c r="E2" s="44"/>
      <c r="F2" s="44"/>
      <c r="G2" s="44"/>
      <c r="H2" s="44"/>
      <c r="I2" s="44"/>
      <c r="J2" s="44"/>
      <c r="K2" s="45"/>
    </row>
    <row r="3" spans="1:11" ht="13" thickTop="1" x14ac:dyDescent="0.25"/>
    <row r="4" spans="1:11" x14ac:dyDescent="0.25">
      <c r="B4" s="28" t="s">
        <v>48</v>
      </c>
    </row>
    <row r="6" spans="1:11" x14ac:dyDescent="0.25">
      <c r="B6" t="s">
        <v>26</v>
      </c>
    </row>
    <row r="7" spans="1:11" x14ac:dyDescent="0.25">
      <c r="C7" t="s">
        <v>27</v>
      </c>
      <c r="F7" s="27">
        <v>180</v>
      </c>
    </row>
    <row r="8" spans="1:11" x14ac:dyDescent="0.25">
      <c r="C8" t="s">
        <v>28</v>
      </c>
      <c r="F8" s="27">
        <v>360</v>
      </c>
    </row>
    <row r="9" spans="1:11" x14ac:dyDescent="0.25">
      <c r="C9" t="s">
        <v>29</v>
      </c>
      <c r="F9" s="27">
        <v>90</v>
      </c>
    </row>
    <row r="10" spans="1:11" x14ac:dyDescent="0.25">
      <c r="C10" s="28" t="s">
        <v>45</v>
      </c>
      <c r="D10" s="28"/>
      <c r="E10" s="28"/>
      <c r="F10" s="28" t="e">
        <f ca="1">_xll.RiskTriang(F9,F7,F8)</f>
        <v>#NAME?</v>
      </c>
    </row>
    <row r="11" spans="1:11" x14ac:dyDescent="0.25">
      <c r="B11" t="s">
        <v>32</v>
      </c>
    </row>
    <row r="12" spans="1:11" ht="13" x14ac:dyDescent="0.3">
      <c r="C12" s="25" t="s">
        <v>33</v>
      </c>
    </row>
    <row r="13" spans="1:11" x14ac:dyDescent="0.25">
      <c r="C13" t="s">
        <v>36</v>
      </c>
      <c r="F13" s="29">
        <v>0</v>
      </c>
    </row>
    <row r="14" spans="1:11" x14ac:dyDescent="0.25">
      <c r="C14" t="s">
        <v>38</v>
      </c>
      <c r="F14" t="s">
        <v>42</v>
      </c>
    </row>
    <row r="15" spans="1:11" x14ac:dyDescent="0.25">
      <c r="C15" t="s">
        <v>39</v>
      </c>
      <c r="F15">
        <f>IF(F13=0,0,(MAX(($F$31-F13),0)))</f>
        <v>0</v>
      </c>
    </row>
    <row r="16" spans="1:11" ht="13" x14ac:dyDescent="0.3">
      <c r="C16" s="25" t="s">
        <v>34</v>
      </c>
    </row>
    <row r="17" spans="2:6" x14ac:dyDescent="0.25">
      <c r="C17" t="s">
        <v>36</v>
      </c>
      <c r="F17" s="29">
        <v>0</v>
      </c>
    </row>
    <row r="18" spans="2:6" x14ac:dyDescent="0.25">
      <c r="C18" t="s">
        <v>38</v>
      </c>
      <c r="F18" t="s">
        <v>43</v>
      </c>
    </row>
    <row r="19" spans="2:6" x14ac:dyDescent="0.25">
      <c r="C19" t="s">
        <v>39</v>
      </c>
      <c r="F19" s="2">
        <f>0-IF(F17=0,0,(MAX(($F$31-F17),0)))</f>
        <v>0</v>
      </c>
    </row>
    <row r="20" spans="2:6" ht="13" x14ac:dyDescent="0.3">
      <c r="C20" s="25" t="s">
        <v>35</v>
      </c>
    </row>
    <row r="21" spans="2:6" x14ac:dyDescent="0.25">
      <c r="C21" t="s">
        <v>36</v>
      </c>
      <c r="F21" s="29">
        <v>57</v>
      </c>
    </row>
    <row r="22" spans="2:6" x14ac:dyDescent="0.25">
      <c r="C22" t="s">
        <v>38</v>
      </c>
      <c r="F22" t="s">
        <v>40</v>
      </c>
    </row>
    <row r="23" spans="2:6" x14ac:dyDescent="0.25">
      <c r="C23" t="s">
        <v>39</v>
      </c>
      <c r="F23" s="2" t="e">
        <f ca="1">IF(F21=0,0,(MAX((F21-$F$31),0)))</f>
        <v>#NAME?</v>
      </c>
    </row>
    <row r="24" spans="2:6" ht="13" x14ac:dyDescent="0.3">
      <c r="C24" s="25" t="s">
        <v>37</v>
      </c>
    </row>
    <row r="25" spans="2:6" x14ac:dyDescent="0.25">
      <c r="C25" t="s">
        <v>36</v>
      </c>
      <c r="F25" s="29">
        <v>48.5</v>
      </c>
    </row>
    <row r="26" spans="2:6" x14ac:dyDescent="0.25">
      <c r="C26" t="s">
        <v>38</v>
      </c>
      <c r="F26" t="s">
        <v>41</v>
      </c>
    </row>
    <row r="27" spans="2:6" x14ac:dyDescent="0.25">
      <c r="C27" t="s">
        <v>39</v>
      </c>
      <c r="F27" s="26" t="e">
        <f ca="1">0-IF(F25=0,0,(MAX((F25-$F$31),0)))</f>
        <v>#NAME?</v>
      </c>
    </row>
    <row r="28" spans="2:6" x14ac:dyDescent="0.25">
      <c r="B28" t="s">
        <v>31</v>
      </c>
      <c r="F28" s="29">
        <v>57</v>
      </c>
    </row>
    <row r="29" spans="2:6" ht="13" x14ac:dyDescent="0.3">
      <c r="B29" s="23" t="s">
        <v>30</v>
      </c>
      <c r="F29" s="22">
        <v>0.25</v>
      </c>
    </row>
    <row r="30" spans="2:6" x14ac:dyDescent="0.25">
      <c r="B30" t="s">
        <v>53</v>
      </c>
      <c r="F30" s="1" t="e">
        <f ca="1">F28*F29*($F$10/365)</f>
        <v>#NAME?</v>
      </c>
    </row>
    <row r="31" spans="2:6" x14ac:dyDescent="0.25">
      <c r="B31" t="s">
        <v>44</v>
      </c>
      <c r="F31" s="1" t="e">
        <f ca="1">_xll.RiskNormal(F28,F30)</f>
        <v>#NAME?</v>
      </c>
    </row>
    <row r="32" spans="2:6" x14ac:dyDescent="0.25">
      <c r="B32" t="s">
        <v>51</v>
      </c>
      <c r="F32" s="22">
        <v>0.05</v>
      </c>
    </row>
    <row r="33" spans="2:6" ht="13" x14ac:dyDescent="0.3">
      <c r="B33" s="23" t="s">
        <v>52</v>
      </c>
      <c r="F33" s="22">
        <v>0.15</v>
      </c>
    </row>
    <row r="34" spans="2:6" x14ac:dyDescent="0.25">
      <c r="B34" t="s">
        <v>55</v>
      </c>
      <c r="F34" s="30">
        <f>F32*F33</f>
        <v>7.4999999999999997E-3</v>
      </c>
    </row>
    <row r="35" spans="2:6" x14ac:dyDescent="0.25">
      <c r="B35" t="s">
        <v>54</v>
      </c>
      <c r="F35" s="24" t="e">
        <f ca="1">_xll.RiskNormal(F32,F34)</f>
        <v>#NAME?</v>
      </c>
    </row>
    <row r="37" spans="2:6" x14ac:dyDescent="0.25">
      <c r="B37" t="s">
        <v>46</v>
      </c>
      <c r="F37" s="2" t="e">
        <f ca="1">(F15-F19+F23-F27)/(1+F35)^(F10/365)</f>
        <v>#NAME?</v>
      </c>
    </row>
  </sheetData>
  <mergeCells count="1">
    <mergeCell ref="B2:K2"/>
  </mergeCells>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Intro</vt:lpstr>
      <vt:lpstr>Exh. 3 Value of Unprotected Bid</vt:lpstr>
      <vt:lpstr>Exh. 4-5 Fixed Exchange Ratio</vt:lpstr>
      <vt:lpstr>Fig. 6-7 Fixed Value</vt:lpstr>
      <vt:lpstr>Collar valuation model</vt:lpstr>
      <vt:lpstr>'Fig. 6-7 Fixed Value'!Print_Area</vt:lpstr>
    </vt:vector>
  </TitlesOfParts>
  <Company>IESE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Bruner</dc:creator>
  <cp:lastModifiedBy>Carina Negreanu</cp:lastModifiedBy>
  <cp:lastPrinted>1998-11-05T13:12:56Z</cp:lastPrinted>
  <dcterms:created xsi:type="dcterms:W3CDTF">1998-11-05T11:05:27Z</dcterms:created>
  <dcterms:modified xsi:type="dcterms:W3CDTF">2020-01-27T11:20:19Z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181930964</vt:i4>
  </property>
  <property fmtid="{D5CDD505-2E9C-101B-9397-08002B2CF9AE}" pid="3" name="_EmailSubject">
    <vt:lpwstr>Help with posting files to my website.</vt:lpwstr>
  </property>
  <property fmtid="{D5CDD505-2E9C-101B-9397-08002B2CF9AE}" pid="4" name="_AuthorEmail">
    <vt:lpwstr>BRUNERR@Darden.virginia.edu</vt:lpwstr>
  </property>
  <property fmtid="{D5CDD505-2E9C-101B-9397-08002B2CF9AE}" pid="5" name="_AuthorEmailDisplayName">
    <vt:lpwstr>Bruner, Robert</vt:lpwstr>
  </property>
  <property fmtid="{D5CDD505-2E9C-101B-9397-08002B2CF9AE}" pid="6" name="_ReviewingToolsShownOnce">
    <vt:lpwstr/>
  </property>
</Properties>
</file>