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2112D8B-86E5-4A3F-80F0-113E45D33BF9}" xr6:coauthVersionLast="45" xr6:coauthVersionMax="45" xr10:uidLastSave="{00000000-0000-0000-0000-000000000000}"/>
  <bookViews>
    <workbookView xWindow="3420" yWindow="3420" windowWidth="28800" windowHeight="15460"/>
  </bookViews>
  <sheets>
    <sheet name="1st MP" sheetId="1" r:id="rId1"/>
    <sheet name="2nd MP" sheetId="11" r:id="rId2"/>
    <sheet name="3rd MP" sheetId="10" r:id="rId3"/>
    <sheet name="4th MP" sheetId="9" r:id="rId4"/>
    <sheet name="Summary" sheetId="8" r:id="rId5"/>
    <sheet name="Instructions" sheetId="13" r:id="rId6"/>
  </sheets>
  <definedNames>
    <definedName name="_xlnm.Print_Area" localSheetId="0">'1st MP'!$A$2:$Q$32</definedName>
    <definedName name="_xlnm.Print_Area" localSheetId="1">'2nd MP'!$A$2:$R$32</definedName>
    <definedName name="_xlnm.Print_Area" localSheetId="2">'3rd MP'!$A$2:$R$32</definedName>
    <definedName name="_xlnm.Print_Area" localSheetId="3">'4th MP'!$A$2:$R$32</definedName>
    <definedName name="_xlnm.Print_Area" localSheetId="4">Summary!$A$2:$I$32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3" i="10" l="1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J33" i="10"/>
  <c r="AK33" i="10"/>
  <c r="AL33" i="10"/>
  <c r="AM33" i="10"/>
  <c r="AN33" i="10"/>
  <c r="AO33" i="10"/>
  <c r="AP33" i="10"/>
  <c r="AQ33" i="10"/>
  <c r="AR33" i="10"/>
  <c r="AS33" i="10"/>
  <c r="AT33" i="10"/>
  <c r="AU33" i="10"/>
  <c r="AV33" i="10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AJ33" i="9"/>
  <c r="AK33" i="9"/>
  <c r="AL33" i="9"/>
  <c r="AM33" i="9"/>
  <c r="AN33" i="9"/>
  <c r="AO33" i="9"/>
  <c r="AP33" i="9"/>
  <c r="AQ33" i="9"/>
  <c r="AR33" i="9"/>
  <c r="AS33" i="9"/>
  <c r="AT33" i="9"/>
  <c r="AU33" i="9"/>
  <c r="AV33" i="9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B3" i="1"/>
  <c r="C3" i="1" s="1"/>
  <c r="C3" i="10"/>
  <c r="C33" i="10" s="1"/>
  <c r="C3" i="9"/>
  <c r="C33" i="9" s="1"/>
  <c r="C3" i="11"/>
  <c r="C33" i="11" s="1"/>
  <c r="E33" i="1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B4" i="10"/>
  <c r="D4" i="10" s="1"/>
  <c r="B5" i="10"/>
  <c r="D5" i="10" s="1"/>
  <c r="B6" i="10"/>
  <c r="D6" i="10" s="1"/>
  <c r="B7" i="10"/>
  <c r="D7" i="10" s="1"/>
  <c r="B8" i="10"/>
  <c r="B9" i="10"/>
  <c r="B10" i="10"/>
  <c r="B11" i="10"/>
  <c r="B12" i="10"/>
  <c r="B13" i="10"/>
  <c r="B14" i="10"/>
  <c r="B15" i="10"/>
  <c r="B16" i="10"/>
  <c r="B17" i="10"/>
  <c r="C17" i="10" s="1"/>
  <c r="B18" i="10"/>
  <c r="C18" i="10" s="1"/>
  <c r="B19" i="10"/>
  <c r="C19" i="10" s="1"/>
  <c r="B20" i="10"/>
  <c r="D20" i="8" s="1"/>
  <c r="B21" i="10"/>
  <c r="D21" i="10" s="1"/>
  <c r="B22" i="10"/>
  <c r="D22" i="10" s="1"/>
  <c r="B23" i="10"/>
  <c r="D23" i="10" s="1"/>
  <c r="B24" i="10"/>
  <c r="D24" i="10" s="1"/>
  <c r="B25" i="10"/>
  <c r="D25" i="10" s="1"/>
  <c r="B26" i="10"/>
  <c r="D26" i="10" s="1"/>
  <c r="B27" i="10"/>
  <c r="D27" i="10" s="1"/>
  <c r="B28" i="10"/>
  <c r="B29" i="10"/>
  <c r="B30" i="10"/>
  <c r="B31" i="10"/>
  <c r="B32" i="10"/>
  <c r="B4" i="9"/>
  <c r="B5" i="9"/>
  <c r="B6" i="9"/>
  <c r="B7" i="9"/>
  <c r="B8" i="9"/>
  <c r="B33" i="9" s="1"/>
  <c r="B9" i="9"/>
  <c r="B10" i="9"/>
  <c r="B11" i="9"/>
  <c r="C11" i="9" s="1"/>
  <c r="B12" i="9"/>
  <c r="C12" i="9" s="1"/>
  <c r="B13" i="9"/>
  <c r="C13" i="9" s="1"/>
  <c r="B14" i="9"/>
  <c r="C14" i="9" s="1"/>
  <c r="B15" i="9"/>
  <c r="C15" i="9" s="1"/>
  <c r="B16" i="9"/>
  <c r="C16" i="9" s="1"/>
  <c r="B17" i="9"/>
  <c r="C17" i="9" s="1"/>
  <c r="B18" i="9"/>
  <c r="C18" i="9" s="1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C31" i="9" s="1"/>
  <c r="B32" i="9"/>
  <c r="B4" i="11"/>
  <c r="D4" i="11" s="1"/>
  <c r="B5" i="11"/>
  <c r="C5" i="8" s="1"/>
  <c r="B6" i="11"/>
  <c r="D6" i="11" s="1"/>
  <c r="B7" i="11"/>
  <c r="D7" i="11" s="1"/>
  <c r="B8" i="11"/>
  <c r="D8" i="11" s="1"/>
  <c r="B9" i="11"/>
  <c r="D9" i="11" s="1"/>
  <c r="B10" i="11"/>
  <c r="D10" i="11" s="1"/>
  <c r="B11" i="11"/>
  <c r="B12" i="11"/>
  <c r="B13" i="11"/>
  <c r="B14" i="11"/>
  <c r="B15" i="11"/>
  <c r="B16" i="11"/>
  <c r="B17" i="11"/>
  <c r="B18" i="11"/>
  <c r="C18" i="11" s="1"/>
  <c r="B19" i="11"/>
  <c r="C19" i="11" s="1"/>
  <c r="B20" i="11"/>
  <c r="B21" i="11"/>
  <c r="C21" i="8" s="1"/>
  <c r="B22" i="11"/>
  <c r="C22" i="8" s="1"/>
  <c r="B23" i="11"/>
  <c r="D23" i="11" s="1"/>
  <c r="B24" i="11"/>
  <c r="D24" i="11" s="1"/>
  <c r="B25" i="11"/>
  <c r="C25" i="8" s="1"/>
  <c r="B26" i="11"/>
  <c r="D26" i="11" s="1"/>
  <c r="B27" i="11"/>
  <c r="C27" i="8" s="1"/>
  <c r="B28" i="11"/>
  <c r="D28" i="11" s="1"/>
  <c r="B29" i="11"/>
  <c r="D29" i="11" s="1"/>
  <c r="B30" i="11"/>
  <c r="D30" i="11" s="1"/>
  <c r="B31" i="11"/>
  <c r="B32" i="11"/>
  <c r="B3" i="9"/>
  <c r="B3" i="10"/>
  <c r="B3" i="11"/>
  <c r="B4" i="1"/>
  <c r="B5" i="1"/>
  <c r="B6" i="1"/>
  <c r="C6" i="1" s="1"/>
  <c r="B7" i="1"/>
  <c r="B7" i="8" s="1"/>
  <c r="B8" i="1"/>
  <c r="B9" i="1"/>
  <c r="C9" i="1" s="1"/>
  <c r="B10" i="1"/>
  <c r="B10" i="8" s="1"/>
  <c r="G10" i="8" s="1"/>
  <c r="H10" i="8" s="1"/>
  <c r="B11" i="1"/>
  <c r="C11" i="11" s="1"/>
  <c r="B12" i="1"/>
  <c r="C12" i="11" s="1"/>
  <c r="B13" i="1"/>
  <c r="C13" i="10" s="1"/>
  <c r="B14" i="1"/>
  <c r="C14" i="10" s="1"/>
  <c r="B15" i="1"/>
  <c r="B15" i="8" s="1"/>
  <c r="G15" i="8" s="1"/>
  <c r="H15" i="8" s="1"/>
  <c r="B16" i="1"/>
  <c r="C16" i="10" s="1"/>
  <c r="B17" i="1"/>
  <c r="C17" i="11" s="1"/>
  <c r="B18" i="1"/>
  <c r="B19" i="1"/>
  <c r="B20" i="1"/>
  <c r="B21" i="1"/>
  <c r="B22" i="1"/>
  <c r="B23" i="1"/>
  <c r="B24" i="1"/>
  <c r="B25" i="1"/>
  <c r="B26" i="1"/>
  <c r="C26" i="1" s="1"/>
  <c r="B27" i="1"/>
  <c r="B27" i="8" s="1"/>
  <c r="B28" i="1"/>
  <c r="B29" i="1"/>
  <c r="C29" i="1" s="1"/>
  <c r="B30" i="1"/>
  <c r="B30" i="8" s="1"/>
  <c r="G30" i="8" s="1"/>
  <c r="H30" i="8" s="1"/>
  <c r="B31" i="1"/>
  <c r="C31" i="11" s="1"/>
  <c r="B32" i="1"/>
  <c r="B32" i="8" s="1"/>
  <c r="G32" i="8" s="1"/>
  <c r="H32" i="8" s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D33" i="1"/>
  <c r="C4" i="1"/>
  <c r="C5" i="1"/>
  <c r="C8" i="1"/>
  <c r="C14" i="1"/>
  <c r="C15" i="1"/>
  <c r="C16" i="1"/>
  <c r="C18" i="1"/>
  <c r="C19" i="1"/>
  <c r="C20" i="1"/>
  <c r="C21" i="1"/>
  <c r="C22" i="1"/>
  <c r="C23" i="1"/>
  <c r="C24" i="1"/>
  <c r="C25" i="1"/>
  <c r="C28" i="1"/>
  <c r="C4" i="11"/>
  <c r="C6" i="11"/>
  <c r="C8" i="11"/>
  <c r="C10" i="11"/>
  <c r="C20" i="11"/>
  <c r="C22" i="11"/>
  <c r="C24" i="11"/>
  <c r="C26" i="11"/>
  <c r="C28" i="11"/>
  <c r="C30" i="11"/>
  <c r="D11" i="11"/>
  <c r="D12" i="11"/>
  <c r="D13" i="11"/>
  <c r="D14" i="11"/>
  <c r="D15" i="11"/>
  <c r="D16" i="11"/>
  <c r="D17" i="11"/>
  <c r="D18" i="11"/>
  <c r="D20" i="11"/>
  <c r="D22" i="11"/>
  <c r="D31" i="11"/>
  <c r="D32" i="11"/>
  <c r="C6" i="10"/>
  <c r="C7" i="10"/>
  <c r="C8" i="10"/>
  <c r="C10" i="10"/>
  <c r="C26" i="10"/>
  <c r="C27" i="10"/>
  <c r="C28" i="10"/>
  <c r="C30" i="10"/>
  <c r="E33" i="10"/>
  <c r="D3" i="10"/>
  <c r="D8" i="10"/>
  <c r="D9" i="10"/>
  <c r="D10" i="10"/>
  <c r="D11" i="10"/>
  <c r="D12" i="10"/>
  <c r="D13" i="10"/>
  <c r="D14" i="10"/>
  <c r="D15" i="10"/>
  <c r="D16" i="10"/>
  <c r="D18" i="10"/>
  <c r="D20" i="10"/>
  <c r="D28" i="10"/>
  <c r="D29" i="10"/>
  <c r="D30" i="10"/>
  <c r="D31" i="10"/>
  <c r="D32" i="10"/>
  <c r="C4" i="9"/>
  <c r="C6" i="9"/>
  <c r="C8" i="9"/>
  <c r="C10" i="9"/>
  <c r="C24" i="9"/>
  <c r="C26" i="9"/>
  <c r="C28" i="9"/>
  <c r="C30" i="9"/>
  <c r="E33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C32" i="9"/>
  <c r="E4" i="8"/>
  <c r="E6" i="8"/>
  <c r="G6" i="8" s="1"/>
  <c r="H6" i="8" s="1"/>
  <c r="E8" i="8"/>
  <c r="E9" i="8"/>
  <c r="E10" i="8"/>
  <c r="E11" i="8"/>
  <c r="E12" i="8"/>
  <c r="E13" i="8"/>
  <c r="E14" i="8"/>
  <c r="E15" i="8"/>
  <c r="E16" i="8"/>
  <c r="E17" i="8"/>
  <c r="E18" i="8"/>
  <c r="E20" i="8"/>
  <c r="E22" i="8"/>
  <c r="E24" i="8"/>
  <c r="E26" i="8"/>
  <c r="G26" i="8" s="1"/>
  <c r="H26" i="8" s="1"/>
  <c r="E28" i="8"/>
  <c r="E29" i="8"/>
  <c r="E30" i="8"/>
  <c r="E31" i="8"/>
  <c r="E32" i="8"/>
  <c r="D4" i="8"/>
  <c r="D6" i="8"/>
  <c r="D8" i="8"/>
  <c r="D9" i="8"/>
  <c r="D10" i="8"/>
  <c r="D11" i="8"/>
  <c r="D12" i="8"/>
  <c r="D13" i="8"/>
  <c r="D14" i="8"/>
  <c r="D15" i="8"/>
  <c r="D16" i="8"/>
  <c r="G16" i="8" s="1"/>
  <c r="H16" i="8" s="1"/>
  <c r="D17" i="8"/>
  <c r="D18" i="8"/>
  <c r="D19" i="8"/>
  <c r="D24" i="8"/>
  <c r="D26" i="8"/>
  <c r="D28" i="8"/>
  <c r="D29" i="8"/>
  <c r="D30" i="8"/>
  <c r="D31" i="8"/>
  <c r="D32" i="8"/>
  <c r="E3" i="8"/>
  <c r="D3" i="8"/>
  <c r="G3" i="8" s="1"/>
  <c r="H3" i="8" s="1"/>
  <c r="B4" i="8"/>
  <c r="C4" i="8"/>
  <c r="G4" i="8" s="1"/>
  <c r="H4" i="8" s="1"/>
  <c r="B5" i="8"/>
  <c r="B6" i="8"/>
  <c r="C6" i="8"/>
  <c r="B8" i="8"/>
  <c r="C8" i="8"/>
  <c r="G8" i="8"/>
  <c r="H8" i="8"/>
  <c r="C9" i="8"/>
  <c r="C10" i="8"/>
  <c r="C11" i="8"/>
  <c r="C12" i="8"/>
  <c r="C13" i="8"/>
  <c r="B14" i="8"/>
  <c r="C14" i="8"/>
  <c r="G14" i="8" s="1"/>
  <c r="H14" i="8" s="1"/>
  <c r="C15" i="8"/>
  <c r="B16" i="8"/>
  <c r="C16" i="8"/>
  <c r="C17" i="8"/>
  <c r="B18" i="8"/>
  <c r="C18" i="8"/>
  <c r="G18" i="8"/>
  <c r="H18" i="8"/>
  <c r="B19" i="8"/>
  <c r="C19" i="8"/>
  <c r="B20" i="8"/>
  <c r="G20" i="8" s="1"/>
  <c r="H20" i="8" s="1"/>
  <c r="C20" i="8"/>
  <c r="B21" i="8"/>
  <c r="B22" i="8"/>
  <c r="B23" i="8"/>
  <c r="C23" i="8"/>
  <c r="B24" i="8"/>
  <c r="C24" i="8"/>
  <c r="G24" i="8" s="1"/>
  <c r="H24" i="8" s="1"/>
  <c r="B25" i="8"/>
  <c r="B26" i="8"/>
  <c r="C26" i="8"/>
  <c r="B28" i="8"/>
  <c r="C28" i="8"/>
  <c r="G28" i="8"/>
  <c r="H28" i="8"/>
  <c r="C29" i="8"/>
  <c r="C30" i="8"/>
  <c r="C31" i="8"/>
  <c r="C32" i="8"/>
  <c r="B3" i="8"/>
  <c r="F33" i="8"/>
  <c r="F34" i="8"/>
  <c r="C3" i="8"/>
  <c r="D3" i="11"/>
  <c r="E33" i="8" l="1"/>
  <c r="D33" i="9"/>
  <c r="B33" i="1"/>
  <c r="C25" i="9"/>
  <c r="B33" i="10"/>
  <c r="C12" i="10"/>
  <c r="E27" i="8"/>
  <c r="G27" i="8" s="1"/>
  <c r="H27" i="8" s="1"/>
  <c r="E7" i="8"/>
  <c r="G7" i="8" s="1"/>
  <c r="H7" i="8" s="1"/>
  <c r="C29" i="9"/>
  <c r="C9" i="9"/>
  <c r="D19" i="10"/>
  <c r="C31" i="10"/>
  <c r="C11" i="10"/>
  <c r="D21" i="11"/>
  <c r="C29" i="11"/>
  <c r="C9" i="11"/>
  <c r="C17" i="1"/>
  <c r="B33" i="11"/>
  <c r="B29" i="8"/>
  <c r="G29" i="8" s="1"/>
  <c r="H29" i="8" s="1"/>
  <c r="B9" i="8"/>
  <c r="G9" i="8" s="1"/>
  <c r="H9" i="8" s="1"/>
  <c r="E25" i="8"/>
  <c r="E5" i="8"/>
  <c r="C27" i="9"/>
  <c r="C7" i="9"/>
  <c r="D17" i="10"/>
  <c r="C29" i="10"/>
  <c r="C9" i="10"/>
  <c r="D19" i="11"/>
  <c r="C27" i="11"/>
  <c r="C7" i="11"/>
  <c r="E23" i="8"/>
  <c r="C5" i="9"/>
  <c r="C25" i="11"/>
  <c r="C5" i="11"/>
  <c r="B13" i="8"/>
  <c r="G13" i="8" s="1"/>
  <c r="H13" i="8" s="1"/>
  <c r="E21" i="8"/>
  <c r="C23" i="9"/>
  <c r="C32" i="10"/>
  <c r="C25" i="10"/>
  <c r="C5" i="10"/>
  <c r="C23" i="11"/>
  <c r="C32" i="1"/>
  <c r="C12" i="1"/>
  <c r="E19" i="8"/>
  <c r="G19" i="8" s="1"/>
  <c r="H19" i="8" s="1"/>
  <c r="C21" i="9"/>
  <c r="C23" i="10"/>
  <c r="C32" i="11"/>
  <c r="C21" i="11"/>
  <c r="C30" i="1"/>
  <c r="C10" i="1"/>
  <c r="C22" i="10"/>
  <c r="B17" i="8"/>
  <c r="G17" i="8" s="1"/>
  <c r="H17" i="8" s="1"/>
  <c r="C20" i="9"/>
  <c r="D27" i="8"/>
  <c r="D7" i="8"/>
  <c r="C20" i="10"/>
  <c r="C27" i="1"/>
  <c r="C7" i="1"/>
  <c r="C11" i="1"/>
  <c r="C7" i="8"/>
  <c r="C19" i="9"/>
  <c r="C24" i="10"/>
  <c r="B12" i="8"/>
  <c r="G12" i="8" s="1"/>
  <c r="H12" i="8" s="1"/>
  <c r="D25" i="8"/>
  <c r="G25" i="8" s="1"/>
  <c r="H25" i="8" s="1"/>
  <c r="D5" i="8"/>
  <c r="G5" i="8" s="1"/>
  <c r="H5" i="8" s="1"/>
  <c r="C16" i="11"/>
  <c r="C21" i="10"/>
  <c r="B31" i="8"/>
  <c r="G31" i="8" s="1"/>
  <c r="H31" i="8" s="1"/>
  <c r="B11" i="8"/>
  <c r="G11" i="8" s="1"/>
  <c r="H11" i="8" s="1"/>
  <c r="D27" i="11"/>
  <c r="C15" i="11"/>
  <c r="C4" i="10"/>
  <c r="D23" i="8"/>
  <c r="G23" i="8" s="1"/>
  <c r="H23" i="8" s="1"/>
  <c r="C14" i="11"/>
  <c r="C13" i="1"/>
  <c r="C22" i="9"/>
  <c r="C31" i="1"/>
  <c r="D22" i="8"/>
  <c r="G22" i="8" s="1"/>
  <c r="H22" i="8" s="1"/>
  <c r="C15" i="10"/>
  <c r="D25" i="11"/>
  <c r="D5" i="11"/>
  <c r="C13" i="11"/>
  <c r="D21" i="8"/>
  <c r="G21" i="8" s="1"/>
  <c r="H21" i="8" s="1"/>
  <c r="B33" i="8" l="1"/>
  <c r="G33" i="8" s="1"/>
  <c r="C33" i="1"/>
  <c r="D33" i="10"/>
  <c r="D33" i="8"/>
  <c r="C33" i="8"/>
  <c r="D33" i="11"/>
</calcChain>
</file>

<file path=xl/sharedStrings.xml><?xml version="1.0" encoding="utf-8"?>
<sst xmlns="http://schemas.openxmlformats.org/spreadsheetml/2006/main" count="279" uniqueCount="109">
  <si>
    <t>class average</t>
  </si>
  <si>
    <t>Status</t>
  </si>
  <si>
    <t>Current Average</t>
  </si>
  <si>
    <t>Name</t>
  </si>
  <si>
    <t>Year's Average</t>
  </si>
  <si>
    <t>Final Average</t>
  </si>
  <si>
    <t>Final Exam</t>
  </si>
  <si>
    <t>Final Status</t>
  </si>
  <si>
    <t>count</t>
  </si>
  <si>
    <t>Enter Class Title Here</t>
  </si>
  <si>
    <t>Grade Book Template by</t>
  </si>
  <si>
    <t>Gene Gugliotta</t>
  </si>
  <si>
    <t>thinnmann@yahoo.com</t>
  </si>
  <si>
    <t>http://thinnmann.com</t>
  </si>
  <si>
    <t>ADD COLUMN NOW</t>
  </si>
  <si>
    <t>quiz 1</t>
  </si>
  <si>
    <t>quiz 2</t>
  </si>
  <si>
    <t>quiz 3</t>
  </si>
  <si>
    <t>quiz 4</t>
  </si>
  <si>
    <t>quiz 5</t>
  </si>
  <si>
    <t>quiz 6</t>
  </si>
  <si>
    <t>quiz 7</t>
  </si>
  <si>
    <t>quiz 8</t>
  </si>
  <si>
    <t>quiz 9</t>
  </si>
  <si>
    <t>quiz 10</t>
  </si>
  <si>
    <t>classwork or homework 1</t>
  </si>
  <si>
    <t>classwork or homework 2</t>
  </si>
  <si>
    <t>classwork or homework 3</t>
  </si>
  <si>
    <t>classwork or homework 4</t>
  </si>
  <si>
    <t>classwork or homework 5</t>
  </si>
  <si>
    <t>classwork or homework 6</t>
  </si>
  <si>
    <t>classwork or homework 7</t>
  </si>
  <si>
    <t>classwork or homework 8</t>
  </si>
  <si>
    <t>classwork or homework 9</t>
  </si>
  <si>
    <t>classwork or homework 10</t>
  </si>
  <si>
    <t>classwork or homework 11</t>
  </si>
  <si>
    <t>classwork or homework 12</t>
  </si>
  <si>
    <t>classwork or homework 13</t>
  </si>
  <si>
    <t>classwork or homework 14</t>
  </si>
  <si>
    <t>classwork or homework 15</t>
  </si>
  <si>
    <t>classwork or homework 16</t>
  </si>
  <si>
    <t>classwork or homework 17</t>
  </si>
  <si>
    <t>classwork or homework 18</t>
  </si>
  <si>
    <t>classwork or homework 19</t>
  </si>
  <si>
    <t>classwork or homework 20</t>
  </si>
  <si>
    <t>classwork or homework 21</t>
  </si>
  <si>
    <t>classwork or homework 22</t>
  </si>
  <si>
    <t>classwork or homework 23</t>
  </si>
  <si>
    <t>classwork or homework 24</t>
  </si>
  <si>
    <t>test 1</t>
  </si>
  <si>
    <t>test 2</t>
  </si>
  <si>
    <t>test 3</t>
  </si>
  <si>
    <t>test 4</t>
  </si>
  <si>
    <t>test 5</t>
  </si>
  <si>
    <t>Extra Credit Raw Points</t>
  </si>
  <si>
    <t>Penalty Points (will subtract)</t>
  </si>
  <si>
    <t>MP 1 Average</t>
  </si>
  <si>
    <t>MP 3 Average</t>
  </si>
  <si>
    <t>MP 4 Average</t>
  </si>
  <si>
    <t>MP 2 Average</t>
  </si>
  <si>
    <t>How to use this Grade Book Spreadsheet:</t>
  </si>
  <si>
    <t>1. Assumptions you have to agree with</t>
  </si>
  <si>
    <t>a. You use numerical grades (i.e. 0 – 100%).</t>
  </si>
  <si>
    <t>b. You understand your own system of finding a marking period average based on percentages of grade categories (for example 70% classwork + 30% tests + 20% quizzes).</t>
  </si>
  <si>
    <t>2. Excel file issues</t>
  </si>
  <si>
    <t>a. You have to use a separate Excel file for each class.</t>
  </si>
  <si>
    <t>b. You must back-up your files daily.</t>
  </si>
  <si>
    <t>3. Protected cells</t>
  </si>
  <si>
    <t>a. To prevent you from damaging formulas in the gradebook, the worksheets are protected so you can only enter data in certain cells.</t>
  </si>
  <si>
    <r>
      <t xml:space="preserve">b. If you need to change protected cells, use the Tools menu </t>
    </r>
    <r>
      <rPr>
        <sz val="12"/>
        <rFont val="Wingdings"/>
        <charset val="2"/>
      </rPr>
      <t>à</t>
    </r>
    <r>
      <rPr>
        <sz val="12"/>
        <rFont val="Times New Roman"/>
        <family val="1"/>
      </rPr>
      <t xml:space="preserve"> Protection </t>
    </r>
    <r>
      <rPr>
        <sz val="12"/>
        <rFont val="Wingdings"/>
        <charset val="2"/>
      </rPr>
      <t>à</t>
    </r>
    <r>
      <rPr>
        <sz val="12"/>
        <rFont val="Times New Roman"/>
        <family val="1"/>
      </rPr>
      <t xml:space="preserve"> Unprotect Sheet (there is no password).</t>
    </r>
  </si>
  <si>
    <t>4. Adding students when you first set-up the spreadsheet</t>
  </si>
  <si>
    <r>
      <t xml:space="preserve">a. Add students in the column labeled </t>
    </r>
    <r>
      <rPr>
        <sz val="12"/>
        <color indexed="10"/>
        <rFont val="Times New Roman"/>
        <family val="1"/>
      </rPr>
      <t>Name.</t>
    </r>
  </si>
  <si>
    <t>b. MAKE SURE STUDENT NAMES ARE IN THE SAME ROW ON EVERY SHEET!</t>
  </si>
  <si>
    <t>c. You should SELECT ACROSS ALL SHEETS (except this one) whenever adding students.</t>
  </si>
  <si>
    <t>5. Inserting students later in the year</t>
  </si>
  <si>
    <t>a. Unprotect all sheets.</t>
  </si>
  <si>
    <t>b. Select across all sheets (except this one).</t>
  </si>
  <si>
    <t>c. Insert a row.</t>
  </si>
  <si>
    <r>
      <t xml:space="preserve">d. Type student’s name in </t>
    </r>
    <r>
      <rPr>
        <sz val="12"/>
        <color indexed="10"/>
        <rFont val="Times New Roman"/>
        <family val="1"/>
      </rPr>
      <t>Name</t>
    </r>
    <r>
      <rPr>
        <sz val="12"/>
        <rFont val="Times New Roman"/>
        <family val="1"/>
      </rPr>
      <t xml:space="preserve"> column.</t>
    </r>
  </si>
  <si>
    <t>e. Unselect all sheets.</t>
  </si>
  <si>
    <r>
      <t xml:space="preserve">f. In all </t>
    </r>
    <r>
      <rPr>
        <sz val="12"/>
        <color indexed="12"/>
        <rFont val="Times New Roman"/>
        <family val="1"/>
      </rPr>
      <t>Marking Period</t>
    </r>
    <r>
      <rPr>
        <sz val="12"/>
        <rFont val="Times New Roman"/>
        <family val="1"/>
      </rPr>
      <t xml:space="preserve"> sheets, copy &amp; paste or use the fill handle on all formulas in the </t>
    </r>
    <r>
      <rPr>
        <sz val="12"/>
        <color indexed="10"/>
        <rFont val="Times New Roman"/>
        <family val="1"/>
      </rPr>
      <t>Current Average</t>
    </r>
    <r>
      <rPr>
        <sz val="12"/>
        <rFont val="Times New Roman"/>
        <family val="1"/>
      </rPr>
      <t xml:space="preserve">, </t>
    </r>
    <r>
      <rPr>
        <sz val="12"/>
        <color indexed="10"/>
        <rFont val="Times New Roman"/>
        <family val="1"/>
      </rPr>
      <t>Year Average</t>
    </r>
    <r>
      <rPr>
        <sz val="12"/>
        <rFont val="Times New Roman"/>
        <family val="1"/>
      </rPr>
      <t xml:space="preserve">, and </t>
    </r>
    <r>
      <rPr>
        <sz val="12"/>
        <color indexed="10"/>
        <rFont val="Times New Roman"/>
        <family val="1"/>
      </rPr>
      <t>Status</t>
    </r>
    <r>
      <rPr>
        <sz val="12"/>
        <rFont val="Times New Roman"/>
        <family val="1"/>
      </rPr>
      <t xml:space="preserve"> columns.</t>
    </r>
  </si>
  <si>
    <r>
      <t xml:space="preserve">g. In </t>
    </r>
    <r>
      <rPr>
        <sz val="12"/>
        <color indexed="12"/>
        <rFont val="Times New Roman"/>
        <family val="1"/>
      </rPr>
      <t>Summary</t>
    </r>
    <r>
      <rPr>
        <sz val="12"/>
        <rFont val="Times New Roman"/>
        <family val="1"/>
      </rPr>
      <t xml:space="preserve"> sheet, copy &amp; paste or use the fill handle on all formulas in all columns except </t>
    </r>
    <r>
      <rPr>
        <sz val="12"/>
        <color indexed="10"/>
        <rFont val="Times New Roman"/>
        <family val="1"/>
      </rPr>
      <t>Name.</t>
    </r>
  </si>
  <si>
    <t>6. Removing students</t>
  </si>
  <si>
    <t>a. If a student was ever in you class HIDE THE ROW instead of deleting (this is good for accountability).</t>
  </si>
  <si>
    <t>b. If you must delete a student DELETE THE ENTIRE ROW FROM EVERY SHEET.</t>
  </si>
  <si>
    <t>c. You will have to unprotect sheets to delete rows.</t>
  </si>
  <si>
    <t>7. Marking Period Averages</t>
  </si>
  <si>
    <t>a. This is set up to average at 70% classwork + 30% tests + 20% quizzes.</t>
  </si>
  <si>
    <t>b. There are two columns for adding or subtracting extra raw points for extra credit or penalties.</t>
  </si>
  <si>
    <t>c. You may customize averages based on your particular grading system.</t>
  </si>
  <si>
    <t>d. You will have to unprotect sheets to change averaging formulas.</t>
  </si>
  <si>
    <t>8. Errors in cells that should show student averages</t>
  </si>
  <si>
    <r>
      <t xml:space="preserve">a. You will see two kinds of errors:  </t>
    </r>
    <r>
      <rPr>
        <sz val="12"/>
        <color indexed="10"/>
        <rFont val="Times New Roman"/>
        <family val="1"/>
      </rPr>
      <t>#DIV/0</t>
    </r>
    <r>
      <rPr>
        <sz val="12"/>
        <rFont val="Times New Roman"/>
        <family val="1"/>
      </rPr>
      <t xml:space="preserve"> and </t>
    </r>
    <r>
      <rPr>
        <sz val="12"/>
        <color indexed="10"/>
        <rFont val="Times New Roman"/>
        <family val="1"/>
      </rPr>
      <t>#VALUE.</t>
    </r>
  </si>
  <si>
    <t>b. This is normal and the errors will go away when you have at least one grade in each grade category (i.e. classwork, homework, and quizzes).</t>
  </si>
  <si>
    <t>c. If you do not like seeing the errors, blanket the entire class with a temporary grade in each category until a real grade is available (give all students a 100% and label it “temp grade” in tests and quiz categories, for example).</t>
  </si>
  <si>
    <t>9. Giving Grades</t>
  </si>
  <si>
    <t>a. Over-write generic assignment names with your own text.</t>
  </si>
  <si>
    <t>b. Zeros will not be included in the average unless you enter “0” for an assignment.</t>
  </si>
  <si>
    <t>c. There is enough space for 24 classwork assignments, 5 tests, and 10 quizzes.</t>
  </si>
  <si>
    <r>
      <t xml:space="preserve">d. If you have more assignments than given on the worksheet, DO NOT USE THE COLUMN LABELED </t>
    </r>
    <r>
      <rPr>
        <sz val="12"/>
        <color indexed="10"/>
        <rFont val="Times New Roman"/>
        <family val="1"/>
      </rPr>
      <t>ADD COLUMN NOW</t>
    </r>
    <r>
      <rPr>
        <sz val="12"/>
        <rFont val="Times New Roman"/>
        <family val="1"/>
      </rPr>
      <t xml:space="preserve">!  Insert a column before adding another set of grades!  This will allow all the formulas for averages to rewrite themselves.  You will have to unprotect the sheet to insert a column, and be sure it inserts before the column labeled </t>
    </r>
    <r>
      <rPr>
        <sz val="12"/>
        <color indexed="10"/>
        <rFont val="Times New Roman"/>
        <family val="1"/>
      </rPr>
      <t>ADD COLUMN NOW</t>
    </r>
    <r>
      <rPr>
        <sz val="12"/>
        <rFont val="Times New Roman"/>
        <family val="1"/>
      </rPr>
      <t>.</t>
    </r>
  </si>
  <si>
    <t>10. Grading tips</t>
  </si>
  <si>
    <t>a. Keep track of particular problems with given assignments by inserting comments within the cell related to the assignment.</t>
  </si>
  <si>
    <t>b. Use the spreadsheet to show students to see how certain grade percentage changes effect their average, then undo the change.</t>
  </si>
  <si>
    <t>11. Printing tips</t>
  </si>
  <si>
    <r>
      <t xml:space="preserve">a. Use the File menu </t>
    </r>
    <r>
      <rPr>
        <sz val="12"/>
        <rFont val="Wingdings"/>
        <charset val="2"/>
      </rPr>
      <t>à</t>
    </r>
    <r>
      <rPr>
        <sz val="12"/>
        <rFont val="Times New Roman"/>
        <family val="1"/>
      </rPr>
      <t xml:space="preserve"> Page Setup dialog before printing.</t>
    </r>
  </si>
  <si>
    <t>b. Check all the tabs thoroughly to avoid waste and frustration.</t>
  </si>
  <si>
    <t>c. Carefully select your print ranges using the collapse button.</t>
  </si>
  <si>
    <r>
      <t xml:space="preserve">d. Repeat student </t>
    </r>
    <r>
      <rPr>
        <sz val="12"/>
        <color indexed="10"/>
        <rFont val="Times New Roman"/>
        <family val="1"/>
      </rPr>
      <t>Name</t>
    </r>
    <r>
      <rPr>
        <sz val="12"/>
        <rFont val="Times New Roman"/>
        <family val="1"/>
      </rPr>
      <t xml:space="preserve"> column and assignment titles row on all printed sheets.</t>
    </r>
  </si>
  <si>
    <t>e. Consider printing grades for individual students for progress reports or before any conferences involving a particular student.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</si>
</sst>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4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u/>
      <sz val="10"/>
      <color indexed="12"/>
      <name val="Arial"/>
      <family val="2"/>
    </font>
    <font>
      <b/>
      <sz val="10"/>
      <color indexed="54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sz val="12"/>
      <name val="Wingdings"/>
      <charset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1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11"/>
      </right>
      <top style="thin">
        <color indexed="64"/>
      </top>
      <bottom style="thick">
        <color indexed="11"/>
      </bottom>
      <diagonal/>
    </border>
    <border>
      <left style="thin">
        <color indexed="64"/>
      </left>
      <right style="thick">
        <color indexed="1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1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1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/>
    <xf numFmtId="0" fontId="0" fillId="2" borderId="1" xfId="0" applyFill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1" fillId="2" borderId="1" xfId="0" applyFont="1" applyFill="1" applyBorder="1" applyAlignment="1">
      <alignment wrapText="1"/>
    </xf>
    <xf numFmtId="1" fontId="2" fillId="3" borderId="1" xfId="0" applyNumberFormat="1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1" fillId="2" borderId="2" xfId="0" applyFon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0" borderId="3" xfId="0" applyBorder="1"/>
    <xf numFmtId="1" fontId="4" fillId="4" borderId="3" xfId="0" applyNumberFormat="1" applyFont="1" applyFill="1" applyBorder="1"/>
    <xf numFmtId="0" fontId="1" fillId="2" borderId="4" xfId="0" applyFont="1" applyFill="1" applyBorder="1" applyAlignment="1">
      <alignment wrapText="1"/>
    </xf>
    <xf numFmtId="1" fontId="10" fillId="3" borderId="5" xfId="0" applyNumberFormat="1" applyFont="1" applyFill="1" applyBorder="1"/>
    <xf numFmtId="0" fontId="0" fillId="0" borderId="5" xfId="0" applyBorder="1"/>
    <xf numFmtId="0" fontId="1" fillId="0" borderId="1" xfId="0" applyFont="1" applyBorder="1"/>
    <xf numFmtId="1" fontId="5" fillId="4" borderId="3" xfId="0" applyNumberFormat="1" applyFont="1" applyFill="1" applyBorder="1"/>
    <xf numFmtId="1" fontId="0" fillId="0" borderId="1" xfId="0" applyNumberFormat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10" fillId="3" borderId="5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" fontId="5" fillId="4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6" xfId="0" applyFont="1" applyBorder="1"/>
    <xf numFmtId="0" fontId="7" fillId="0" borderId="1" xfId="1" applyBorder="1" applyAlignment="1" applyProtection="1"/>
    <xf numFmtId="0" fontId="9" fillId="0" borderId="1" xfId="1" applyFont="1" applyBorder="1" applyAlignment="1" applyProtection="1"/>
    <xf numFmtId="0" fontId="6" fillId="0" borderId="6" xfId="0" applyFont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0" fillId="2" borderId="9" xfId="0" applyFill="1" applyBorder="1" applyAlignment="1" applyProtection="1">
      <alignment wrapText="1"/>
      <protection locked="0"/>
    </xf>
    <xf numFmtId="0" fontId="3" fillId="2" borderId="2" xfId="0" applyFont="1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alignment wrapText="1"/>
      <protection locked="0"/>
    </xf>
    <xf numFmtId="1" fontId="0" fillId="0" borderId="3" xfId="0" applyNumberFormat="1" applyBorder="1" applyAlignment="1" applyProtection="1">
      <alignment horizontal="center"/>
      <protection locked="0"/>
    </xf>
    <xf numFmtId="1" fontId="8" fillId="0" borderId="1" xfId="0" applyNumberFormat="1" applyFont="1" applyFill="1" applyBorder="1" applyAlignment="1" applyProtection="1">
      <alignment horizontal="center"/>
      <protection locked="0"/>
    </xf>
    <xf numFmtId="1" fontId="0" fillId="0" borderId="1" xfId="0" applyNumberFormat="1" applyFill="1" applyBorder="1" applyAlignment="1" applyProtection="1">
      <alignment horizontal="center"/>
      <protection locked="0"/>
    </xf>
    <xf numFmtId="1" fontId="8" fillId="7" borderId="1" xfId="0" applyNumberFormat="1" applyFont="1" applyFill="1" applyBorder="1" applyAlignment="1" applyProtection="1">
      <alignment horizontal="center"/>
      <protection locked="0"/>
    </xf>
    <xf numFmtId="1" fontId="0" fillId="7" borderId="1" xfId="0" applyNumberFormat="1" applyFill="1" applyBorder="1" applyAlignment="1" applyProtection="1">
      <alignment horizontal="center"/>
      <protection locked="0"/>
    </xf>
    <xf numFmtId="1" fontId="1" fillId="7" borderId="10" xfId="0" applyNumberFormat="1" applyFont="1" applyFill="1" applyBorder="1" applyAlignment="1" applyProtection="1">
      <alignment horizontal="center"/>
      <protection locked="0"/>
    </xf>
    <xf numFmtId="0" fontId="0" fillId="8" borderId="1" xfId="0" applyFill="1" applyBorder="1" applyProtection="1">
      <protection locked="0"/>
    </xf>
    <xf numFmtId="0" fontId="0" fillId="9" borderId="1" xfId="0" applyFill="1" applyBorder="1" applyProtection="1">
      <protection locked="0"/>
    </xf>
    <xf numFmtId="0" fontId="0" fillId="10" borderId="1" xfId="0" applyFill="1" applyBorder="1" applyProtection="1">
      <protection locked="0"/>
    </xf>
    <xf numFmtId="1" fontId="11" fillId="0" borderId="1" xfId="0" applyNumberFormat="1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1" fontId="0" fillId="0" borderId="1" xfId="0" applyNumberFormat="1" applyBorder="1" applyAlignment="1" applyProtection="1">
      <alignment horizontal="center"/>
      <protection locked="0"/>
    </xf>
    <xf numFmtId="0" fontId="0" fillId="0" borderId="0" xfId="0" applyAlignment="1">
      <alignment horizontal="left" indent="1"/>
    </xf>
    <xf numFmtId="0" fontId="0" fillId="11" borderId="0" xfId="0" applyFill="1"/>
    <xf numFmtId="0" fontId="0" fillId="0" borderId="0" xfId="0" applyAlignment="1">
      <alignment wrapText="1"/>
    </xf>
    <xf numFmtId="0" fontId="14" fillId="11" borderId="0" xfId="0" applyFont="1" applyFill="1" applyAlignment="1">
      <alignment horizontal="left" wrapText="1"/>
    </xf>
    <xf numFmtId="0" fontId="13" fillId="11" borderId="0" xfId="0" applyFont="1" applyFill="1" applyAlignment="1">
      <alignment wrapText="1"/>
    </xf>
    <xf numFmtId="0" fontId="13" fillId="11" borderId="0" xfId="0" applyFont="1" applyFill="1" applyAlignment="1">
      <alignment horizontal="left" wrapText="1"/>
    </xf>
    <xf numFmtId="0" fontId="0" fillId="11" borderId="0" xfId="0" applyFill="1" applyAlignment="1">
      <alignment wrapText="1"/>
    </xf>
    <xf numFmtId="0" fontId="13" fillId="11" borderId="0" xfId="0" applyFont="1" applyFill="1" applyAlignment="1">
      <alignment horizontal="left" wrapText="1" indent="1"/>
    </xf>
    <xf numFmtId="0" fontId="0" fillId="11" borderId="0" xfId="0" applyFill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Class title</a:t>
            </a:r>
          </a:p>
        </c:rich>
      </c:tx>
      <c:layout>
        <c:manualLayout>
          <c:xMode val="edge"/>
          <c:yMode val="edge"/>
          <c:x val="0.4587811938567023"/>
          <c:y val="3.18851325644236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76504875254386E-2"/>
          <c:y val="0.15072971757727555"/>
          <c:w val="0.90074841725792332"/>
          <c:h val="0.7362566973966920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'1st MP'!$A$3:$A$32</c:f>
              <c:numCache>
                <c:formatCode>General</c:formatCode>
                <c:ptCount val="30"/>
              </c:numCache>
            </c:numRef>
          </c:cat>
          <c:val>
            <c:numRef>
              <c:f>'1st MP'!$B$3:$B$32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2-4B9E-A27B-41B21C73855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88770943"/>
        <c:axId val="1"/>
      </c:barChart>
      <c:catAx>
        <c:axId val="788770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Students</a:t>
                </a:r>
              </a:p>
            </c:rich>
          </c:tx>
          <c:layout>
            <c:manualLayout>
              <c:xMode val="edge"/>
              <c:yMode val="edge"/>
              <c:x val="0.50842243996336112"/>
              <c:y val="0.915972899123443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Current Average</a:t>
                </a:r>
              </a:p>
            </c:rich>
          </c:tx>
          <c:layout>
            <c:manualLayout>
              <c:xMode val="edge"/>
              <c:yMode val="edge"/>
              <c:x val="3.282727565117765E-2"/>
              <c:y val="0.410158750715086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770943"/>
        <c:crosses val="autoZero"/>
        <c:crossBetween val="between"/>
        <c:majorUnit val="10"/>
      </c:valAx>
      <c:spPr>
        <a:solidFill>
          <a:srgbClr val="C0C0C0"/>
        </a:solidFill>
        <a:ln w="12700">
          <a:solidFill>
            <a:srgbClr val="FFFFFF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Class title</a:t>
            </a:r>
          </a:p>
        </c:rich>
      </c:tx>
      <c:layout>
        <c:manualLayout>
          <c:xMode val="edge"/>
          <c:yMode val="edge"/>
          <c:x val="0.4587811938567023"/>
          <c:y val="3.18851325644236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677835394824022E-2"/>
          <c:y val="0.15072971757727555"/>
          <c:w val="0.89914708673835364"/>
          <c:h val="0.7391553458116396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'2nd MP'!$A$3:$A$32</c:f>
              <c:numCache>
                <c:formatCode>General</c:formatCode>
                <c:ptCount val="30"/>
              </c:numCache>
            </c:numRef>
          </c:cat>
          <c:val>
            <c:numRef>
              <c:f>'2nd MP'!$B$3:$B$32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A1-4789-B11B-BCBF5DFC40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88772543"/>
        <c:axId val="1"/>
      </c:barChart>
      <c:catAx>
        <c:axId val="788772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772543"/>
        <c:crosses val="autoZero"/>
        <c:crossBetween val="between"/>
        <c:majorUnit val="10"/>
      </c:valAx>
      <c:spPr>
        <a:solidFill>
          <a:srgbClr val="C0C0C0"/>
        </a:solidFill>
        <a:ln w="12700">
          <a:solidFill>
            <a:srgbClr val="FFFFFF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Class title</a:t>
            </a:r>
          </a:p>
        </c:rich>
      </c:tx>
      <c:layout>
        <c:manualLayout>
          <c:xMode val="edge"/>
          <c:yMode val="edge"/>
          <c:x val="0.4587811938567023"/>
          <c:y val="3.18851325644236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481826953532955E-2"/>
          <c:y val="0.16667228385948737"/>
          <c:w val="0.89434309517964472"/>
          <c:h val="0.718864806907006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'3rd MP'!$A$3:$A$32</c:f>
              <c:numCache>
                <c:formatCode>General</c:formatCode>
                <c:ptCount val="30"/>
              </c:numCache>
            </c:numRef>
          </c:cat>
          <c:val>
            <c:numRef>
              <c:f>'3rd MP'!$B$3:$B$32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A1-49B2-A1C6-9A3A10254C8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88773343"/>
        <c:axId val="1"/>
      </c:barChart>
      <c:catAx>
        <c:axId val="788773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773343"/>
        <c:crosses val="autoZero"/>
        <c:crossBetween val="between"/>
        <c:majorUnit val="10"/>
      </c:valAx>
      <c:spPr>
        <a:solidFill>
          <a:srgbClr val="C0C0C0"/>
        </a:solidFill>
        <a:ln w="12700">
          <a:solidFill>
            <a:srgbClr val="FFFFFF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Class title</a:t>
            </a:r>
          </a:p>
        </c:rich>
      </c:tx>
      <c:layout>
        <c:manualLayout>
          <c:xMode val="edge"/>
          <c:yMode val="edge"/>
          <c:x val="0.4587811938567023"/>
          <c:y val="3.188513256442367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82492213317766E-2"/>
          <c:y val="0.16812160806696119"/>
          <c:w val="0.89354242991985988"/>
          <c:h val="0.7087195374546898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'4th MP'!$A$3:$A$32</c:f>
              <c:numCache>
                <c:formatCode>General</c:formatCode>
                <c:ptCount val="30"/>
              </c:numCache>
            </c:numRef>
          </c:cat>
          <c:val>
            <c:numRef>
              <c:f>'4th MP'!$B$3:$B$32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E-4CCC-90B9-9233EEF7FBD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88774543"/>
        <c:axId val="1"/>
      </c:barChart>
      <c:catAx>
        <c:axId val="788774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Students</a:t>
                </a:r>
              </a:p>
            </c:rich>
          </c:tx>
          <c:layout>
            <c:manualLayout>
              <c:xMode val="edge"/>
              <c:yMode val="edge"/>
              <c:x val="0.51242576626228531"/>
              <c:y val="0.905827629671127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Current Average</a:t>
                </a:r>
              </a:p>
            </c:rich>
          </c:tx>
          <c:layout>
            <c:manualLayout>
              <c:xMode val="edge"/>
              <c:yMode val="edge"/>
              <c:x val="4.0033262989241036E-2"/>
              <c:y val="0.413057399130033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8774543"/>
        <c:crosses val="autoZero"/>
        <c:crossBetween val="between"/>
        <c:majorUnit val="10"/>
      </c:valAx>
      <c:spPr>
        <a:solidFill>
          <a:srgbClr val="C0C0C0"/>
        </a:solidFill>
        <a:ln w="12700">
          <a:solidFill>
            <a:srgbClr val="FFFFFF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Class title</a:t>
            </a:r>
          </a:p>
        </c:rich>
      </c:tx>
      <c:layout>
        <c:manualLayout>
          <c:xMode val="edge"/>
          <c:yMode val="edge"/>
          <c:x val="0.46344751740633183"/>
          <c:y val="6.93837577357332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629229856092077E-2"/>
          <c:y val="0.15385094106619124"/>
          <c:w val="0.90973031194576248"/>
          <c:h val="0.7345628264630895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delete val="1"/>
          </c:dLbls>
          <c:cat>
            <c:numRef>
              <c:f>Summary!$A$3:$A$32</c:f>
              <c:numCache>
                <c:formatCode>General</c:formatCode>
                <c:ptCount val="30"/>
              </c:numCache>
            </c:numRef>
          </c:cat>
          <c:val>
            <c:numRef>
              <c:f>Summary!$G$3:$G$32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7-4292-B997-1554C348B96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881255999"/>
        <c:axId val="1"/>
      </c:barChart>
      <c:catAx>
        <c:axId val="881255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Students</a:t>
                </a:r>
              </a:p>
            </c:rich>
          </c:tx>
          <c:layout>
            <c:manualLayout>
              <c:xMode val="edge"/>
              <c:yMode val="edge"/>
              <c:x val="0.50076213233437783"/>
              <c:y val="0.915563933599785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Current Average</a:t>
                </a:r>
              </a:p>
            </c:rich>
          </c:tx>
          <c:layout>
            <c:manualLayout>
              <c:xMode val="edge"/>
              <c:yMode val="edge"/>
              <c:x val="2.0149892061144863E-2"/>
              <c:y val="0.417810888973872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1255999"/>
        <c:crosses val="autoZero"/>
        <c:crossBetween val="between"/>
        <c:majorUnit val="10"/>
      </c:valAx>
      <c:spPr>
        <a:solidFill>
          <a:srgbClr val="C0C0C0"/>
        </a:solidFill>
        <a:ln w="12700">
          <a:solidFill>
            <a:srgbClr val="FFFFFF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273050</xdr:colOff>
      <xdr:row>34</xdr:row>
      <xdr:rowOff>146050</xdr:rowOff>
    </xdr:from>
    <xdr:to>
      <xdr:col>15</xdr:col>
      <xdr:colOff>50800</xdr:colOff>
      <xdr:row>61</xdr:row>
      <xdr:rowOff>69850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95986D8B-F61F-4551-8DC5-1B3365B25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34</xdr:row>
      <xdr:rowOff>146050</xdr:rowOff>
    </xdr:from>
    <xdr:to>
      <xdr:col>16</xdr:col>
      <xdr:colOff>50800</xdr:colOff>
      <xdr:row>61</xdr:row>
      <xdr:rowOff>69850</xdr:rowOff>
    </xdr:to>
    <xdr:graphicFrame macro="">
      <xdr:nvGraphicFramePr>
        <xdr:cNvPr id="8193" name="Chart 1">
          <a:extLst>
            <a:ext uri="{FF2B5EF4-FFF2-40B4-BE49-F238E27FC236}">
              <a16:creationId xmlns:a16="http://schemas.microsoft.com/office/drawing/2014/main" id="{FBF5CEA2-3EF0-4107-9367-2DBAFA436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34</xdr:row>
      <xdr:rowOff>146050</xdr:rowOff>
    </xdr:from>
    <xdr:to>
      <xdr:col>16</xdr:col>
      <xdr:colOff>50800</xdr:colOff>
      <xdr:row>61</xdr:row>
      <xdr:rowOff>69850</xdr:rowOff>
    </xdr:to>
    <xdr:graphicFrame macro="">
      <xdr:nvGraphicFramePr>
        <xdr:cNvPr id="7169" name="Chart 1">
          <a:extLst>
            <a:ext uri="{FF2B5EF4-FFF2-40B4-BE49-F238E27FC236}">
              <a16:creationId xmlns:a16="http://schemas.microsoft.com/office/drawing/2014/main" id="{7180D05B-D525-4D9F-B4B0-769D92B7E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34</xdr:row>
      <xdr:rowOff>146050</xdr:rowOff>
    </xdr:from>
    <xdr:to>
      <xdr:col>16</xdr:col>
      <xdr:colOff>50800</xdr:colOff>
      <xdr:row>61</xdr:row>
      <xdr:rowOff>69850</xdr:rowOff>
    </xdr:to>
    <xdr:graphicFrame macro="">
      <xdr:nvGraphicFramePr>
        <xdr:cNvPr id="6145" name="Chart 1">
          <a:extLst>
            <a:ext uri="{FF2B5EF4-FFF2-40B4-BE49-F238E27FC236}">
              <a16:creationId xmlns:a16="http://schemas.microsoft.com/office/drawing/2014/main" id="{AC509D4B-9C73-45F9-BBA6-586B035EAF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838200</xdr:colOff>
      <xdr:row>38</xdr:row>
      <xdr:rowOff>139700</xdr:rowOff>
    </xdr:from>
    <xdr:to>
      <xdr:col>13</xdr:col>
      <xdr:colOff>546100</xdr:colOff>
      <xdr:row>65</xdr:row>
      <xdr:rowOff>63500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C4FA8F3C-D1F5-4EED-B963-A4F33880B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thinnmann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thinnmann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thinnmann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thinnmann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thinnmann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38"/>
  <sheetViews>
    <sheetView tabSelected="1" zoomScale="75" workbookViewId="0">
      <pane xSplit="3" ySplit="2" topLeftCell="D3" activePane="bottomRight" state="frozen"/>
      <selection pane="topRight" activeCell="E1" sqref="E1"/>
      <selection pane="bottomLeft" activeCell="A3" sqref="A3"/>
      <selection pane="bottomRight"/>
    </sheetView>
  </sheetViews>
  <sheetFormatPr defaultColWidth="8.81640625" defaultRowHeight="13" x14ac:dyDescent="0.3"/>
  <cols>
    <col min="1" max="1" width="20.453125" style="2" customWidth="1"/>
    <col min="2" max="2" width="9.54296875" style="2" customWidth="1"/>
    <col min="3" max="3" width="11.26953125" style="14" customWidth="1"/>
    <col min="4" max="4" width="9.7265625" style="10" customWidth="1"/>
    <col min="5" max="27" width="9.7265625" style="2" customWidth="1"/>
    <col min="28" max="28" width="10.7265625" style="2" customWidth="1"/>
    <col min="29" max="33" width="8.81640625" style="2" customWidth="1"/>
    <col min="34" max="34" width="8.81640625" style="15" customWidth="1"/>
    <col min="35" max="16384" width="8.81640625" style="2"/>
  </cols>
  <sheetData>
    <row r="1" spans="1:47" s="24" customFormat="1" ht="22.15" customHeight="1" x14ac:dyDescent="0.35">
      <c r="A1" s="30" t="s">
        <v>9</v>
      </c>
      <c r="C1" s="25"/>
      <c r="D1" s="26"/>
      <c r="AH1" s="27"/>
    </row>
    <row r="2" spans="1:47" s="9" customFormat="1" ht="67.150000000000006" customHeight="1" thickBot="1" x14ac:dyDescent="0.35">
      <c r="A2" s="8" t="s">
        <v>3</v>
      </c>
      <c r="B2" s="8" t="s">
        <v>2</v>
      </c>
      <c r="C2" s="12" t="s">
        <v>1</v>
      </c>
      <c r="D2" s="32" t="s">
        <v>25</v>
      </c>
      <c r="E2" s="32" t="s">
        <v>26</v>
      </c>
      <c r="F2" s="32" t="s">
        <v>27</v>
      </c>
      <c r="G2" s="32" t="s">
        <v>28</v>
      </c>
      <c r="H2" s="32" t="s">
        <v>29</v>
      </c>
      <c r="I2" s="32" t="s">
        <v>30</v>
      </c>
      <c r="J2" s="32" t="s">
        <v>31</v>
      </c>
      <c r="K2" s="32" t="s">
        <v>32</v>
      </c>
      <c r="L2" s="32" t="s">
        <v>33</v>
      </c>
      <c r="M2" s="32" t="s">
        <v>34</v>
      </c>
      <c r="N2" s="32" t="s">
        <v>35</v>
      </c>
      <c r="O2" s="32" t="s">
        <v>36</v>
      </c>
      <c r="P2" s="32" t="s">
        <v>37</v>
      </c>
      <c r="Q2" s="32" t="s">
        <v>38</v>
      </c>
      <c r="R2" s="32" t="s">
        <v>39</v>
      </c>
      <c r="S2" s="32" t="s">
        <v>40</v>
      </c>
      <c r="T2" s="32" t="s">
        <v>41</v>
      </c>
      <c r="U2" s="32" t="s">
        <v>42</v>
      </c>
      <c r="V2" s="32" t="s">
        <v>43</v>
      </c>
      <c r="W2" s="32" t="s">
        <v>44</v>
      </c>
      <c r="X2" s="32" t="s">
        <v>45</v>
      </c>
      <c r="Y2" s="32" t="s">
        <v>46</v>
      </c>
      <c r="Z2" s="32" t="s">
        <v>47</v>
      </c>
      <c r="AA2" s="32" t="s">
        <v>48</v>
      </c>
      <c r="AB2" s="32" t="s">
        <v>14</v>
      </c>
      <c r="AC2" s="33" t="s">
        <v>49</v>
      </c>
      <c r="AD2" s="33" t="s">
        <v>50</v>
      </c>
      <c r="AE2" s="33" t="s">
        <v>51</v>
      </c>
      <c r="AF2" s="33" t="s">
        <v>52</v>
      </c>
      <c r="AG2" s="33" t="s">
        <v>53</v>
      </c>
      <c r="AH2" s="33" t="s">
        <v>14</v>
      </c>
      <c r="AI2" s="34" t="s">
        <v>15</v>
      </c>
      <c r="AJ2" s="34" t="s">
        <v>16</v>
      </c>
      <c r="AK2" s="34" t="s">
        <v>17</v>
      </c>
      <c r="AL2" s="34" t="s">
        <v>18</v>
      </c>
      <c r="AM2" s="34" t="s">
        <v>19</v>
      </c>
      <c r="AN2" s="34" t="s">
        <v>20</v>
      </c>
      <c r="AO2" s="34" t="s">
        <v>21</v>
      </c>
      <c r="AP2" s="34" t="s">
        <v>22</v>
      </c>
      <c r="AQ2" s="34" t="s">
        <v>23</v>
      </c>
      <c r="AR2" s="34" t="s">
        <v>24</v>
      </c>
      <c r="AS2" s="34" t="s">
        <v>14</v>
      </c>
      <c r="AT2" s="34" t="s">
        <v>54</v>
      </c>
      <c r="AU2" s="34" t="s">
        <v>55</v>
      </c>
    </row>
    <row r="3" spans="1:47" ht="13.5" thickTop="1" x14ac:dyDescent="0.3">
      <c r="A3" s="31"/>
      <c r="B3" s="5" t="str">
        <f>IF(D3+AC3+AI3&gt;0,AVERAGE(D3:AB3)*50%+AVERAGE(AC3:AH3)*30%+AVERAGE(AI3:AR3)*20%+AT3-AU3,"")</f>
        <v/>
      </c>
      <c r="C3" s="13" t="str">
        <f>IF(B3&gt;=89.5,"Passing A",IF(B3&gt;=79.5,"Passing B",IF(B3&gt;=69.5,"Passing C",IF(B3&gt;=59.5,"Passing D",IF(B3&lt;59.5,"Failing","")))))</f>
        <v>Passing A</v>
      </c>
      <c r="D3" s="35"/>
      <c r="E3" s="36"/>
      <c r="F3" s="36"/>
      <c r="G3" s="36"/>
      <c r="H3" s="36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8"/>
      <c r="AD3" s="39"/>
      <c r="AE3" s="39"/>
      <c r="AF3" s="39"/>
      <c r="AG3" s="39"/>
      <c r="AH3" s="40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2"/>
      <c r="AU3" s="43"/>
    </row>
    <row r="4" spans="1:47" x14ac:dyDescent="0.3">
      <c r="A4" s="31"/>
      <c r="B4" s="5" t="str">
        <f t="shared" ref="B4:B32" si="0">IF(D4+AC4+AI4&gt;0,AVERAGE(D4:AB4)*50%+AVERAGE(AC4:AH4)*30%+AVERAGE(AI4:AR4)*20%+AT4-AU4,"")</f>
        <v/>
      </c>
      <c r="C4" s="13" t="str">
        <f t="shared" ref="C4:C33" si="1">IF(B4&gt;=89.5,"Passing A",IF(B4&gt;=79.5,"Passing B",IF(B4&gt;=69.5,"Passing C",IF(B4&gt;=59.5,"Passing D",IF(B4&lt;59.5,"Failing","")))))</f>
        <v>Passing A</v>
      </c>
      <c r="D4" s="35"/>
      <c r="E4" s="36"/>
      <c r="F4" s="36"/>
      <c r="G4" s="36"/>
      <c r="H4" s="36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8"/>
      <c r="AD4" s="39"/>
      <c r="AE4" s="39"/>
      <c r="AF4" s="39"/>
      <c r="AG4" s="39"/>
      <c r="AH4" s="40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2"/>
      <c r="AU4" s="43"/>
    </row>
    <row r="5" spans="1:47" x14ac:dyDescent="0.3">
      <c r="A5" s="31"/>
      <c r="B5" s="5" t="str">
        <f t="shared" si="0"/>
        <v/>
      </c>
      <c r="C5" s="13" t="str">
        <f t="shared" si="1"/>
        <v>Passing A</v>
      </c>
      <c r="D5" s="35"/>
      <c r="E5" s="36"/>
      <c r="F5" s="36"/>
      <c r="G5" s="36"/>
      <c r="H5" s="36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8"/>
      <c r="AD5" s="39"/>
      <c r="AE5" s="39"/>
      <c r="AF5" s="39"/>
      <c r="AG5" s="39"/>
      <c r="AH5" s="40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2"/>
      <c r="AU5" s="43"/>
    </row>
    <row r="6" spans="1:47" x14ac:dyDescent="0.3">
      <c r="A6" s="31"/>
      <c r="B6" s="5" t="str">
        <f t="shared" si="0"/>
        <v/>
      </c>
      <c r="C6" s="13" t="str">
        <f t="shared" si="1"/>
        <v>Passing A</v>
      </c>
      <c r="D6" s="35"/>
      <c r="E6" s="36"/>
      <c r="F6" s="36"/>
      <c r="G6" s="36"/>
      <c r="H6" s="36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8"/>
      <c r="AD6" s="39"/>
      <c r="AE6" s="39"/>
      <c r="AF6" s="39"/>
      <c r="AG6" s="39"/>
      <c r="AH6" s="40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2"/>
      <c r="AU6" s="43"/>
    </row>
    <row r="7" spans="1:47" x14ac:dyDescent="0.3">
      <c r="A7" s="31"/>
      <c r="B7" s="5" t="str">
        <f t="shared" si="0"/>
        <v/>
      </c>
      <c r="C7" s="13" t="str">
        <f t="shared" si="1"/>
        <v>Passing A</v>
      </c>
      <c r="D7" s="35"/>
      <c r="E7" s="36"/>
      <c r="F7" s="36"/>
      <c r="G7" s="36"/>
      <c r="H7" s="36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8"/>
      <c r="AD7" s="39"/>
      <c r="AE7" s="39"/>
      <c r="AF7" s="39"/>
      <c r="AG7" s="39"/>
      <c r="AH7" s="40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2"/>
      <c r="AU7" s="43"/>
    </row>
    <row r="8" spans="1:47" x14ac:dyDescent="0.3">
      <c r="A8" s="31"/>
      <c r="B8" s="5" t="str">
        <f t="shared" si="0"/>
        <v/>
      </c>
      <c r="C8" s="13" t="str">
        <f t="shared" si="1"/>
        <v>Passing A</v>
      </c>
      <c r="D8" s="35"/>
      <c r="E8" s="36"/>
      <c r="F8" s="36"/>
      <c r="G8" s="36"/>
      <c r="H8" s="36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8"/>
      <c r="AD8" s="39"/>
      <c r="AE8" s="39"/>
      <c r="AF8" s="39"/>
      <c r="AG8" s="39"/>
      <c r="AH8" s="40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2"/>
      <c r="AU8" s="43"/>
    </row>
    <row r="9" spans="1:47" x14ac:dyDescent="0.3">
      <c r="A9" s="31"/>
      <c r="B9" s="5" t="str">
        <f t="shared" si="0"/>
        <v/>
      </c>
      <c r="C9" s="13" t="str">
        <f t="shared" si="1"/>
        <v>Passing A</v>
      </c>
      <c r="D9" s="35"/>
      <c r="E9" s="36"/>
      <c r="F9" s="36"/>
      <c r="G9" s="36"/>
      <c r="H9" s="36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8"/>
      <c r="AD9" s="39"/>
      <c r="AE9" s="39"/>
      <c r="AF9" s="39"/>
      <c r="AG9" s="39"/>
      <c r="AH9" s="40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2"/>
      <c r="AU9" s="43"/>
    </row>
    <row r="10" spans="1:47" x14ac:dyDescent="0.3">
      <c r="A10" s="31"/>
      <c r="B10" s="5" t="str">
        <f t="shared" si="0"/>
        <v/>
      </c>
      <c r="C10" s="13" t="str">
        <f t="shared" si="1"/>
        <v>Passing A</v>
      </c>
      <c r="D10" s="35"/>
      <c r="E10" s="36"/>
      <c r="F10" s="36"/>
      <c r="G10" s="36"/>
      <c r="H10" s="36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8"/>
      <c r="AD10" s="39"/>
      <c r="AE10" s="39"/>
      <c r="AF10" s="39"/>
      <c r="AG10" s="39"/>
      <c r="AH10" s="40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2"/>
      <c r="AU10" s="43"/>
    </row>
    <row r="11" spans="1:47" x14ac:dyDescent="0.3">
      <c r="A11" s="31"/>
      <c r="B11" s="5" t="str">
        <f t="shared" si="0"/>
        <v/>
      </c>
      <c r="C11" s="13" t="str">
        <f t="shared" si="1"/>
        <v>Passing A</v>
      </c>
      <c r="D11" s="35"/>
      <c r="E11" s="36"/>
      <c r="F11" s="36"/>
      <c r="G11" s="36"/>
      <c r="H11" s="36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8"/>
      <c r="AD11" s="39"/>
      <c r="AE11" s="39"/>
      <c r="AF11" s="39"/>
      <c r="AG11" s="39"/>
      <c r="AH11" s="40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2"/>
      <c r="AU11" s="43"/>
    </row>
    <row r="12" spans="1:47" x14ac:dyDescent="0.3">
      <c r="A12" s="31"/>
      <c r="B12" s="5" t="str">
        <f t="shared" si="0"/>
        <v/>
      </c>
      <c r="C12" s="13" t="str">
        <f t="shared" si="1"/>
        <v>Passing A</v>
      </c>
      <c r="D12" s="35"/>
      <c r="E12" s="36"/>
      <c r="F12" s="36"/>
      <c r="G12" s="36"/>
      <c r="H12" s="36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8"/>
      <c r="AD12" s="39"/>
      <c r="AE12" s="39"/>
      <c r="AF12" s="39"/>
      <c r="AG12" s="39"/>
      <c r="AH12" s="40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2"/>
      <c r="AU12" s="43"/>
    </row>
    <row r="13" spans="1:47" x14ac:dyDescent="0.3">
      <c r="A13" s="31"/>
      <c r="B13" s="5" t="str">
        <f t="shared" si="0"/>
        <v/>
      </c>
      <c r="C13" s="13" t="str">
        <f t="shared" si="1"/>
        <v>Passing A</v>
      </c>
      <c r="D13" s="35"/>
      <c r="E13" s="36"/>
      <c r="F13" s="36"/>
      <c r="G13" s="36"/>
      <c r="H13" s="36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8"/>
      <c r="AD13" s="39"/>
      <c r="AE13" s="39"/>
      <c r="AF13" s="39"/>
      <c r="AG13" s="39"/>
      <c r="AH13" s="40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2"/>
      <c r="AU13" s="43"/>
    </row>
    <row r="14" spans="1:47" x14ac:dyDescent="0.3">
      <c r="A14" s="31"/>
      <c r="B14" s="5" t="str">
        <f t="shared" si="0"/>
        <v/>
      </c>
      <c r="C14" s="13" t="str">
        <f t="shared" si="1"/>
        <v>Passing A</v>
      </c>
      <c r="D14" s="35"/>
      <c r="E14" s="36"/>
      <c r="F14" s="36"/>
      <c r="G14" s="36"/>
      <c r="H14" s="3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8"/>
      <c r="AD14" s="39"/>
      <c r="AE14" s="39"/>
      <c r="AF14" s="39"/>
      <c r="AG14" s="39"/>
      <c r="AH14" s="40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2"/>
      <c r="AU14" s="43"/>
    </row>
    <row r="15" spans="1:47" x14ac:dyDescent="0.3">
      <c r="A15" s="31"/>
      <c r="B15" s="5" t="str">
        <f t="shared" si="0"/>
        <v/>
      </c>
      <c r="C15" s="13" t="str">
        <f t="shared" si="1"/>
        <v>Passing A</v>
      </c>
      <c r="D15" s="35"/>
      <c r="E15" s="36"/>
      <c r="F15" s="36"/>
      <c r="G15" s="36"/>
      <c r="H15" s="36"/>
      <c r="I15" s="44"/>
      <c r="J15" s="44"/>
      <c r="K15" s="44"/>
      <c r="L15" s="44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8"/>
      <c r="AD15" s="39"/>
      <c r="AE15" s="38"/>
      <c r="AF15" s="38"/>
      <c r="AG15" s="39"/>
      <c r="AH15" s="40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2"/>
      <c r="AU15" s="43"/>
    </row>
    <row r="16" spans="1:47" x14ac:dyDescent="0.3">
      <c r="A16" s="31"/>
      <c r="B16" s="5" t="str">
        <f t="shared" si="0"/>
        <v/>
      </c>
      <c r="C16" s="13" t="str">
        <f t="shared" si="1"/>
        <v>Passing A</v>
      </c>
      <c r="D16" s="35"/>
      <c r="E16" s="36"/>
      <c r="F16" s="36"/>
      <c r="G16" s="36"/>
      <c r="H16" s="36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8"/>
      <c r="AD16" s="39"/>
      <c r="AE16" s="39"/>
      <c r="AF16" s="39"/>
      <c r="AG16" s="39"/>
      <c r="AH16" s="40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2"/>
      <c r="AU16" s="43"/>
    </row>
    <row r="17" spans="1:47" x14ac:dyDescent="0.3">
      <c r="A17" s="31"/>
      <c r="B17" s="5" t="str">
        <f t="shared" si="0"/>
        <v/>
      </c>
      <c r="C17" s="13" t="str">
        <f t="shared" si="1"/>
        <v>Passing A</v>
      </c>
      <c r="D17" s="35"/>
      <c r="E17" s="36"/>
      <c r="F17" s="36"/>
      <c r="G17" s="36"/>
      <c r="H17" s="36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8"/>
      <c r="AD17" s="39"/>
      <c r="AE17" s="39"/>
      <c r="AF17" s="39"/>
      <c r="AG17" s="39"/>
      <c r="AH17" s="40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2"/>
      <c r="AU17" s="43"/>
    </row>
    <row r="18" spans="1:47" x14ac:dyDescent="0.3">
      <c r="A18" s="31"/>
      <c r="B18" s="5" t="str">
        <f t="shared" si="0"/>
        <v/>
      </c>
      <c r="C18" s="13" t="str">
        <f t="shared" si="1"/>
        <v>Passing A</v>
      </c>
      <c r="D18" s="35"/>
      <c r="E18" s="36"/>
      <c r="F18" s="36"/>
      <c r="G18" s="36"/>
      <c r="H18" s="36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8"/>
      <c r="AD18" s="39"/>
      <c r="AE18" s="39"/>
      <c r="AF18" s="39"/>
      <c r="AG18" s="39"/>
      <c r="AH18" s="40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2"/>
      <c r="AU18" s="43"/>
    </row>
    <row r="19" spans="1:47" x14ac:dyDescent="0.3">
      <c r="A19" s="31"/>
      <c r="B19" s="5" t="str">
        <f t="shared" si="0"/>
        <v/>
      </c>
      <c r="C19" s="13" t="str">
        <f t="shared" si="1"/>
        <v>Passing A</v>
      </c>
      <c r="D19" s="35"/>
      <c r="E19" s="36"/>
      <c r="F19" s="36"/>
      <c r="G19" s="36"/>
      <c r="H19" s="36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8"/>
      <c r="AD19" s="39"/>
      <c r="AE19" s="39"/>
      <c r="AF19" s="39"/>
      <c r="AG19" s="39"/>
      <c r="AH19" s="40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2"/>
      <c r="AU19" s="43"/>
    </row>
    <row r="20" spans="1:47" x14ac:dyDescent="0.3">
      <c r="A20" s="31"/>
      <c r="B20" s="5" t="str">
        <f t="shared" si="0"/>
        <v/>
      </c>
      <c r="C20" s="13" t="str">
        <f t="shared" si="1"/>
        <v>Passing A</v>
      </c>
      <c r="D20" s="35"/>
      <c r="E20" s="36"/>
      <c r="F20" s="36"/>
      <c r="G20" s="36"/>
      <c r="H20" s="36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8"/>
      <c r="AD20" s="39"/>
      <c r="AE20" s="39"/>
      <c r="AF20" s="39"/>
      <c r="AG20" s="39"/>
      <c r="AH20" s="40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2"/>
      <c r="AU20" s="43"/>
    </row>
    <row r="21" spans="1:47" x14ac:dyDescent="0.3">
      <c r="A21" s="31"/>
      <c r="B21" s="5" t="str">
        <f t="shared" si="0"/>
        <v/>
      </c>
      <c r="C21" s="13" t="str">
        <f t="shared" si="1"/>
        <v>Passing A</v>
      </c>
      <c r="D21" s="35"/>
      <c r="E21" s="36"/>
      <c r="F21" s="36"/>
      <c r="G21" s="36"/>
      <c r="H21" s="36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8"/>
      <c r="AD21" s="39"/>
      <c r="AE21" s="39"/>
      <c r="AF21" s="39"/>
      <c r="AG21" s="39"/>
      <c r="AH21" s="40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2"/>
      <c r="AU21" s="43"/>
    </row>
    <row r="22" spans="1:47" x14ac:dyDescent="0.3">
      <c r="A22" s="31"/>
      <c r="B22" s="5" t="str">
        <f t="shared" si="0"/>
        <v/>
      </c>
      <c r="C22" s="13" t="str">
        <f t="shared" si="1"/>
        <v>Passing A</v>
      </c>
      <c r="D22" s="35"/>
      <c r="E22" s="36"/>
      <c r="F22" s="36"/>
      <c r="G22" s="36"/>
      <c r="H22" s="3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8"/>
      <c r="AD22" s="39"/>
      <c r="AE22" s="39"/>
      <c r="AF22" s="39"/>
      <c r="AG22" s="39"/>
      <c r="AH22" s="40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2"/>
      <c r="AU22" s="43"/>
    </row>
    <row r="23" spans="1:47" x14ac:dyDescent="0.3">
      <c r="A23" s="31"/>
      <c r="B23" s="5" t="str">
        <f t="shared" si="0"/>
        <v/>
      </c>
      <c r="C23" s="13" t="str">
        <f t="shared" si="1"/>
        <v>Passing A</v>
      </c>
      <c r="D23" s="35"/>
      <c r="E23" s="36"/>
      <c r="F23" s="36"/>
      <c r="G23" s="36"/>
      <c r="H23" s="36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8"/>
      <c r="AD23" s="39"/>
      <c r="AE23" s="39"/>
      <c r="AF23" s="39"/>
      <c r="AG23" s="39"/>
      <c r="AH23" s="40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2"/>
      <c r="AU23" s="43"/>
    </row>
    <row r="24" spans="1:47" x14ac:dyDescent="0.3">
      <c r="A24" s="31"/>
      <c r="B24" s="5" t="str">
        <f t="shared" si="0"/>
        <v/>
      </c>
      <c r="C24" s="13" t="str">
        <f t="shared" si="1"/>
        <v>Passing A</v>
      </c>
      <c r="D24" s="35"/>
      <c r="E24" s="36"/>
      <c r="F24" s="36"/>
      <c r="G24" s="36"/>
      <c r="H24" s="36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8"/>
      <c r="AD24" s="39"/>
      <c r="AE24" s="39"/>
      <c r="AF24" s="39"/>
      <c r="AG24" s="39"/>
      <c r="AH24" s="40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2"/>
      <c r="AU24" s="43"/>
    </row>
    <row r="25" spans="1:47" x14ac:dyDescent="0.3">
      <c r="A25" s="31"/>
      <c r="B25" s="5" t="str">
        <f t="shared" si="0"/>
        <v/>
      </c>
      <c r="C25" s="13" t="str">
        <f t="shared" si="1"/>
        <v>Passing A</v>
      </c>
      <c r="D25" s="35"/>
      <c r="E25" s="36"/>
      <c r="F25" s="36"/>
      <c r="G25" s="36"/>
      <c r="H25" s="36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8"/>
      <c r="AD25" s="39"/>
      <c r="AE25" s="39"/>
      <c r="AF25" s="39"/>
      <c r="AG25" s="39"/>
      <c r="AH25" s="40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2"/>
      <c r="AU25" s="43"/>
    </row>
    <row r="26" spans="1:47" x14ac:dyDescent="0.3">
      <c r="A26" s="31"/>
      <c r="B26" s="5" t="str">
        <f t="shared" si="0"/>
        <v/>
      </c>
      <c r="C26" s="13" t="str">
        <f t="shared" si="1"/>
        <v>Passing A</v>
      </c>
      <c r="D26" s="35"/>
      <c r="E26" s="36"/>
      <c r="F26" s="36"/>
      <c r="G26" s="36"/>
      <c r="H26" s="36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8"/>
      <c r="AD26" s="39"/>
      <c r="AE26" s="39"/>
      <c r="AF26" s="39"/>
      <c r="AG26" s="39"/>
      <c r="AH26" s="40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2"/>
      <c r="AU26" s="43"/>
    </row>
    <row r="27" spans="1:47" x14ac:dyDescent="0.3">
      <c r="A27" s="31"/>
      <c r="B27" s="5" t="str">
        <f t="shared" si="0"/>
        <v/>
      </c>
      <c r="C27" s="13" t="str">
        <f t="shared" si="1"/>
        <v>Passing A</v>
      </c>
      <c r="D27" s="35"/>
      <c r="E27" s="36"/>
      <c r="F27" s="36"/>
      <c r="G27" s="36"/>
      <c r="H27" s="36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8"/>
      <c r="AD27" s="39"/>
      <c r="AE27" s="39"/>
      <c r="AF27" s="39"/>
      <c r="AG27" s="39"/>
      <c r="AH27" s="40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2"/>
      <c r="AU27" s="43"/>
    </row>
    <row r="28" spans="1:47" x14ac:dyDescent="0.3">
      <c r="A28" s="31"/>
      <c r="B28" s="5" t="str">
        <f t="shared" si="0"/>
        <v/>
      </c>
      <c r="C28" s="13" t="str">
        <f t="shared" si="1"/>
        <v>Passing A</v>
      </c>
      <c r="D28" s="35"/>
      <c r="E28" s="36"/>
      <c r="F28" s="36"/>
      <c r="G28" s="36"/>
      <c r="H28" s="36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8"/>
      <c r="AD28" s="39"/>
      <c r="AE28" s="39"/>
      <c r="AF28" s="39"/>
      <c r="AG28" s="39"/>
      <c r="AH28" s="40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2"/>
      <c r="AU28" s="43"/>
    </row>
    <row r="29" spans="1:47" x14ac:dyDescent="0.3">
      <c r="A29" s="31"/>
      <c r="B29" s="5" t="str">
        <f t="shared" si="0"/>
        <v/>
      </c>
      <c r="C29" s="13" t="str">
        <f t="shared" si="1"/>
        <v>Passing A</v>
      </c>
      <c r="D29" s="35"/>
      <c r="E29" s="36"/>
      <c r="F29" s="36"/>
      <c r="G29" s="36"/>
      <c r="H29" s="36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8"/>
      <c r="AD29" s="39"/>
      <c r="AE29" s="39"/>
      <c r="AF29" s="39"/>
      <c r="AG29" s="39"/>
      <c r="AH29" s="40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2"/>
      <c r="AU29" s="43"/>
    </row>
    <row r="30" spans="1:47" x14ac:dyDescent="0.3">
      <c r="A30" s="31"/>
      <c r="B30" s="5" t="str">
        <f t="shared" si="0"/>
        <v/>
      </c>
      <c r="C30" s="13" t="str">
        <f t="shared" si="1"/>
        <v>Passing A</v>
      </c>
      <c r="D30" s="35"/>
      <c r="E30" s="36"/>
      <c r="F30" s="36"/>
      <c r="G30" s="36"/>
      <c r="H30" s="36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8"/>
      <c r="AD30" s="39"/>
      <c r="AE30" s="39"/>
      <c r="AF30" s="39"/>
      <c r="AG30" s="39"/>
      <c r="AH30" s="40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2"/>
      <c r="AU30" s="43"/>
    </row>
    <row r="31" spans="1:47" x14ac:dyDescent="0.3">
      <c r="A31" s="31"/>
      <c r="B31" s="5" t="str">
        <f t="shared" si="0"/>
        <v/>
      </c>
      <c r="C31" s="13" t="str">
        <f t="shared" si="1"/>
        <v>Passing A</v>
      </c>
      <c r="D31" s="35"/>
      <c r="E31" s="36"/>
      <c r="F31" s="36"/>
      <c r="G31" s="36"/>
      <c r="H31" s="36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8"/>
      <c r="AD31" s="39"/>
      <c r="AE31" s="39"/>
      <c r="AF31" s="39"/>
      <c r="AG31" s="39"/>
      <c r="AH31" s="40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2"/>
      <c r="AU31" s="43"/>
    </row>
    <row r="32" spans="1:47" x14ac:dyDescent="0.3">
      <c r="A32" s="31"/>
      <c r="B32" s="5" t="str">
        <f t="shared" si="0"/>
        <v/>
      </c>
      <c r="C32" s="13" t="str">
        <f t="shared" si="1"/>
        <v>Passing A</v>
      </c>
      <c r="D32" s="35"/>
      <c r="E32" s="36"/>
      <c r="F32" s="36"/>
      <c r="G32" s="36"/>
      <c r="H32" s="36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8"/>
      <c r="AD32" s="39"/>
      <c r="AE32" s="39"/>
      <c r="AF32" s="39"/>
      <c r="AG32" s="39"/>
      <c r="AH32" s="40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2"/>
      <c r="AU32" s="43"/>
    </row>
    <row r="33" spans="1:47" s="6" customFormat="1" x14ac:dyDescent="0.3">
      <c r="A33" s="7" t="s">
        <v>0</v>
      </c>
      <c r="B33" s="11" t="str">
        <f>IF(SUM(B3:B32)&gt;0,AVERAGE(B3:B32),"")</f>
        <v/>
      </c>
      <c r="C33" s="16" t="str">
        <f t="shared" si="1"/>
        <v>Passing A</v>
      </c>
      <c r="D33" s="11" t="str">
        <f>IF(SUM(D3:D32)&gt;0,AVERAGE(D3:D32),"")</f>
        <v/>
      </c>
      <c r="E33" s="11" t="str">
        <f t="shared" ref="E33:AC33" si="2">IF(SUM(E3:E32)&gt;0,AVERAGE(E3:E32),"")</f>
        <v/>
      </c>
      <c r="F33" s="11" t="str">
        <f t="shared" si="2"/>
        <v/>
      </c>
      <c r="G33" s="11" t="str">
        <f t="shared" si="2"/>
        <v/>
      </c>
      <c r="H33" s="11" t="str">
        <f t="shared" si="2"/>
        <v/>
      </c>
      <c r="I33" s="11" t="str">
        <f t="shared" si="2"/>
        <v/>
      </c>
      <c r="J33" s="11" t="str">
        <f t="shared" si="2"/>
        <v/>
      </c>
      <c r="K33" s="11" t="str">
        <f t="shared" si="2"/>
        <v/>
      </c>
      <c r="L33" s="11" t="str">
        <f t="shared" si="2"/>
        <v/>
      </c>
      <c r="M33" s="11" t="str">
        <f t="shared" si="2"/>
        <v/>
      </c>
      <c r="N33" s="11" t="str">
        <f t="shared" si="2"/>
        <v/>
      </c>
      <c r="O33" s="11" t="str">
        <f t="shared" si="2"/>
        <v/>
      </c>
      <c r="P33" s="11" t="str">
        <f t="shared" si="2"/>
        <v/>
      </c>
      <c r="Q33" s="11" t="str">
        <f t="shared" si="2"/>
        <v/>
      </c>
      <c r="R33" s="11" t="str">
        <f t="shared" si="2"/>
        <v/>
      </c>
      <c r="S33" s="11" t="str">
        <f t="shared" si="2"/>
        <v/>
      </c>
      <c r="T33" s="11" t="str">
        <f t="shared" si="2"/>
        <v/>
      </c>
      <c r="U33" s="11" t="str">
        <f t="shared" si="2"/>
        <v/>
      </c>
      <c r="V33" s="11" t="str">
        <f t="shared" si="2"/>
        <v/>
      </c>
      <c r="W33" s="11" t="str">
        <f t="shared" si="2"/>
        <v/>
      </c>
      <c r="X33" s="11" t="str">
        <f t="shared" si="2"/>
        <v/>
      </c>
      <c r="Y33" s="11" t="str">
        <f t="shared" si="2"/>
        <v/>
      </c>
      <c r="Z33" s="11" t="str">
        <f t="shared" si="2"/>
        <v/>
      </c>
      <c r="AA33" s="11" t="str">
        <f t="shared" si="2"/>
        <v/>
      </c>
      <c r="AB33" s="11" t="str">
        <f t="shared" si="2"/>
        <v/>
      </c>
      <c r="AC33" s="11" t="str">
        <f t="shared" si="2"/>
        <v/>
      </c>
      <c r="AD33" s="11" t="str">
        <f t="shared" ref="AD33:AU33" si="3">IF(SUM(AD3:AD32)&gt;0,AVERAGE(AD3:AD32),"")</f>
        <v/>
      </c>
      <c r="AE33" s="11" t="str">
        <f t="shared" si="3"/>
        <v/>
      </c>
      <c r="AF33" s="11" t="str">
        <f t="shared" si="3"/>
        <v/>
      </c>
      <c r="AG33" s="11" t="str">
        <f t="shared" si="3"/>
        <v/>
      </c>
      <c r="AH33" s="11" t="str">
        <f t="shared" si="3"/>
        <v/>
      </c>
      <c r="AI33" s="11" t="str">
        <f t="shared" si="3"/>
        <v/>
      </c>
      <c r="AJ33" s="11" t="str">
        <f t="shared" si="3"/>
        <v/>
      </c>
      <c r="AK33" s="11" t="str">
        <f t="shared" si="3"/>
        <v/>
      </c>
      <c r="AL33" s="11" t="str">
        <f t="shared" si="3"/>
        <v/>
      </c>
      <c r="AM33" s="11" t="str">
        <f t="shared" si="3"/>
        <v/>
      </c>
      <c r="AN33" s="11" t="str">
        <f t="shared" si="3"/>
        <v/>
      </c>
      <c r="AO33" s="11" t="str">
        <f t="shared" si="3"/>
        <v/>
      </c>
      <c r="AP33" s="11" t="str">
        <f t="shared" si="3"/>
        <v/>
      </c>
      <c r="AQ33" s="11" t="str">
        <f t="shared" si="3"/>
        <v/>
      </c>
      <c r="AR33" s="11" t="str">
        <f t="shared" si="3"/>
        <v/>
      </c>
      <c r="AS33" s="11" t="str">
        <f t="shared" si="3"/>
        <v/>
      </c>
      <c r="AT33" s="11" t="str">
        <f t="shared" si="3"/>
        <v/>
      </c>
      <c r="AU33" s="11" t="str">
        <f t="shared" si="3"/>
        <v/>
      </c>
    </row>
    <row r="35" spans="1:47" x14ac:dyDescent="0.3">
      <c r="A35" s="15" t="s">
        <v>10</v>
      </c>
    </row>
    <row r="36" spans="1:47" x14ac:dyDescent="0.3">
      <c r="A36" s="15" t="s">
        <v>11</v>
      </c>
    </row>
    <row r="37" spans="1:47" x14ac:dyDescent="0.3">
      <c r="A37" s="15" t="s">
        <v>12</v>
      </c>
    </row>
    <row r="38" spans="1:47" x14ac:dyDescent="0.3">
      <c r="A38" s="29" t="s">
        <v>13</v>
      </c>
    </row>
  </sheetData>
  <sheetProtection sheet="1" objects="1" scenarios="1" formatCells="0" formatColumns="0" formatRows="0" insertColumns="0" insertRows="0" insertHyperlinks="0" deleteColumns="0" deleteRows="0" sort="0" autoFilter="0"/>
  <phoneticPr fontId="0" type="noConversion"/>
  <hyperlinks>
    <hyperlink ref="A38" r:id="rId1"/>
  </hyperlinks>
  <printOptions horizontalCentered="1" verticalCentered="1" gridLines="1"/>
  <pageMargins left="0.75" right="0.75" top="1" bottom="1" header="0.5" footer="0.5"/>
  <pageSetup scale="75" orientation="landscape" blackAndWhite="1" horizontalDpi="360" verticalDpi="36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8"/>
  <sheetViews>
    <sheetView zoomScale="75" workbookViewId="0">
      <pane xSplit="4" ySplit="2" topLeftCell="E3" activePane="bottomRight" state="frozen"/>
      <selection activeCell="E1" sqref="E1:AB65536"/>
      <selection pane="topRight" activeCell="E1" sqref="E1:AB65536"/>
      <selection pane="bottomLeft" activeCell="E1" sqref="E1:AB65536"/>
      <selection pane="bottomRight"/>
    </sheetView>
  </sheetViews>
  <sheetFormatPr defaultColWidth="8.81640625" defaultRowHeight="13" x14ac:dyDescent="0.3"/>
  <cols>
    <col min="1" max="1" width="20.453125" style="2" customWidth="1"/>
    <col min="2" max="2" width="9.54296875" style="2" customWidth="1"/>
    <col min="3" max="3" width="10.26953125" style="2" bestFit="1" customWidth="1"/>
    <col min="4" max="4" width="11.26953125" style="14" customWidth="1"/>
    <col min="5" max="5" width="9.7265625" style="10" customWidth="1"/>
    <col min="6" max="28" width="9.7265625" style="2" customWidth="1"/>
    <col min="29" max="33" width="8.81640625" style="2" customWidth="1"/>
    <col min="34" max="34" width="8.81640625" style="15" customWidth="1"/>
    <col min="35" max="16384" width="8.81640625" style="2"/>
  </cols>
  <sheetData>
    <row r="1" spans="1:48" s="24" customFormat="1" ht="22.15" customHeight="1" x14ac:dyDescent="0.35">
      <c r="A1" s="30" t="s">
        <v>9</v>
      </c>
      <c r="D1" s="25"/>
      <c r="E1" s="26"/>
      <c r="AH1" s="27"/>
    </row>
    <row r="2" spans="1:48" s="9" customFormat="1" ht="67.150000000000006" customHeight="1" thickBot="1" x14ac:dyDescent="0.35">
      <c r="A2" s="8" t="s">
        <v>3</v>
      </c>
      <c r="B2" s="8" t="s">
        <v>2</v>
      </c>
      <c r="C2" s="8" t="s">
        <v>4</v>
      </c>
      <c r="D2" s="12" t="s">
        <v>1</v>
      </c>
      <c r="E2" s="32" t="s">
        <v>25</v>
      </c>
      <c r="F2" s="32" t="s">
        <v>26</v>
      </c>
      <c r="G2" s="32" t="s">
        <v>27</v>
      </c>
      <c r="H2" s="32" t="s">
        <v>28</v>
      </c>
      <c r="I2" s="32" t="s">
        <v>29</v>
      </c>
      <c r="J2" s="32" t="s">
        <v>30</v>
      </c>
      <c r="K2" s="32" t="s">
        <v>31</v>
      </c>
      <c r="L2" s="32" t="s">
        <v>32</v>
      </c>
      <c r="M2" s="32" t="s">
        <v>33</v>
      </c>
      <c r="N2" s="32" t="s">
        <v>34</v>
      </c>
      <c r="O2" s="32" t="s">
        <v>35</v>
      </c>
      <c r="P2" s="32" t="s">
        <v>36</v>
      </c>
      <c r="Q2" s="32" t="s">
        <v>37</v>
      </c>
      <c r="R2" s="32" t="s">
        <v>38</v>
      </c>
      <c r="S2" s="32" t="s">
        <v>39</v>
      </c>
      <c r="T2" s="32" t="s">
        <v>40</v>
      </c>
      <c r="U2" s="32" t="s">
        <v>41</v>
      </c>
      <c r="V2" s="32" t="s">
        <v>42</v>
      </c>
      <c r="W2" s="32" t="s">
        <v>43</v>
      </c>
      <c r="X2" s="32" t="s">
        <v>44</v>
      </c>
      <c r="Y2" s="32" t="s">
        <v>45</v>
      </c>
      <c r="Z2" s="32" t="s">
        <v>46</v>
      </c>
      <c r="AA2" s="32" t="s">
        <v>47</v>
      </c>
      <c r="AB2" s="32" t="s">
        <v>48</v>
      </c>
      <c r="AC2" s="32" t="s">
        <v>14</v>
      </c>
      <c r="AD2" s="33" t="s">
        <v>49</v>
      </c>
      <c r="AE2" s="33" t="s">
        <v>50</v>
      </c>
      <c r="AF2" s="33" t="s">
        <v>51</v>
      </c>
      <c r="AG2" s="33" t="s">
        <v>52</v>
      </c>
      <c r="AH2" s="33" t="s">
        <v>53</v>
      </c>
      <c r="AI2" s="33" t="s">
        <v>14</v>
      </c>
      <c r="AJ2" s="34" t="s">
        <v>15</v>
      </c>
      <c r="AK2" s="34" t="s">
        <v>16</v>
      </c>
      <c r="AL2" s="34" t="s">
        <v>17</v>
      </c>
      <c r="AM2" s="34" t="s">
        <v>18</v>
      </c>
      <c r="AN2" s="34" t="s">
        <v>19</v>
      </c>
      <c r="AO2" s="34" t="s">
        <v>20</v>
      </c>
      <c r="AP2" s="34" t="s">
        <v>21</v>
      </c>
      <c r="AQ2" s="34" t="s">
        <v>22</v>
      </c>
      <c r="AR2" s="34" t="s">
        <v>23</v>
      </c>
      <c r="AS2" s="34" t="s">
        <v>24</v>
      </c>
      <c r="AT2" s="34" t="s">
        <v>14</v>
      </c>
      <c r="AU2" s="34" t="s">
        <v>54</v>
      </c>
      <c r="AV2" s="34" t="s">
        <v>55</v>
      </c>
    </row>
    <row r="3" spans="1:48" ht="13.5" thickTop="1" x14ac:dyDescent="0.3">
      <c r="A3" s="31"/>
      <c r="B3" s="5" t="str">
        <f>IF(E3+AD3+AJ3&gt;0,AVERAGE(E3:AC3)*50%+AVERAGE(AD3:AI3)*30%+AVERAGE(AJ3:AS3)*20%+AU3-AV3,"")</f>
        <v/>
      </c>
      <c r="C3" s="5" t="e">
        <f>(B3+'1st MP'!B3)/2</f>
        <v>#VALUE!</v>
      </c>
      <c r="D3" s="13" t="str">
        <f t="shared" ref="D3:D33" si="0">IF(B3&gt;=89.5,"Passing A",IF(B3&gt;=79.5,"Passing B",IF(B3&gt;=69.5,"Passing C",IF(B3&gt;=59.5,"Passing D",IF(B3&lt;59.5,"Failing","")))))</f>
        <v>Passing A</v>
      </c>
      <c r="E3" s="35"/>
      <c r="F3" s="36"/>
      <c r="G3" s="36"/>
      <c r="H3" s="36"/>
      <c r="I3" s="36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8"/>
      <c r="AE3" s="39"/>
      <c r="AF3" s="39"/>
      <c r="AG3" s="39"/>
      <c r="AH3" s="39"/>
      <c r="AI3" s="40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2"/>
      <c r="AV3" s="43"/>
    </row>
    <row r="4" spans="1:48" x14ac:dyDescent="0.3">
      <c r="A4" s="31"/>
      <c r="B4" s="5" t="str">
        <f t="shared" ref="B4:B32" si="1">IF(E4+AD4+AJ4&gt;0,AVERAGE(E4:AC4)*50%+AVERAGE(AD4:AI4)*30%+AVERAGE(AJ4:AS4)*20%+AU4-AV4,"")</f>
        <v/>
      </c>
      <c r="C4" s="5" t="e">
        <f>(B4+'1st MP'!B4)/2</f>
        <v>#VALUE!</v>
      </c>
      <c r="D4" s="13" t="str">
        <f t="shared" si="0"/>
        <v>Passing A</v>
      </c>
      <c r="E4" s="35"/>
      <c r="F4" s="36"/>
      <c r="G4" s="36"/>
      <c r="H4" s="36"/>
      <c r="I4" s="36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8"/>
      <c r="AE4" s="39"/>
      <c r="AF4" s="39"/>
      <c r="AG4" s="39"/>
      <c r="AH4" s="39"/>
      <c r="AI4" s="40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2"/>
      <c r="AV4" s="43"/>
    </row>
    <row r="5" spans="1:48" x14ac:dyDescent="0.3">
      <c r="A5" s="31"/>
      <c r="B5" s="5" t="str">
        <f t="shared" si="1"/>
        <v/>
      </c>
      <c r="C5" s="5" t="e">
        <f>(B5+'1st MP'!B5)/2</f>
        <v>#VALUE!</v>
      </c>
      <c r="D5" s="13" t="str">
        <f t="shared" si="0"/>
        <v>Passing A</v>
      </c>
      <c r="E5" s="35"/>
      <c r="F5" s="36"/>
      <c r="G5" s="36"/>
      <c r="H5" s="36"/>
      <c r="I5" s="36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8"/>
      <c r="AE5" s="39"/>
      <c r="AF5" s="39"/>
      <c r="AG5" s="39"/>
      <c r="AH5" s="39"/>
      <c r="AI5" s="40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2"/>
      <c r="AV5" s="43"/>
    </row>
    <row r="6" spans="1:48" x14ac:dyDescent="0.3">
      <c r="A6" s="31"/>
      <c r="B6" s="5" t="str">
        <f t="shared" si="1"/>
        <v/>
      </c>
      <c r="C6" s="5" t="e">
        <f>(B6+'1st MP'!B6)/2</f>
        <v>#VALUE!</v>
      </c>
      <c r="D6" s="13" t="str">
        <f t="shared" si="0"/>
        <v>Passing A</v>
      </c>
      <c r="E6" s="35"/>
      <c r="F6" s="36"/>
      <c r="G6" s="36"/>
      <c r="H6" s="36"/>
      <c r="I6" s="36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/>
      <c r="AE6" s="39"/>
      <c r="AF6" s="39"/>
      <c r="AG6" s="39"/>
      <c r="AH6" s="39"/>
      <c r="AI6" s="40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2"/>
      <c r="AV6" s="43"/>
    </row>
    <row r="7" spans="1:48" x14ac:dyDescent="0.3">
      <c r="A7" s="31"/>
      <c r="B7" s="5" t="str">
        <f t="shared" si="1"/>
        <v/>
      </c>
      <c r="C7" s="5" t="e">
        <f>(B7+'1st MP'!B7)/2</f>
        <v>#VALUE!</v>
      </c>
      <c r="D7" s="13" t="str">
        <f t="shared" si="0"/>
        <v>Passing A</v>
      </c>
      <c r="E7" s="35"/>
      <c r="F7" s="36"/>
      <c r="G7" s="36"/>
      <c r="H7" s="36"/>
      <c r="I7" s="36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8"/>
      <c r="AE7" s="39"/>
      <c r="AF7" s="39"/>
      <c r="AG7" s="39"/>
      <c r="AH7" s="39"/>
      <c r="AI7" s="40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2"/>
      <c r="AV7" s="43"/>
    </row>
    <row r="8" spans="1:48" x14ac:dyDescent="0.3">
      <c r="A8" s="31"/>
      <c r="B8" s="5" t="str">
        <f t="shared" si="1"/>
        <v/>
      </c>
      <c r="C8" s="5" t="e">
        <f>(B8+'1st MP'!B8)/2</f>
        <v>#VALUE!</v>
      </c>
      <c r="D8" s="13" t="str">
        <f t="shared" si="0"/>
        <v>Passing A</v>
      </c>
      <c r="E8" s="35"/>
      <c r="F8" s="36"/>
      <c r="G8" s="36"/>
      <c r="H8" s="36"/>
      <c r="I8" s="36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8"/>
      <c r="AE8" s="39"/>
      <c r="AF8" s="39"/>
      <c r="AG8" s="39"/>
      <c r="AH8" s="39"/>
      <c r="AI8" s="40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2"/>
      <c r="AV8" s="43"/>
    </row>
    <row r="9" spans="1:48" x14ac:dyDescent="0.3">
      <c r="A9" s="31"/>
      <c r="B9" s="5" t="str">
        <f t="shared" si="1"/>
        <v/>
      </c>
      <c r="C9" s="5" t="e">
        <f>(B9+'1st MP'!B9)/2</f>
        <v>#VALUE!</v>
      </c>
      <c r="D9" s="13" t="str">
        <f t="shared" si="0"/>
        <v>Passing A</v>
      </c>
      <c r="E9" s="35"/>
      <c r="F9" s="36"/>
      <c r="G9" s="36"/>
      <c r="H9" s="36"/>
      <c r="I9" s="36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8"/>
      <c r="AE9" s="39"/>
      <c r="AF9" s="39"/>
      <c r="AG9" s="39"/>
      <c r="AH9" s="39"/>
      <c r="AI9" s="40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2"/>
      <c r="AV9" s="43"/>
    </row>
    <row r="10" spans="1:48" x14ac:dyDescent="0.3">
      <c r="A10" s="31"/>
      <c r="B10" s="5" t="str">
        <f t="shared" si="1"/>
        <v/>
      </c>
      <c r="C10" s="5" t="e">
        <f>(B10+'1st MP'!B10)/2</f>
        <v>#VALUE!</v>
      </c>
      <c r="D10" s="13" t="str">
        <f t="shared" si="0"/>
        <v>Passing A</v>
      </c>
      <c r="E10" s="35"/>
      <c r="F10" s="36"/>
      <c r="G10" s="36"/>
      <c r="H10" s="36"/>
      <c r="I10" s="3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8"/>
      <c r="AE10" s="39"/>
      <c r="AF10" s="39"/>
      <c r="AG10" s="39"/>
      <c r="AH10" s="39"/>
      <c r="AI10" s="40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2"/>
      <c r="AV10" s="43"/>
    </row>
    <row r="11" spans="1:48" x14ac:dyDescent="0.3">
      <c r="A11" s="31"/>
      <c r="B11" s="5" t="str">
        <f t="shared" si="1"/>
        <v/>
      </c>
      <c r="C11" s="5" t="e">
        <f>(B11+'1st MP'!B11)/2</f>
        <v>#VALUE!</v>
      </c>
      <c r="D11" s="13" t="str">
        <f t="shared" si="0"/>
        <v>Passing A</v>
      </c>
      <c r="E11" s="35"/>
      <c r="F11" s="36"/>
      <c r="G11" s="36"/>
      <c r="H11" s="36"/>
      <c r="I11" s="36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8"/>
      <c r="AE11" s="39"/>
      <c r="AF11" s="39"/>
      <c r="AG11" s="39"/>
      <c r="AH11" s="39"/>
      <c r="AI11" s="40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2"/>
      <c r="AV11" s="43"/>
    </row>
    <row r="12" spans="1:48" x14ac:dyDescent="0.3">
      <c r="A12" s="31"/>
      <c r="B12" s="5" t="str">
        <f t="shared" si="1"/>
        <v/>
      </c>
      <c r="C12" s="5" t="e">
        <f>(B12+'1st MP'!B12)/2</f>
        <v>#VALUE!</v>
      </c>
      <c r="D12" s="13" t="str">
        <f t="shared" si="0"/>
        <v>Passing A</v>
      </c>
      <c r="E12" s="35"/>
      <c r="F12" s="36"/>
      <c r="G12" s="36"/>
      <c r="H12" s="36"/>
      <c r="I12" s="36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8"/>
      <c r="AE12" s="39"/>
      <c r="AF12" s="39"/>
      <c r="AG12" s="39"/>
      <c r="AH12" s="39"/>
      <c r="AI12" s="40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2"/>
      <c r="AV12" s="43"/>
    </row>
    <row r="13" spans="1:48" x14ac:dyDescent="0.3">
      <c r="A13" s="31"/>
      <c r="B13" s="5" t="str">
        <f t="shared" si="1"/>
        <v/>
      </c>
      <c r="C13" s="5" t="e">
        <f>(B13+'1st MP'!B13)/2</f>
        <v>#VALUE!</v>
      </c>
      <c r="D13" s="13" t="str">
        <f t="shared" si="0"/>
        <v>Passing A</v>
      </c>
      <c r="E13" s="35"/>
      <c r="F13" s="36"/>
      <c r="G13" s="36"/>
      <c r="H13" s="36"/>
      <c r="I13" s="36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8"/>
      <c r="AE13" s="39"/>
      <c r="AF13" s="39"/>
      <c r="AG13" s="39"/>
      <c r="AH13" s="39"/>
      <c r="AI13" s="40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2"/>
      <c r="AV13" s="43"/>
    </row>
    <row r="14" spans="1:48" x14ac:dyDescent="0.3">
      <c r="A14" s="31"/>
      <c r="B14" s="5" t="str">
        <f t="shared" si="1"/>
        <v/>
      </c>
      <c r="C14" s="5" t="e">
        <f>(B14+'1st MP'!B14)/2</f>
        <v>#VALUE!</v>
      </c>
      <c r="D14" s="13" t="str">
        <f t="shared" si="0"/>
        <v>Passing A</v>
      </c>
      <c r="E14" s="35"/>
      <c r="F14" s="36"/>
      <c r="G14" s="36"/>
      <c r="H14" s="36"/>
      <c r="I14" s="36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8"/>
      <c r="AE14" s="39"/>
      <c r="AF14" s="39"/>
      <c r="AG14" s="39"/>
      <c r="AH14" s="39"/>
      <c r="AI14" s="40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2"/>
      <c r="AV14" s="43"/>
    </row>
    <row r="15" spans="1:48" x14ac:dyDescent="0.3">
      <c r="A15" s="31"/>
      <c r="B15" s="5" t="str">
        <f t="shared" si="1"/>
        <v/>
      </c>
      <c r="C15" s="5" t="e">
        <f>(B15+'1st MP'!B15)/2</f>
        <v>#VALUE!</v>
      </c>
      <c r="D15" s="13" t="str">
        <f t="shared" si="0"/>
        <v>Passing A</v>
      </c>
      <c r="E15" s="35"/>
      <c r="F15" s="36"/>
      <c r="G15" s="36"/>
      <c r="H15" s="36"/>
      <c r="I15" s="36"/>
      <c r="J15" s="44"/>
      <c r="K15" s="44"/>
      <c r="L15" s="44"/>
      <c r="M15" s="44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8"/>
      <c r="AE15" s="39"/>
      <c r="AF15" s="38"/>
      <c r="AG15" s="38"/>
      <c r="AH15" s="39"/>
      <c r="AI15" s="40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2"/>
      <c r="AV15" s="43"/>
    </row>
    <row r="16" spans="1:48" x14ac:dyDescent="0.3">
      <c r="A16" s="31"/>
      <c r="B16" s="5" t="str">
        <f t="shared" si="1"/>
        <v/>
      </c>
      <c r="C16" s="5" t="e">
        <f>(B16+'1st MP'!B16)/2</f>
        <v>#VALUE!</v>
      </c>
      <c r="D16" s="13" t="str">
        <f t="shared" si="0"/>
        <v>Passing A</v>
      </c>
      <c r="E16" s="35"/>
      <c r="F16" s="36"/>
      <c r="G16" s="36"/>
      <c r="H16" s="36"/>
      <c r="I16" s="36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8"/>
      <c r="AE16" s="39"/>
      <c r="AF16" s="39"/>
      <c r="AG16" s="39"/>
      <c r="AH16" s="39"/>
      <c r="AI16" s="40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2"/>
      <c r="AV16" s="43"/>
    </row>
    <row r="17" spans="1:48" x14ac:dyDescent="0.3">
      <c r="A17" s="31"/>
      <c r="B17" s="5" t="str">
        <f t="shared" si="1"/>
        <v/>
      </c>
      <c r="C17" s="5" t="e">
        <f>(B17+'1st MP'!B17)/2</f>
        <v>#VALUE!</v>
      </c>
      <c r="D17" s="13" t="str">
        <f t="shared" si="0"/>
        <v>Passing A</v>
      </c>
      <c r="E17" s="35"/>
      <c r="F17" s="36"/>
      <c r="G17" s="36"/>
      <c r="H17" s="36"/>
      <c r="I17" s="36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8"/>
      <c r="AE17" s="39"/>
      <c r="AF17" s="39"/>
      <c r="AG17" s="39"/>
      <c r="AH17" s="39"/>
      <c r="AI17" s="40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2"/>
      <c r="AV17" s="43"/>
    </row>
    <row r="18" spans="1:48" x14ac:dyDescent="0.3">
      <c r="A18" s="31"/>
      <c r="B18" s="5" t="str">
        <f t="shared" si="1"/>
        <v/>
      </c>
      <c r="C18" s="5" t="e">
        <f>(B18+'1st MP'!B18)/2</f>
        <v>#VALUE!</v>
      </c>
      <c r="D18" s="13" t="str">
        <f t="shared" si="0"/>
        <v>Passing A</v>
      </c>
      <c r="E18" s="35"/>
      <c r="F18" s="36"/>
      <c r="G18" s="36"/>
      <c r="H18" s="36"/>
      <c r="I18" s="36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8"/>
      <c r="AE18" s="39"/>
      <c r="AF18" s="39"/>
      <c r="AG18" s="39"/>
      <c r="AH18" s="39"/>
      <c r="AI18" s="40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2"/>
      <c r="AV18" s="43"/>
    </row>
    <row r="19" spans="1:48" x14ac:dyDescent="0.3">
      <c r="A19" s="31"/>
      <c r="B19" s="5" t="str">
        <f t="shared" si="1"/>
        <v/>
      </c>
      <c r="C19" s="5" t="e">
        <f>(B19+'1st MP'!B19)/2</f>
        <v>#VALUE!</v>
      </c>
      <c r="D19" s="13" t="str">
        <f t="shared" si="0"/>
        <v>Passing A</v>
      </c>
      <c r="E19" s="35"/>
      <c r="F19" s="36"/>
      <c r="G19" s="36"/>
      <c r="H19" s="36"/>
      <c r="I19" s="36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8"/>
      <c r="AE19" s="39"/>
      <c r="AF19" s="39"/>
      <c r="AG19" s="39"/>
      <c r="AH19" s="39"/>
      <c r="AI19" s="40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2"/>
      <c r="AV19" s="43"/>
    </row>
    <row r="20" spans="1:48" x14ac:dyDescent="0.3">
      <c r="A20" s="31"/>
      <c r="B20" s="5" t="str">
        <f t="shared" si="1"/>
        <v/>
      </c>
      <c r="C20" s="5" t="e">
        <f>(B20+'1st MP'!B20)/2</f>
        <v>#VALUE!</v>
      </c>
      <c r="D20" s="13" t="str">
        <f t="shared" si="0"/>
        <v>Passing A</v>
      </c>
      <c r="E20" s="35"/>
      <c r="F20" s="36"/>
      <c r="G20" s="36"/>
      <c r="H20" s="36"/>
      <c r="I20" s="36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8"/>
      <c r="AE20" s="39"/>
      <c r="AF20" s="39"/>
      <c r="AG20" s="39"/>
      <c r="AH20" s="39"/>
      <c r="AI20" s="40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2"/>
      <c r="AV20" s="43"/>
    </row>
    <row r="21" spans="1:48" x14ac:dyDescent="0.3">
      <c r="A21" s="31"/>
      <c r="B21" s="5" t="str">
        <f t="shared" si="1"/>
        <v/>
      </c>
      <c r="C21" s="5" t="e">
        <f>(B21+'1st MP'!B21)/2</f>
        <v>#VALUE!</v>
      </c>
      <c r="D21" s="13" t="str">
        <f t="shared" si="0"/>
        <v>Passing A</v>
      </c>
      <c r="E21" s="35"/>
      <c r="F21" s="36"/>
      <c r="G21" s="36"/>
      <c r="H21" s="36"/>
      <c r="I21" s="36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8"/>
      <c r="AE21" s="39"/>
      <c r="AF21" s="39"/>
      <c r="AG21" s="39"/>
      <c r="AH21" s="39"/>
      <c r="AI21" s="40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2"/>
      <c r="AV21" s="43"/>
    </row>
    <row r="22" spans="1:48" x14ac:dyDescent="0.3">
      <c r="A22" s="31"/>
      <c r="B22" s="5" t="str">
        <f t="shared" si="1"/>
        <v/>
      </c>
      <c r="C22" s="5" t="e">
        <f>(B22+'1st MP'!B22)/2</f>
        <v>#VALUE!</v>
      </c>
      <c r="D22" s="13" t="str">
        <f t="shared" si="0"/>
        <v>Passing A</v>
      </c>
      <c r="E22" s="35"/>
      <c r="F22" s="36"/>
      <c r="G22" s="36"/>
      <c r="H22" s="36"/>
      <c r="I22" s="36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8"/>
      <c r="AE22" s="39"/>
      <c r="AF22" s="39"/>
      <c r="AG22" s="39"/>
      <c r="AH22" s="39"/>
      <c r="AI22" s="40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2"/>
      <c r="AV22" s="43"/>
    </row>
    <row r="23" spans="1:48" x14ac:dyDescent="0.3">
      <c r="A23" s="31"/>
      <c r="B23" s="5" t="str">
        <f t="shared" si="1"/>
        <v/>
      </c>
      <c r="C23" s="5" t="e">
        <f>(B23+'1st MP'!B23)/2</f>
        <v>#VALUE!</v>
      </c>
      <c r="D23" s="13" t="str">
        <f t="shared" si="0"/>
        <v>Passing A</v>
      </c>
      <c r="E23" s="35"/>
      <c r="F23" s="36"/>
      <c r="G23" s="36"/>
      <c r="H23" s="36"/>
      <c r="I23" s="36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8"/>
      <c r="AE23" s="39"/>
      <c r="AF23" s="39"/>
      <c r="AG23" s="39"/>
      <c r="AH23" s="39"/>
      <c r="AI23" s="40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2"/>
      <c r="AV23" s="43"/>
    </row>
    <row r="24" spans="1:48" x14ac:dyDescent="0.3">
      <c r="A24" s="31"/>
      <c r="B24" s="5" t="str">
        <f t="shared" si="1"/>
        <v/>
      </c>
      <c r="C24" s="5" t="e">
        <f>(B24+'1st MP'!B24)/2</f>
        <v>#VALUE!</v>
      </c>
      <c r="D24" s="13" t="str">
        <f t="shared" si="0"/>
        <v>Passing A</v>
      </c>
      <c r="E24" s="35"/>
      <c r="F24" s="36"/>
      <c r="G24" s="36"/>
      <c r="H24" s="36"/>
      <c r="I24" s="36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8"/>
      <c r="AE24" s="39"/>
      <c r="AF24" s="39"/>
      <c r="AG24" s="39"/>
      <c r="AH24" s="39"/>
      <c r="AI24" s="40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2"/>
      <c r="AV24" s="43"/>
    </row>
    <row r="25" spans="1:48" x14ac:dyDescent="0.3">
      <c r="A25" s="31"/>
      <c r="B25" s="5" t="str">
        <f t="shared" si="1"/>
        <v/>
      </c>
      <c r="C25" s="5" t="e">
        <f>(B25+'1st MP'!B25)/2</f>
        <v>#VALUE!</v>
      </c>
      <c r="D25" s="13" t="str">
        <f t="shared" si="0"/>
        <v>Passing A</v>
      </c>
      <c r="E25" s="35"/>
      <c r="F25" s="36"/>
      <c r="G25" s="36"/>
      <c r="H25" s="36"/>
      <c r="I25" s="36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8"/>
      <c r="AE25" s="39"/>
      <c r="AF25" s="39"/>
      <c r="AG25" s="39"/>
      <c r="AH25" s="39"/>
      <c r="AI25" s="40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2"/>
      <c r="AV25" s="43"/>
    </row>
    <row r="26" spans="1:48" x14ac:dyDescent="0.3">
      <c r="A26" s="31"/>
      <c r="B26" s="5" t="str">
        <f t="shared" si="1"/>
        <v/>
      </c>
      <c r="C26" s="5" t="e">
        <f>(B26+'1st MP'!B26)/2</f>
        <v>#VALUE!</v>
      </c>
      <c r="D26" s="13" t="str">
        <f t="shared" si="0"/>
        <v>Passing A</v>
      </c>
      <c r="E26" s="35"/>
      <c r="F26" s="36"/>
      <c r="G26" s="36"/>
      <c r="H26" s="36"/>
      <c r="I26" s="36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8"/>
      <c r="AE26" s="39"/>
      <c r="AF26" s="39"/>
      <c r="AG26" s="39"/>
      <c r="AH26" s="39"/>
      <c r="AI26" s="40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2"/>
      <c r="AV26" s="43"/>
    </row>
    <row r="27" spans="1:48" x14ac:dyDescent="0.3">
      <c r="A27" s="31"/>
      <c r="B27" s="5" t="str">
        <f t="shared" si="1"/>
        <v/>
      </c>
      <c r="C27" s="5" t="e">
        <f>(B27+'1st MP'!B27)/2</f>
        <v>#VALUE!</v>
      </c>
      <c r="D27" s="13" t="str">
        <f t="shared" si="0"/>
        <v>Passing A</v>
      </c>
      <c r="E27" s="35"/>
      <c r="F27" s="36"/>
      <c r="G27" s="36"/>
      <c r="H27" s="36"/>
      <c r="I27" s="36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8"/>
      <c r="AE27" s="39"/>
      <c r="AF27" s="39"/>
      <c r="AG27" s="39"/>
      <c r="AH27" s="39"/>
      <c r="AI27" s="40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2"/>
      <c r="AV27" s="43"/>
    </row>
    <row r="28" spans="1:48" x14ac:dyDescent="0.3">
      <c r="A28" s="31"/>
      <c r="B28" s="5" t="str">
        <f t="shared" si="1"/>
        <v/>
      </c>
      <c r="C28" s="5" t="e">
        <f>(B28+'1st MP'!B28)/2</f>
        <v>#VALUE!</v>
      </c>
      <c r="D28" s="13" t="str">
        <f t="shared" si="0"/>
        <v>Passing A</v>
      </c>
      <c r="E28" s="35"/>
      <c r="F28" s="36"/>
      <c r="G28" s="36"/>
      <c r="H28" s="36"/>
      <c r="I28" s="36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8"/>
      <c r="AE28" s="39"/>
      <c r="AF28" s="39"/>
      <c r="AG28" s="39"/>
      <c r="AH28" s="39"/>
      <c r="AI28" s="40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2"/>
      <c r="AV28" s="43"/>
    </row>
    <row r="29" spans="1:48" x14ac:dyDescent="0.3">
      <c r="A29" s="31"/>
      <c r="B29" s="5" t="str">
        <f t="shared" si="1"/>
        <v/>
      </c>
      <c r="C29" s="5" t="e">
        <f>(B29+'1st MP'!B29)/2</f>
        <v>#VALUE!</v>
      </c>
      <c r="D29" s="13" t="str">
        <f t="shared" si="0"/>
        <v>Passing A</v>
      </c>
      <c r="E29" s="35"/>
      <c r="F29" s="36"/>
      <c r="G29" s="36"/>
      <c r="H29" s="36"/>
      <c r="I29" s="36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8"/>
      <c r="AE29" s="39"/>
      <c r="AF29" s="39"/>
      <c r="AG29" s="39"/>
      <c r="AH29" s="39"/>
      <c r="AI29" s="40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2"/>
      <c r="AV29" s="43"/>
    </row>
    <row r="30" spans="1:48" x14ac:dyDescent="0.3">
      <c r="A30" s="31"/>
      <c r="B30" s="5" t="str">
        <f t="shared" si="1"/>
        <v/>
      </c>
      <c r="C30" s="5" t="e">
        <f>(B30+'1st MP'!B30)/2</f>
        <v>#VALUE!</v>
      </c>
      <c r="D30" s="13" t="str">
        <f t="shared" si="0"/>
        <v>Passing A</v>
      </c>
      <c r="E30" s="35"/>
      <c r="F30" s="36"/>
      <c r="G30" s="36"/>
      <c r="H30" s="36"/>
      <c r="I30" s="36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8"/>
      <c r="AE30" s="39"/>
      <c r="AF30" s="39"/>
      <c r="AG30" s="39"/>
      <c r="AH30" s="39"/>
      <c r="AI30" s="40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2"/>
      <c r="AV30" s="43"/>
    </row>
    <row r="31" spans="1:48" x14ac:dyDescent="0.3">
      <c r="A31" s="31"/>
      <c r="B31" s="5" t="str">
        <f t="shared" si="1"/>
        <v/>
      </c>
      <c r="C31" s="5" t="e">
        <f>(B31+'1st MP'!B31)/2</f>
        <v>#VALUE!</v>
      </c>
      <c r="D31" s="13" t="str">
        <f t="shared" si="0"/>
        <v>Passing A</v>
      </c>
      <c r="E31" s="35"/>
      <c r="F31" s="36"/>
      <c r="G31" s="36"/>
      <c r="H31" s="36"/>
      <c r="I31" s="36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8"/>
      <c r="AE31" s="39"/>
      <c r="AF31" s="39"/>
      <c r="AG31" s="39"/>
      <c r="AH31" s="39"/>
      <c r="AI31" s="40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2"/>
      <c r="AV31" s="43"/>
    </row>
    <row r="32" spans="1:48" x14ac:dyDescent="0.3">
      <c r="A32" s="31"/>
      <c r="B32" s="5" t="str">
        <f t="shared" si="1"/>
        <v/>
      </c>
      <c r="C32" s="5" t="e">
        <f>(B32+'1st MP'!B32)/2</f>
        <v>#VALUE!</v>
      </c>
      <c r="D32" s="13" t="str">
        <f t="shared" si="0"/>
        <v>Passing A</v>
      </c>
      <c r="E32" s="35"/>
      <c r="F32" s="36"/>
      <c r="G32" s="36"/>
      <c r="H32" s="36"/>
      <c r="I32" s="36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8"/>
      <c r="AE32" s="39"/>
      <c r="AF32" s="39"/>
      <c r="AG32" s="39"/>
      <c r="AH32" s="39"/>
      <c r="AI32" s="40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2"/>
      <c r="AV32" s="43"/>
    </row>
    <row r="33" spans="1:48" s="6" customFormat="1" x14ac:dyDescent="0.3">
      <c r="A33" s="7" t="s">
        <v>0</v>
      </c>
      <c r="B33" s="11" t="str">
        <f>IF(SUM(B3:B32)&gt;0,AVERAGE(B3:B32),"")</f>
        <v/>
      </c>
      <c r="C33" s="11" t="e">
        <f>IF(SUM(C3:C32)&gt;0,AVERAGE(C3:C32),"")</f>
        <v>#VALUE!</v>
      </c>
      <c r="D33" s="16" t="str">
        <f t="shared" si="0"/>
        <v>Passing A</v>
      </c>
      <c r="E33" s="11" t="str">
        <f t="shared" ref="E33:AV33" si="2">IF(SUM(E3:E32)&gt;0,AVERAGE(E3:E32),"")</f>
        <v/>
      </c>
      <c r="F33" s="11" t="str">
        <f t="shared" si="2"/>
        <v/>
      </c>
      <c r="G33" s="11" t="str">
        <f t="shared" si="2"/>
        <v/>
      </c>
      <c r="H33" s="11" t="str">
        <f t="shared" si="2"/>
        <v/>
      </c>
      <c r="I33" s="11" t="str">
        <f t="shared" si="2"/>
        <v/>
      </c>
      <c r="J33" s="11" t="str">
        <f t="shared" si="2"/>
        <v/>
      </c>
      <c r="K33" s="11" t="str">
        <f t="shared" si="2"/>
        <v/>
      </c>
      <c r="L33" s="11" t="str">
        <f t="shared" si="2"/>
        <v/>
      </c>
      <c r="M33" s="11" t="str">
        <f t="shared" si="2"/>
        <v/>
      </c>
      <c r="N33" s="11" t="str">
        <f t="shared" si="2"/>
        <v/>
      </c>
      <c r="O33" s="11" t="str">
        <f t="shared" si="2"/>
        <v/>
      </c>
      <c r="P33" s="11" t="str">
        <f t="shared" si="2"/>
        <v/>
      </c>
      <c r="Q33" s="11" t="str">
        <f t="shared" si="2"/>
        <v/>
      </c>
      <c r="R33" s="11" t="str">
        <f t="shared" si="2"/>
        <v/>
      </c>
      <c r="S33" s="11" t="str">
        <f t="shared" si="2"/>
        <v/>
      </c>
      <c r="T33" s="11" t="str">
        <f t="shared" si="2"/>
        <v/>
      </c>
      <c r="U33" s="11" t="str">
        <f t="shared" si="2"/>
        <v/>
      </c>
      <c r="V33" s="11" t="str">
        <f t="shared" si="2"/>
        <v/>
      </c>
      <c r="W33" s="11" t="str">
        <f t="shared" si="2"/>
        <v/>
      </c>
      <c r="X33" s="11" t="str">
        <f t="shared" si="2"/>
        <v/>
      </c>
      <c r="Y33" s="11" t="str">
        <f t="shared" si="2"/>
        <v/>
      </c>
      <c r="Z33" s="11" t="str">
        <f t="shared" si="2"/>
        <v/>
      </c>
      <c r="AA33" s="11" t="str">
        <f t="shared" si="2"/>
        <v/>
      </c>
      <c r="AB33" s="11" t="str">
        <f t="shared" si="2"/>
        <v/>
      </c>
      <c r="AC33" s="11" t="str">
        <f t="shared" si="2"/>
        <v/>
      </c>
      <c r="AD33" s="11" t="str">
        <f t="shared" si="2"/>
        <v/>
      </c>
      <c r="AE33" s="11" t="str">
        <f t="shared" si="2"/>
        <v/>
      </c>
      <c r="AF33" s="11" t="str">
        <f t="shared" si="2"/>
        <v/>
      </c>
      <c r="AG33" s="11" t="str">
        <f t="shared" si="2"/>
        <v/>
      </c>
      <c r="AH33" s="11" t="str">
        <f t="shared" si="2"/>
        <v/>
      </c>
      <c r="AI33" s="11" t="str">
        <f t="shared" si="2"/>
        <v/>
      </c>
      <c r="AJ33" s="11" t="str">
        <f t="shared" si="2"/>
        <v/>
      </c>
      <c r="AK33" s="11" t="str">
        <f t="shared" si="2"/>
        <v/>
      </c>
      <c r="AL33" s="11" t="str">
        <f t="shared" si="2"/>
        <v/>
      </c>
      <c r="AM33" s="11" t="str">
        <f t="shared" si="2"/>
        <v/>
      </c>
      <c r="AN33" s="11" t="str">
        <f t="shared" si="2"/>
        <v/>
      </c>
      <c r="AO33" s="11" t="str">
        <f t="shared" si="2"/>
        <v/>
      </c>
      <c r="AP33" s="11" t="str">
        <f t="shared" si="2"/>
        <v/>
      </c>
      <c r="AQ33" s="11" t="str">
        <f t="shared" si="2"/>
        <v/>
      </c>
      <c r="AR33" s="11" t="str">
        <f t="shared" si="2"/>
        <v/>
      </c>
      <c r="AS33" s="11" t="str">
        <f t="shared" si="2"/>
        <v/>
      </c>
      <c r="AT33" s="11" t="str">
        <f t="shared" si="2"/>
        <v/>
      </c>
      <c r="AU33" s="11" t="str">
        <f t="shared" si="2"/>
        <v/>
      </c>
      <c r="AV33" s="11" t="str">
        <f t="shared" si="2"/>
        <v/>
      </c>
    </row>
    <row r="35" spans="1:48" x14ac:dyDescent="0.3">
      <c r="A35" s="15" t="s">
        <v>10</v>
      </c>
    </row>
    <row r="36" spans="1:48" x14ac:dyDescent="0.3">
      <c r="A36" s="15" t="s">
        <v>11</v>
      </c>
    </row>
    <row r="37" spans="1:48" x14ac:dyDescent="0.3">
      <c r="A37" s="15" t="s">
        <v>12</v>
      </c>
    </row>
    <row r="38" spans="1:48" x14ac:dyDescent="0.3">
      <c r="A38" s="29" t="s">
        <v>13</v>
      </c>
    </row>
  </sheetData>
  <sheetProtection sheet="1" objects="1" scenarios="1" formatCells="0" formatColumns="0" formatRows="0" insertColumns="0" insertRows="0" insertHyperlinks="0" deleteColumns="0" deleteRows="0" sort="0"/>
  <phoneticPr fontId="0" type="noConversion"/>
  <hyperlinks>
    <hyperlink ref="A38" r:id="rId1"/>
  </hyperlinks>
  <printOptions horizontalCentered="1" verticalCentered="1" gridLines="1"/>
  <pageMargins left="0.75" right="0.75" top="1" bottom="1" header="0.5" footer="0.5"/>
  <pageSetup scale="75" orientation="landscape" blackAndWhite="1" horizontalDpi="360" verticalDpi="360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8"/>
  <sheetViews>
    <sheetView zoomScale="75" workbookViewId="0">
      <pane xSplit="4" ySplit="2" topLeftCell="E3" activePane="bottomRight" state="frozen"/>
      <selection pane="topRight"/>
      <selection pane="bottomLeft"/>
      <selection pane="bottomRight"/>
    </sheetView>
  </sheetViews>
  <sheetFormatPr defaultColWidth="8.81640625" defaultRowHeight="13" x14ac:dyDescent="0.3"/>
  <cols>
    <col min="1" max="1" width="20.453125" style="2" customWidth="1"/>
    <col min="2" max="2" width="9.54296875" style="2" customWidth="1"/>
    <col min="3" max="3" width="10.26953125" style="2" bestFit="1" customWidth="1"/>
    <col min="4" max="4" width="11.26953125" style="14" customWidth="1"/>
    <col min="5" max="5" width="9.7265625" style="10" customWidth="1"/>
    <col min="6" max="28" width="9.7265625" style="2" customWidth="1"/>
    <col min="29" max="33" width="8.81640625" style="2" customWidth="1"/>
    <col min="34" max="34" width="8.81640625" style="15" customWidth="1"/>
    <col min="35" max="16384" width="8.81640625" style="2"/>
  </cols>
  <sheetData>
    <row r="1" spans="1:48" s="24" customFormat="1" ht="22.15" customHeight="1" x14ac:dyDescent="0.35">
      <c r="A1" s="30" t="s">
        <v>9</v>
      </c>
      <c r="D1" s="25"/>
      <c r="E1" s="26"/>
      <c r="AH1" s="27"/>
    </row>
    <row r="2" spans="1:48" s="9" customFormat="1" ht="67.150000000000006" customHeight="1" thickBot="1" x14ac:dyDescent="0.35">
      <c r="A2" s="8" t="s">
        <v>3</v>
      </c>
      <c r="B2" s="8" t="s">
        <v>2</v>
      </c>
      <c r="C2" s="8" t="s">
        <v>4</v>
      </c>
      <c r="D2" s="12" t="s">
        <v>1</v>
      </c>
      <c r="E2" s="32" t="s">
        <v>25</v>
      </c>
      <c r="F2" s="32" t="s">
        <v>26</v>
      </c>
      <c r="G2" s="32" t="s">
        <v>27</v>
      </c>
      <c r="H2" s="32" t="s">
        <v>28</v>
      </c>
      <c r="I2" s="32" t="s">
        <v>29</v>
      </c>
      <c r="J2" s="32" t="s">
        <v>30</v>
      </c>
      <c r="K2" s="32" t="s">
        <v>31</v>
      </c>
      <c r="L2" s="32" t="s">
        <v>32</v>
      </c>
      <c r="M2" s="32" t="s">
        <v>33</v>
      </c>
      <c r="N2" s="32" t="s">
        <v>34</v>
      </c>
      <c r="O2" s="32" t="s">
        <v>35</v>
      </c>
      <c r="P2" s="32" t="s">
        <v>36</v>
      </c>
      <c r="Q2" s="32" t="s">
        <v>37</v>
      </c>
      <c r="R2" s="32" t="s">
        <v>38</v>
      </c>
      <c r="S2" s="32" t="s">
        <v>39</v>
      </c>
      <c r="T2" s="32" t="s">
        <v>40</v>
      </c>
      <c r="U2" s="32" t="s">
        <v>41</v>
      </c>
      <c r="V2" s="32" t="s">
        <v>42</v>
      </c>
      <c r="W2" s="32" t="s">
        <v>43</v>
      </c>
      <c r="X2" s="32" t="s">
        <v>44</v>
      </c>
      <c r="Y2" s="32" t="s">
        <v>45</v>
      </c>
      <c r="Z2" s="32" t="s">
        <v>46</v>
      </c>
      <c r="AA2" s="32" t="s">
        <v>47</v>
      </c>
      <c r="AB2" s="32" t="s">
        <v>48</v>
      </c>
      <c r="AC2" s="32" t="s">
        <v>14</v>
      </c>
      <c r="AD2" s="33" t="s">
        <v>49</v>
      </c>
      <c r="AE2" s="33" t="s">
        <v>50</v>
      </c>
      <c r="AF2" s="33" t="s">
        <v>51</v>
      </c>
      <c r="AG2" s="33" t="s">
        <v>52</v>
      </c>
      <c r="AH2" s="33" t="s">
        <v>53</v>
      </c>
      <c r="AI2" s="33" t="s">
        <v>14</v>
      </c>
      <c r="AJ2" s="34" t="s">
        <v>15</v>
      </c>
      <c r="AK2" s="34" t="s">
        <v>16</v>
      </c>
      <c r="AL2" s="34" t="s">
        <v>17</v>
      </c>
      <c r="AM2" s="34" t="s">
        <v>18</v>
      </c>
      <c r="AN2" s="34" t="s">
        <v>19</v>
      </c>
      <c r="AO2" s="34" t="s">
        <v>20</v>
      </c>
      <c r="AP2" s="34" t="s">
        <v>21</v>
      </c>
      <c r="AQ2" s="34" t="s">
        <v>22</v>
      </c>
      <c r="AR2" s="34" t="s">
        <v>23</v>
      </c>
      <c r="AS2" s="34" t="s">
        <v>24</v>
      </c>
      <c r="AT2" s="34" t="s">
        <v>14</v>
      </c>
      <c r="AU2" s="34" t="s">
        <v>54</v>
      </c>
      <c r="AV2" s="34" t="s">
        <v>55</v>
      </c>
    </row>
    <row r="3" spans="1:48" ht="13.5" thickTop="1" x14ac:dyDescent="0.3">
      <c r="A3" s="31"/>
      <c r="B3" s="5" t="str">
        <f>IF(E3+AD3+AJ3&gt;0,AVERAGE(E3:AC3)*50%+AVERAGE(AD3:AI3)*30%+AVERAGE(AJ3:AS3)*20%+AU3-AV3,"")</f>
        <v/>
      </c>
      <c r="C3" s="5" t="e">
        <f>(B3+'2nd MP'!B3+'1st MP'!B3)/3</f>
        <v>#VALUE!</v>
      </c>
      <c r="D3" s="13" t="str">
        <f t="shared" ref="D3:D33" si="0">IF(B3&gt;=89.5,"Passing A",IF(B3&gt;=79.5,"Passing B",IF(B3&gt;=69.5,"Passing C",IF(B3&gt;=59.5,"Passing D",IF(B3&lt;59.5,"Failing","")))))</f>
        <v>Passing A</v>
      </c>
      <c r="E3" s="35"/>
      <c r="F3" s="36"/>
      <c r="G3" s="36"/>
      <c r="H3" s="36"/>
      <c r="I3" s="36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8"/>
      <c r="AE3" s="39"/>
      <c r="AF3" s="39"/>
      <c r="AG3" s="39"/>
      <c r="AH3" s="39"/>
      <c r="AI3" s="40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2"/>
      <c r="AV3" s="43"/>
    </row>
    <row r="4" spans="1:48" x14ac:dyDescent="0.3">
      <c r="A4" s="31"/>
      <c r="B4" s="5" t="str">
        <f t="shared" ref="B4:B32" si="1">IF(E4+AD4+AJ4&gt;0,AVERAGE(E4:AC4)*50%+AVERAGE(AD4:AI4)*30%+AVERAGE(AJ4:AS4)*20%+AU4-AV4,"")</f>
        <v/>
      </c>
      <c r="C4" s="5" t="e">
        <f>(B4+'2nd MP'!B4+'1st MP'!B4)/3</f>
        <v>#VALUE!</v>
      </c>
      <c r="D4" s="13" t="str">
        <f t="shared" si="0"/>
        <v>Passing A</v>
      </c>
      <c r="E4" s="35"/>
      <c r="F4" s="36"/>
      <c r="G4" s="36"/>
      <c r="H4" s="36"/>
      <c r="I4" s="36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8"/>
      <c r="AE4" s="39"/>
      <c r="AF4" s="39"/>
      <c r="AG4" s="39"/>
      <c r="AH4" s="39"/>
      <c r="AI4" s="40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2"/>
      <c r="AV4" s="43"/>
    </row>
    <row r="5" spans="1:48" x14ac:dyDescent="0.3">
      <c r="A5" s="31"/>
      <c r="B5" s="5" t="str">
        <f t="shared" si="1"/>
        <v/>
      </c>
      <c r="C5" s="5" t="e">
        <f>(B5+'2nd MP'!B5+'1st MP'!B5)/3</f>
        <v>#VALUE!</v>
      </c>
      <c r="D5" s="13" t="str">
        <f t="shared" si="0"/>
        <v>Passing A</v>
      </c>
      <c r="E5" s="35"/>
      <c r="F5" s="36"/>
      <c r="G5" s="36"/>
      <c r="H5" s="36"/>
      <c r="I5" s="36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8"/>
      <c r="AE5" s="39"/>
      <c r="AF5" s="39"/>
      <c r="AG5" s="39"/>
      <c r="AH5" s="39"/>
      <c r="AI5" s="40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2"/>
      <c r="AV5" s="43"/>
    </row>
    <row r="6" spans="1:48" x14ac:dyDescent="0.3">
      <c r="A6" s="31"/>
      <c r="B6" s="5" t="str">
        <f t="shared" si="1"/>
        <v/>
      </c>
      <c r="C6" s="5" t="e">
        <f>(B6+'2nd MP'!B6+'1st MP'!B6)/3</f>
        <v>#VALUE!</v>
      </c>
      <c r="D6" s="13" t="str">
        <f t="shared" si="0"/>
        <v>Passing A</v>
      </c>
      <c r="E6" s="35"/>
      <c r="F6" s="36"/>
      <c r="G6" s="36"/>
      <c r="H6" s="36"/>
      <c r="I6" s="36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/>
      <c r="AE6" s="39"/>
      <c r="AF6" s="39"/>
      <c r="AG6" s="39"/>
      <c r="AH6" s="39"/>
      <c r="AI6" s="40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2"/>
      <c r="AV6" s="43"/>
    </row>
    <row r="7" spans="1:48" x14ac:dyDescent="0.3">
      <c r="A7" s="31"/>
      <c r="B7" s="5" t="str">
        <f t="shared" si="1"/>
        <v/>
      </c>
      <c r="C7" s="5" t="e">
        <f>(B7+'2nd MP'!B7+'1st MP'!B7)/3</f>
        <v>#VALUE!</v>
      </c>
      <c r="D7" s="13" t="str">
        <f t="shared" si="0"/>
        <v>Passing A</v>
      </c>
      <c r="E7" s="35"/>
      <c r="F7" s="36"/>
      <c r="G7" s="36"/>
      <c r="H7" s="36"/>
      <c r="I7" s="36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8"/>
      <c r="AE7" s="39"/>
      <c r="AF7" s="39"/>
      <c r="AG7" s="39"/>
      <c r="AH7" s="39"/>
      <c r="AI7" s="40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2"/>
      <c r="AV7" s="43"/>
    </row>
    <row r="8" spans="1:48" x14ac:dyDescent="0.3">
      <c r="A8" s="31"/>
      <c r="B8" s="5" t="str">
        <f t="shared" si="1"/>
        <v/>
      </c>
      <c r="C8" s="5" t="e">
        <f>(B8+'2nd MP'!B8+'1st MP'!B8)/3</f>
        <v>#VALUE!</v>
      </c>
      <c r="D8" s="13" t="str">
        <f t="shared" si="0"/>
        <v>Passing A</v>
      </c>
      <c r="E8" s="35"/>
      <c r="F8" s="36"/>
      <c r="G8" s="36"/>
      <c r="H8" s="36"/>
      <c r="I8" s="36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8"/>
      <c r="AE8" s="39"/>
      <c r="AF8" s="39"/>
      <c r="AG8" s="39"/>
      <c r="AH8" s="39"/>
      <c r="AI8" s="40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2"/>
      <c r="AV8" s="43"/>
    </row>
    <row r="9" spans="1:48" x14ac:dyDescent="0.3">
      <c r="A9" s="31"/>
      <c r="B9" s="5" t="str">
        <f t="shared" si="1"/>
        <v/>
      </c>
      <c r="C9" s="5" t="e">
        <f>(B9+'2nd MP'!B9+'1st MP'!B9)/3</f>
        <v>#VALUE!</v>
      </c>
      <c r="D9" s="13" t="str">
        <f t="shared" si="0"/>
        <v>Passing A</v>
      </c>
      <c r="E9" s="35"/>
      <c r="F9" s="36"/>
      <c r="G9" s="36"/>
      <c r="H9" s="36"/>
      <c r="I9" s="36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8"/>
      <c r="AE9" s="39"/>
      <c r="AF9" s="39"/>
      <c r="AG9" s="39"/>
      <c r="AH9" s="39"/>
      <c r="AI9" s="40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2"/>
      <c r="AV9" s="43"/>
    </row>
    <row r="10" spans="1:48" x14ac:dyDescent="0.3">
      <c r="A10" s="31"/>
      <c r="B10" s="5" t="str">
        <f t="shared" si="1"/>
        <v/>
      </c>
      <c r="C10" s="5" t="e">
        <f>(B10+'2nd MP'!B10+'1st MP'!B10)/3</f>
        <v>#VALUE!</v>
      </c>
      <c r="D10" s="13" t="str">
        <f t="shared" si="0"/>
        <v>Passing A</v>
      </c>
      <c r="E10" s="35"/>
      <c r="F10" s="36"/>
      <c r="G10" s="36"/>
      <c r="H10" s="36"/>
      <c r="I10" s="3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8"/>
      <c r="AE10" s="39"/>
      <c r="AF10" s="39"/>
      <c r="AG10" s="39"/>
      <c r="AH10" s="39"/>
      <c r="AI10" s="40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2"/>
      <c r="AV10" s="43"/>
    </row>
    <row r="11" spans="1:48" x14ac:dyDescent="0.3">
      <c r="A11" s="31"/>
      <c r="B11" s="5" t="str">
        <f t="shared" si="1"/>
        <v/>
      </c>
      <c r="C11" s="5" t="e">
        <f>(B11+'2nd MP'!B11+'1st MP'!B11)/3</f>
        <v>#VALUE!</v>
      </c>
      <c r="D11" s="13" t="str">
        <f t="shared" si="0"/>
        <v>Passing A</v>
      </c>
      <c r="E11" s="35"/>
      <c r="F11" s="36"/>
      <c r="G11" s="36"/>
      <c r="H11" s="36"/>
      <c r="I11" s="36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8"/>
      <c r="AE11" s="39"/>
      <c r="AF11" s="39"/>
      <c r="AG11" s="39"/>
      <c r="AH11" s="39"/>
      <c r="AI11" s="40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2"/>
      <c r="AV11" s="43"/>
    </row>
    <row r="12" spans="1:48" x14ac:dyDescent="0.3">
      <c r="A12" s="31"/>
      <c r="B12" s="5" t="str">
        <f t="shared" si="1"/>
        <v/>
      </c>
      <c r="C12" s="5" t="e">
        <f>(B12+'2nd MP'!B12+'1st MP'!B12)/3</f>
        <v>#VALUE!</v>
      </c>
      <c r="D12" s="13" t="str">
        <f t="shared" si="0"/>
        <v>Passing A</v>
      </c>
      <c r="E12" s="35"/>
      <c r="F12" s="36"/>
      <c r="G12" s="36"/>
      <c r="H12" s="36"/>
      <c r="I12" s="36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8"/>
      <c r="AE12" s="39"/>
      <c r="AF12" s="39"/>
      <c r="AG12" s="39"/>
      <c r="AH12" s="39"/>
      <c r="AI12" s="40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2"/>
      <c r="AV12" s="43"/>
    </row>
    <row r="13" spans="1:48" x14ac:dyDescent="0.3">
      <c r="A13" s="31"/>
      <c r="B13" s="5" t="str">
        <f t="shared" si="1"/>
        <v/>
      </c>
      <c r="C13" s="5" t="e">
        <f>(B13+'2nd MP'!B13+'1st MP'!B13)/3</f>
        <v>#VALUE!</v>
      </c>
      <c r="D13" s="13" t="str">
        <f t="shared" si="0"/>
        <v>Passing A</v>
      </c>
      <c r="E13" s="35"/>
      <c r="F13" s="36"/>
      <c r="G13" s="36"/>
      <c r="H13" s="36"/>
      <c r="I13" s="36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8"/>
      <c r="AE13" s="39"/>
      <c r="AF13" s="39"/>
      <c r="AG13" s="39"/>
      <c r="AH13" s="39"/>
      <c r="AI13" s="40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2"/>
      <c r="AV13" s="43"/>
    </row>
    <row r="14" spans="1:48" x14ac:dyDescent="0.3">
      <c r="A14" s="31"/>
      <c r="B14" s="5" t="str">
        <f t="shared" si="1"/>
        <v/>
      </c>
      <c r="C14" s="5" t="e">
        <f>(B14+'2nd MP'!B14+'1st MP'!B14)/3</f>
        <v>#VALUE!</v>
      </c>
      <c r="D14" s="13" t="str">
        <f t="shared" si="0"/>
        <v>Passing A</v>
      </c>
      <c r="E14" s="35"/>
      <c r="F14" s="36"/>
      <c r="G14" s="36"/>
      <c r="H14" s="36"/>
      <c r="I14" s="36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8"/>
      <c r="AE14" s="39"/>
      <c r="AF14" s="39"/>
      <c r="AG14" s="39"/>
      <c r="AH14" s="39"/>
      <c r="AI14" s="40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2"/>
      <c r="AV14" s="43"/>
    </row>
    <row r="15" spans="1:48" x14ac:dyDescent="0.3">
      <c r="A15" s="31"/>
      <c r="B15" s="5" t="str">
        <f t="shared" si="1"/>
        <v/>
      </c>
      <c r="C15" s="5" t="e">
        <f>(B15+'2nd MP'!B15+'1st MP'!B15)/3</f>
        <v>#VALUE!</v>
      </c>
      <c r="D15" s="13" t="str">
        <f t="shared" si="0"/>
        <v>Passing A</v>
      </c>
      <c r="E15" s="35"/>
      <c r="F15" s="36"/>
      <c r="G15" s="36"/>
      <c r="H15" s="36"/>
      <c r="I15" s="36"/>
      <c r="J15" s="44"/>
      <c r="K15" s="44"/>
      <c r="L15" s="44"/>
      <c r="M15" s="44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8"/>
      <c r="AE15" s="39"/>
      <c r="AF15" s="38"/>
      <c r="AG15" s="38"/>
      <c r="AH15" s="39"/>
      <c r="AI15" s="40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2"/>
      <c r="AV15" s="43"/>
    </row>
    <row r="16" spans="1:48" x14ac:dyDescent="0.3">
      <c r="A16" s="31"/>
      <c r="B16" s="5" t="str">
        <f t="shared" si="1"/>
        <v/>
      </c>
      <c r="C16" s="5" t="e">
        <f>(B16+'2nd MP'!B16+'1st MP'!B16)/3</f>
        <v>#VALUE!</v>
      </c>
      <c r="D16" s="13" t="str">
        <f t="shared" si="0"/>
        <v>Passing A</v>
      </c>
      <c r="E16" s="35"/>
      <c r="F16" s="36"/>
      <c r="G16" s="36"/>
      <c r="H16" s="36"/>
      <c r="I16" s="36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8"/>
      <c r="AE16" s="39"/>
      <c r="AF16" s="39"/>
      <c r="AG16" s="39"/>
      <c r="AH16" s="39"/>
      <c r="AI16" s="40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2"/>
      <c r="AV16" s="43"/>
    </row>
    <row r="17" spans="1:48" x14ac:dyDescent="0.3">
      <c r="A17" s="31"/>
      <c r="B17" s="5" t="str">
        <f t="shared" si="1"/>
        <v/>
      </c>
      <c r="C17" s="5" t="e">
        <f>(B17+'2nd MP'!B17+'1st MP'!B17)/3</f>
        <v>#VALUE!</v>
      </c>
      <c r="D17" s="13" t="str">
        <f t="shared" si="0"/>
        <v>Passing A</v>
      </c>
      <c r="E17" s="35"/>
      <c r="F17" s="36"/>
      <c r="G17" s="36"/>
      <c r="H17" s="36"/>
      <c r="I17" s="36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8"/>
      <c r="AE17" s="39"/>
      <c r="AF17" s="39"/>
      <c r="AG17" s="39"/>
      <c r="AH17" s="39"/>
      <c r="AI17" s="40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2"/>
      <c r="AV17" s="43"/>
    </row>
    <row r="18" spans="1:48" x14ac:dyDescent="0.3">
      <c r="A18" s="31"/>
      <c r="B18" s="5" t="str">
        <f t="shared" si="1"/>
        <v/>
      </c>
      <c r="C18" s="5" t="e">
        <f>(B18+'2nd MP'!B18+'1st MP'!B18)/3</f>
        <v>#VALUE!</v>
      </c>
      <c r="D18" s="13" t="str">
        <f t="shared" si="0"/>
        <v>Passing A</v>
      </c>
      <c r="E18" s="35"/>
      <c r="F18" s="36"/>
      <c r="G18" s="36"/>
      <c r="H18" s="36"/>
      <c r="I18" s="36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8"/>
      <c r="AE18" s="39"/>
      <c r="AF18" s="39"/>
      <c r="AG18" s="39"/>
      <c r="AH18" s="39"/>
      <c r="AI18" s="40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2"/>
      <c r="AV18" s="43"/>
    </row>
    <row r="19" spans="1:48" x14ac:dyDescent="0.3">
      <c r="A19" s="31"/>
      <c r="B19" s="5" t="str">
        <f t="shared" si="1"/>
        <v/>
      </c>
      <c r="C19" s="5" t="e">
        <f>(B19+'2nd MP'!B19+'1st MP'!B19)/3</f>
        <v>#VALUE!</v>
      </c>
      <c r="D19" s="13" t="str">
        <f t="shared" si="0"/>
        <v>Passing A</v>
      </c>
      <c r="E19" s="35"/>
      <c r="F19" s="36"/>
      <c r="G19" s="36"/>
      <c r="H19" s="36"/>
      <c r="I19" s="36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8"/>
      <c r="AE19" s="39"/>
      <c r="AF19" s="39"/>
      <c r="AG19" s="39"/>
      <c r="AH19" s="39"/>
      <c r="AI19" s="40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2"/>
      <c r="AV19" s="43"/>
    </row>
    <row r="20" spans="1:48" x14ac:dyDescent="0.3">
      <c r="A20" s="31"/>
      <c r="B20" s="5" t="str">
        <f t="shared" si="1"/>
        <v/>
      </c>
      <c r="C20" s="5" t="e">
        <f>(B20+'2nd MP'!B20+'1st MP'!B20)/3</f>
        <v>#VALUE!</v>
      </c>
      <c r="D20" s="13" t="str">
        <f t="shared" si="0"/>
        <v>Passing A</v>
      </c>
      <c r="E20" s="35"/>
      <c r="F20" s="36"/>
      <c r="G20" s="36"/>
      <c r="H20" s="36"/>
      <c r="I20" s="36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8"/>
      <c r="AE20" s="39"/>
      <c r="AF20" s="39"/>
      <c r="AG20" s="39"/>
      <c r="AH20" s="39"/>
      <c r="AI20" s="40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2"/>
      <c r="AV20" s="43"/>
    </row>
    <row r="21" spans="1:48" x14ac:dyDescent="0.3">
      <c r="A21" s="31"/>
      <c r="B21" s="5" t="str">
        <f t="shared" si="1"/>
        <v/>
      </c>
      <c r="C21" s="5" t="e">
        <f>(B21+'2nd MP'!B21+'1st MP'!B21)/3</f>
        <v>#VALUE!</v>
      </c>
      <c r="D21" s="13" t="str">
        <f t="shared" si="0"/>
        <v>Passing A</v>
      </c>
      <c r="E21" s="35"/>
      <c r="F21" s="36"/>
      <c r="G21" s="36"/>
      <c r="H21" s="36"/>
      <c r="I21" s="36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8"/>
      <c r="AE21" s="39"/>
      <c r="AF21" s="39"/>
      <c r="AG21" s="39"/>
      <c r="AH21" s="39"/>
      <c r="AI21" s="40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2"/>
      <c r="AV21" s="43"/>
    </row>
    <row r="22" spans="1:48" x14ac:dyDescent="0.3">
      <c r="A22" s="31"/>
      <c r="B22" s="5" t="str">
        <f t="shared" si="1"/>
        <v/>
      </c>
      <c r="C22" s="5" t="e">
        <f>(B22+'2nd MP'!B22+'1st MP'!B22)/3</f>
        <v>#VALUE!</v>
      </c>
      <c r="D22" s="13" t="str">
        <f t="shared" si="0"/>
        <v>Passing A</v>
      </c>
      <c r="E22" s="35"/>
      <c r="F22" s="36"/>
      <c r="G22" s="36"/>
      <c r="H22" s="36"/>
      <c r="I22" s="36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8"/>
      <c r="AE22" s="39"/>
      <c r="AF22" s="39"/>
      <c r="AG22" s="39"/>
      <c r="AH22" s="39"/>
      <c r="AI22" s="40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2"/>
      <c r="AV22" s="43"/>
    </row>
    <row r="23" spans="1:48" x14ac:dyDescent="0.3">
      <c r="A23" s="31"/>
      <c r="B23" s="5" t="str">
        <f t="shared" si="1"/>
        <v/>
      </c>
      <c r="C23" s="5" t="e">
        <f>(B23+'2nd MP'!B23+'1st MP'!B23)/3</f>
        <v>#VALUE!</v>
      </c>
      <c r="D23" s="13" t="str">
        <f t="shared" si="0"/>
        <v>Passing A</v>
      </c>
      <c r="E23" s="35"/>
      <c r="F23" s="36"/>
      <c r="G23" s="36"/>
      <c r="H23" s="36"/>
      <c r="I23" s="36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8"/>
      <c r="AE23" s="39"/>
      <c r="AF23" s="39"/>
      <c r="AG23" s="39"/>
      <c r="AH23" s="39"/>
      <c r="AI23" s="40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2"/>
      <c r="AV23" s="43"/>
    </row>
    <row r="24" spans="1:48" x14ac:dyDescent="0.3">
      <c r="A24" s="31"/>
      <c r="B24" s="5" t="str">
        <f t="shared" si="1"/>
        <v/>
      </c>
      <c r="C24" s="5" t="e">
        <f>(B24+'2nd MP'!B24+'1st MP'!B24)/3</f>
        <v>#VALUE!</v>
      </c>
      <c r="D24" s="13" t="str">
        <f t="shared" si="0"/>
        <v>Passing A</v>
      </c>
      <c r="E24" s="35"/>
      <c r="F24" s="36"/>
      <c r="G24" s="36"/>
      <c r="H24" s="36"/>
      <c r="I24" s="36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8"/>
      <c r="AE24" s="39"/>
      <c r="AF24" s="39"/>
      <c r="AG24" s="39"/>
      <c r="AH24" s="39"/>
      <c r="AI24" s="40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2"/>
      <c r="AV24" s="43"/>
    </row>
    <row r="25" spans="1:48" x14ac:dyDescent="0.3">
      <c r="A25" s="31"/>
      <c r="B25" s="5" t="str">
        <f t="shared" si="1"/>
        <v/>
      </c>
      <c r="C25" s="5" t="e">
        <f>(B25+'2nd MP'!B25+'1st MP'!B25)/3</f>
        <v>#VALUE!</v>
      </c>
      <c r="D25" s="13" t="str">
        <f t="shared" si="0"/>
        <v>Passing A</v>
      </c>
      <c r="E25" s="35"/>
      <c r="F25" s="36"/>
      <c r="G25" s="36"/>
      <c r="H25" s="36"/>
      <c r="I25" s="36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8"/>
      <c r="AE25" s="39"/>
      <c r="AF25" s="39"/>
      <c r="AG25" s="39"/>
      <c r="AH25" s="39"/>
      <c r="AI25" s="40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2"/>
      <c r="AV25" s="43"/>
    </row>
    <row r="26" spans="1:48" x14ac:dyDescent="0.3">
      <c r="A26" s="31"/>
      <c r="B26" s="5" t="str">
        <f t="shared" si="1"/>
        <v/>
      </c>
      <c r="C26" s="5" t="e">
        <f>(B26+'2nd MP'!B26+'1st MP'!B26)/3</f>
        <v>#VALUE!</v>
      </c>
      <c r="D26" s="13" t="str">
        <f t="shared" si="0"/>
        <v>Passing A</v>
      </c>
      <c r="E26" s="35"/>
      <c r="F26" s="36"/>
      <c r="G26" s="36"/>
      <c r="H26" s="36"/>
      <c r="I26" s="36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8"/>
      <c r="AE26" s="39"/>
      <c r="AF26" s="39"/>
      <c r="AG26" s="39"/>
      <c r="AH26" s="39"/>
      <c r="AI26" s="40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2"/>
      <c r="AV26" s="43"/>
    </row>
    <row r="27" spans="1:48" x14ac:dyDescent="0.3">
      <c r="A27" s="31"/>
      <c r="B27" s="5" t="str">
        <f t="shared" si="1"/>
        <v/>
      </c>
      <c r="C27" s="5" t="e">
        <f>(B27+'2nd MP'!B27+'1st MP'!B27)/3</f>
        <v>#VALUE!</v>
      </c>
      <c r="D27" s="13" t="str">
        <f t="shared" si="0"/>
        <v>Passing A</v>
      </c>
      <c r="E27" s="35"/>
      <c r="F27" s="36"/>
      <c r="G27" s="36"/>
      <c r="H27" s="36"/>
      <c r="I27" s="36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8"/>
      <c r="AE27" s="39"/>
      <c r="AF27" s="39"/>
      <c r="AG27" s="39"/>
      <c r="AH27" s="39"/>
      <c r="AI27" s="40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2"/>
      <c r="AV27" s="43"/>
    </row>
    <row r="28" spans="1:48" x14ac:dyDescent="0.3">
      <c r="A28" s="31"/>
      <c r="B28" s="5" t="str">
        <f t="shared" si="1"/>
        <v/>
      </c>
      <c r="C28" s="5" t="e">
        <f>(B28+'2nd MP'!B28+'1st MP'!B28)/3</f>
        <v>#VALUE!</v>
      </c>
      <c r="D28" s="13" t="str">
        <f t="shared" si="0"/>
        <v>Passing A</v>
      </c>
      <c r="E28" s="35"/>
      <c r="F28" s="36"/>
      <c r="G28" s="36"/>
      <c r="H28" s="36"/>
      <c r="I28" s="36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8"/>
      <c r="AE28" s="39"/>
      <c r="AF28" s="39"/>
      <c r="AG28" s="39"/>
      <c r="AH28" s="39"/>
      <c r="AI28" s="40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2"/>
      <c r="AV28" s="43"/>
    </row>
    <row r="29" spans="1:48" x14ac:dyDescent="0.3">
      <c r="A29" s="31"/>
      <c r="B29" s="5" t="str">
        <f t="shared" si="1"/>
        <v/>
      </c>
      <c r="C29" s="5" t="e">
        <f>(B29+'2nd MP'!B29+'1st MP'!B29)/3</f>
        <v>#VALUE!</v>
      </c>
      <c r="D29" s="13" t="str">
        <f t="shared" si="0"/>
        <v>Passing A</v>
      </c>
      <c r="E29" s="35"/>
      <c r="F29" s="36"/>
      <c r="G29" s="36"/>
      <c r="H29" s="36"/>
      <c r="I29" s="36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8"/>
      <c r="AE29" s="39"/>
      <c r="AF29" s="39"/>
      <c r="AG29" s="39"/>
      <c r="AH29" s="39"/>
      <c r="AI29" s="40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2"/>
      <c r="AV29" s="43"/>
    </row>
    <row r="30" spans="1:48" x14ac:dyDescent="0.3">
      <c r="A30" s="31"/>
      <c r="B30" s="5" t="str">
        <f t="shared" si="1"/>
        <v/>
      </c>
      <c r="C30" s="5" t="e">
        <f>(B30+'2nd MP'!B30+'1st MP'!B30)/3</f>
        <v>#VALUE!</v>
      </c>
      <c r="D30" s="13" t="str">
        <f t="shared" si="0"/>
        <v>Passing A</v>
      </c>
      <c r="E30" s="35"/>
      <c r="F30" s="36"/>
      <c r="G30" s="36"/>
      <c r="H30" s="36"/>
      <c r="I30" s="36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8"/>
      <c r="AE30" s="39"/>
      <c r="AF30" s="39"/>
      <c r="AG30" s="39"/>
      <c r="AH30" s="39"/>
      <c r="AI30" s="40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2"/>
      <c r="AV30" s="43"/>
    </row>
    <row r="31" spans="1:48" x14ac:dyDescent="0.3">
      <c r="A31" s="31"/>
      <c r="B31" s="5" t="str">
        <f t="shared" si="1"/>
        <v/>
      </c>
      <c r="C31" s="5" t="e">
        <f>(B31+'2nd MP'!B31+'1st MP'!B31)/3</f>
        <v>#VALUE!</v>
      </c>
      <c r="D31" s="13" t="str">
        <f t="shared" si="0"/>
        <v>Passing A</v>
      </c>
      <c r="E31" s="35"/>
      <c r="F31" s="36"/>
      <c r="G31" s="36"/>
      <c r="H31" s="36"/>
      <c r="I31" s="36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8"/>
      <c r="AE31" s="39"/>
      <c r="AF31" s="39"/>
      <c r="AG31" s="39"/>
      <c r="AH31" s="39"/>
      <c r="AI31" s="40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2"/>
      <c r="AV31" s="43"/>
    </row>
    <row r="32" spans="1:48" x14ac:dyDescent="0.3">
      <c r="A32" s="31"/>
      <c r="B32" s="5" t="str">
        <f t="shared" si="1"/>
        <v/>
      </c>
      <c r="C32" s="5" t="e">
        <f>(B32+'2nd MP'!B32+'1st MP'!B32)/3</f>
        <v>#VALUE!</v>
      </c>
      <c r="D32" s="13" t="str">
        <f t="shared" si="0"/>
        <v>Passing A</v>
      </c>
      <c r="E32" s="35"/>
      <c r="F32" s="36"/>
      <c r="G32" s="36"/>
      <c r="H32" s="36"/>
      <c r="I32" s="36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8"/>
      <c r="AE32" s="39"/>
      <c r="AF32" s="39"/>
      <c r="AG32" s="39"/>
      <c r="AH32" s="39"/>
      <c r="AI32" s="40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2"/>
      <c r="AV32" s="43"/>
    </row>
    <row r="33" spans="1:48" s="6" customFormat="1" x14ac:dyDescent="0.3">
      <c r="A33" s="7" t="s">
        <v>0</v>
      </c>
      <c r="B33" s="11" t="str">
        <f>IF(SUM(B3:B32)&gt;0,AVERAGE(B3:B32),"")</f>
        <v/>
      </c>
      <c r="C33" s="11" t="e">
        <f>IF(SUM(C3:C32)&gt;0,AVERAGE(C3:C32),"")</f>
        <v>#VALUE!</v>
      </c>
      <c r="D33" s="16" t="str">
        <f t="shared" si="0"/>
        <v>Passing A</v>
      </c>
      <c r="E33" s="11" t="str">
        <f t="shared" ref="E33:AV33" si="2">IF(SUM(E3:E32)&gt;0,AVERAGE(E3:E32),"")</f>
        <v/>
      </c>
      <c r="F33" s="11" t="str">
        <f t="shared" si="2"/>
        <v/>
      </c>
      <c r="G33" s="11" t="str">
        <f t="shared" si="2"/>
        <v/>
      </c>
      <c r="H33" s="11" t="str">
        <f t="shared" si="2"/>
        <v/>
      </c>
      <c r="I33" s="11" t="str">
        <f t="shared" si="2"/>
        <v/>
      </c>
      <c r="J33" s="11" t="str">
        <f t="shared" si="2"/>
        <v/>
      </c>
      <c r="K33" s="11" t="str">
        <f t="shared" si="2"/>
        <v/>
      </c>
      <c r="L33" s="11" t="str">
        <f t="shared" si="2"/>
        <v/>
      </c>
      <c r="M33" s="11" t="str">
        <f t="shared" si="2"/>
        <v/>
      </c>
      <c r="N33" s="11" t="str">
        <f t="shared" si="2"/>
        <v/>
      </c>
      <c r="O33" s="11" t="str">
        <f t="shared" si="2"/>
        <v/>
      </c>
      <c r="P33" s="11" t="str">
        <f t="shared" si="2"/>
        <v/>
      </c>
      <c r="Q33" s="11" t="str">
        <f t="shared" si="2"/>
        <v/>
      </c>
      <c r="R33" s="11" t="str">
        <f t="shared" si="2"/>
        <v/>
      </c>
      <c r="S33" s="11" t="str">
        <f t="shared" si="2"/>
        <v/>
      </c>
      <c r="T33" s="11" t="str">
        <f t="shared" si="2"/>
        <v/>
      </c>
      <c r="U33" s="11" t="str">
        <f t="shared" si="2"/>
        <v/>
      </c>
      <c r="V33" s="11" t="str">
        <f t="shared" si="2"/>
        <v/>
      </c>
      <c r="W33" s="11" t="str">
        <f t="shared" si="2"/>
        <v/>
      </c>
      <c r="X33" s="11" t="str">
        <f t="shared" si="2"/>
        <v/>
      </c>
      <c r="Y33" s="11" t="str">
        <f t="shared" si="2"/>
        <v/>
      </c>
      <c r="Z33" s="11" t="str">
        <f t="shared" si="2"/>
        <v/>
      </c>
      <c r="AA33" s="11" t="str">
        <f t="shared" si="2"/>
        <v/>
      </c>
      <c r="AB33" s="11" t="str">
        <f t="shared" si="2"/>
        <v/>
      </c>
      <c r="AC33" s="11" t="str">
        <f t="shared" si="2"/>
        <v/>
      </c>
      <c r="AD33" s="11" t="str">
        <f t="shared" si="2"/>
        <v/>
      </c>
      <c r="AE33" s="11" t="str">
        <f t="shared" si="2"/>
        <v/>
      </c>
      <c r="AF33" s="11" t="str">
        <f t="shared" si="2"/>
        <v/>
      </c>
      <c r="AG33" s="11" t="str">
        <f t="shared" si="2"/>
        <v/>
      </c>
      <c r="AH33" s="11" t="str">
        <f t="shared" si="2"/>
        <v/>
      </c>
      <c r="AI33" s="11" t="str">
        <f t="shared" si="2"/>
        <v/>
      </c>
      <c r="AJ33" s="11" t="str">
        <f t="shared" si="2"/>
        <v/>
      </c>
      <c r="AK33" s="11" t="str">
        <f t="shared" si="2"/>
        <v/>
      </c>
      <c r="AL33" s="11" t="str">
        <f t="shared" si="2"/>
        <v/>
      </c>
      <c r="AM33" s="11" t="str">
        <f t="shared" si="2"/>
        <v/>
      </c>
      <c r="AN33" s="11" t="str">
        <f t="shared" si="2"/>
        <v/>
      </c>
      <c r="AO33" s="11" t="str">
        <f t="shared" si="2"/>
        <v/>
      </c>
      <c r="AP33" s="11" t="str">
        <f t="shared" si="2"/>
        <v/>
      </c>
      <c r="AQ33" s="11" t="str">
        <f t="shared" si="2"/>
        <v/>
      </c>
      <c r="AR33" s="11" t="str">
        <f t="shared" si="2"/>
        <v/>
      </c>
      <c r="AS33" s="11" t="str">
        <f t="shared" si="2"/>
        <v/>
      </c>
      <c r="AT33" s="11" t="str">
        <f t="shared" si="2"/>
        <v/>
      </c>
      <c r="AU33" s="11" t="str">
        <f t="shared" si="2"/>
        <v/>
      </c>
      <c r="AV33" s="11" t="str">
        <f t="shared" si="2"/>
        <v/>
      </c>
    </row>
    <row r="35" spans="1:48" x14ac:dyDescent="0.3">
      <c r="A35" s="15" t="s">
        <v>10</v>
      </c>
    </row>
    <row r="36" spans="1:48" x14ac:dyDescent="0.3">
      <c r="A36" s="15" t="s">
        <v>11</v>
      </c>
    </row>
    <row r="37" spans="1:48" x14ac:dyDescent="0.3">
      <c r="A37" s="15" t="s">
        <v>12</v>
      </c>
    </row>
    <row r="38" spans="1:48" x14ac:dyDescent="0.3">
      <c r="A38" s="29" t="s">
        <v>13</v>
      </c>
    </row>
  </sheetData>
  <sheetProtection sheet="1" objects="1" scenarios="1" formatCells="0" formatColumns="0" formatRows="0" insertColumns="0" insertRows="0" insertHyperlinks="0" deleteColumns="0" deleteRows="0" sort="0" autoFilter="0"/>
  <phoneticPr fontId="0" type="noConversion"/>
  <hyperlinks>
    <hyperlink ref="A38" r:id="rId1"/>
  </hyperlinks>
  <printOptions horizontalCentered="1" verticalCentered="1" gridLines="1"/>
  <pageMargins left="0.75" right="0.75" top="1" bottom="1" header="0.5" footer="0.5"/>
  <pageSetup scale="75" orientation="landscape" blackAndWhite="1" horizontalDpi="360" verticalDpi="360" r:id="rId2"/>
  <headerFooter alignWithMargins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8"/>
  <sheetViews>
    <sheetView zoomScale="75" workbookViewId="0">
      <pane xSplit="4" ySplit="2" topLeftCell="E3" activePane="bottomRight" state="frozen"/>
      <selection pane="topRight"/>
      <selection pane="bottomLeft"/>
      <selection pane="bottomRight"/>
    </sheetView>
  </sheetViews>
  <sheetFormatPr defaultColWidth="8.81640625" defaultRowHeight="13" x14ac:dyDescent="0.3"/>
  <cols>
    <col min="1" max="1" width="20.453125" style="2" customWidth="1"/>
    <col min="2" max="2" width="9.54296875" style="2" customWidth="1"/>
    <col min="3" max="3" width="10.26953125" style="2" bestFit="1" customWidth="1"/>
    <col min="4" max="4" width="11.26953125" style="14" customWidth="1"/>
    <col min="5" max="5" width="9.7265625" style="10" customWidth="1"/>
    <col min="6" max="28" width="9.7265625" style="2" customWidth="1"/>
    <col min="29" max="33" width="8.81640625" style="2" customWidth="1"/>
    <col min="34" max="34" width="8.81640625" style="15" customWidth="1"/>
    <col min="35" max="16384" width="8.81640625" style="2"/>
  </cols>
  <sheetData>
    <row r="1" spans="1:48" s="24" customFormat="1" ht="22.15" customHeight="1" x14ac:dyDescent="0.35">
      <c r="A1" s="30" t="s">
        <v>9</v>
      </c>
      <c r="D1" s="25"/>
      <c r="E1" s="26"/>
      <c r="AH1" s="27"/>
    </row>
    <row r="2" spans="1:48" s="9" customFormat="1" ht="67.150000000000006" customHeight="1" thickBot="1" x14ac:dyDescent="0.35">
      <c r="A2" s="8" t="s">
        <v>3</v>
      </c>
      <c r="B2" s="8" t="s">
        <v>2</v>
      </c>
      <c r="C2" s="8" t="s">
        <v>4</v>
      </c>
      <c r="D2" s="12" t="s">
        <v>1</v>
      </c>
      <c r="E2" s="32" t="s">
        <v>25</v>
      </c>
      <c r="F2" s="32" t="s">
        <v>26</v>
      </c>
      <c r="G2" s="32" t="s">
        <v>27</v>
      </c>
      <c r="H2" s="32" t="s">
        <v>28</v>
      </c>
      <c r="I2" s="32" t="s">
        <v>29</v>
      </c>
      <c r="J2" s="32" t="s">
        <v>30</v>
      </c>
      <c r="K2" s="32" t="s">
        <v>31</v>
      </c>
      <c r="L2" s="32" t="s">
        <v>32</v>
      </c>
      <c r="M2" s="32" t="s">
        <v>33</v>
      </c>
      <c r="N2" s="32" t="s">
        <v>34</v>
      </c>
      <c r="O2" s="32" t="s">
        <v>35</v>
      </c>
      <c r="P2" s="32" t="s">
        <v>36</v>
      </c>
      <c r="Q2" s="32" t="s">
        <v>37</v>
      </c>
      <c r="R2" s="32" t="s">
        <v>38</v>
      </c>
      <c r="S2" s="32" t="s">
        <v>39</v>
      </c>
      <c r="T2" s="32" t="s">
        <v>40</v>
      </c>
      <c r="U2" s="32" t="s">
        <v>41</v>
      </c>
      <c r="V2" s="32" t="s">
        <v>42</v>
      </c>
      <c r="W2" s="32" t="s">
        <v>43</v>
      </c>
      <c r="X2" s="32" t="s">
        <v>44</v>
      </c>
      <c r="Y2" s="32" t="s">
        <v>45</v>
      </c>
      <c r="Z2" s="32" t="s">
        <v>46</v>
      </c>
      <c r="AA2" s="32" t="s">
        <v>47</v>
      </c>
      <c r="AB2" s="32" t="s">
        <v>48</v>
      </c>
      <c r="AC2" s="32" t="s">
        <v>14</v>
      </c>
      <c r="AD2" s="33" t="s">
        <v>49</v>
      </c>
      <c r="AE2" s="33" t="s">
        <v>50</v>
      </c>
      <c r="AF2" s="33" t="s">
        <v>51</v>
      </c>
      <c r="AG2" s="33" t="s">
        <v>52</v>
      </c>
      <c r="AH2" s="33" t="s">
        <v>53</v>
      </c>
      <c r="AI2" s="33" t="s">
        <v>14</v>
      </c>
      <c r="AJ2" s="34" t="s">
        <v>15</v>
      </c>
      <c r="AK2" s="34" t="s">
        <v>16</v>
      </c>
      <c r="AL2" s="34" t="s">
        <v>17</v>
      </c>
      <c r="AM2" s="34" t="s">
        <v>18</v>
      </c>
      <c r="AN2" s="34" t="s">
        <v>19</v>
      </c>
      <c r="AO2" s="34" t="s">
        <v>20</v>
      </c>
      <c r="AP2" s="34" t="s">
        <v>21</v>
      </c>
      <c r="AQ2" s="34" t="s">
        <v>22</v>
      </c>
      <c r="AR2" s="34" t="s">
        <v>23</v>
      </c>
      <c r="AS2" s="34" t="s">
        <v>24</v>
      </c>
      <c r="AT2" s="34" t="s">
        <v>14</v>
      </c>
      <c r="AU2" s="34" t="s">
        <v>54</v>
      </c>
      <c r="AV2" s="34" t="s">
        <v>55</v>
      </c>
    </row>
    <row r="3" spans="1:48" ht="13.5" thickTop="1" x14ac:dyDescent="0.3">
      <c r="A3" s="31"/>
      <c r="B3" s="5" t="str">
        <f>IF(E3+AD3+AJ3&gt;0,AVERAGE(E3:AC3)*50%+AVERAGE(AD3:AI3)*30%+AVERAGE(AJ3:AS3)*20%+AU3-AV3,"")</f>
        <v/>
      </c>
      <c r="C3" s="5" t="e">
        <f>(B3+'3rd MP'!B3+'2nd MP'!B3+'1st MP'!B3)/4</f>
        <v>#VALUE!</v>
      </c>
      <c r="D3" s="13" t="str">
        <f t="shared" ref="D3:D33" si="0">IF(B3&gt;=89.5,"Passing A",IF(B3&gt;=79.5,"Passing B",IF(B3&gt;=69.5,"Passing C",IF(B3&gt;=59.5,"Passing D",IF(B3&lt;59.5,"Failing","")))))</f>
        <v>Passing A</v>
      </c>
      <c r="E3" s="35"/>
      <c r="F3" s="36"/>
      <c r="G3" s="36"/>
      <c r="H3" s="36"/>
      <c r="I3" s="36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8"/>
      <c r="AE3" s="39"/>
      <c r="AF3" s="39"/>
      <c r="AG3" s="39"/>
      <c r="AH3" s="39"/>
      <c r="AI3" s="40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2"/>
      <c r="AV3" s="43"/>
    </row>
    <row r="4" spans="1:48" x14ac:dyDescent="0.3">
      <c r="A4" s="31"/>
      <c r="B4" s="5" t="str">
        <f t="shared" ref="B4:B32" si="1">IF(E4+AD4+AJ4&gt;0,AVERAGE(E4:AC4)*50%+AVERAGE(AD4:AI4)*30%+AVERAGE(AJ4:AS4)*20%+AU4-AV4,"")</f>
        <v/>
      </c>
      <c r="C4" s="5" t="e">
        <f>(B4+'3rd MP'!B4+'2nd MP'!B4+'1st MP'!B4)/4</f>
        <v>#VALUE!</v>
      </c>
      <c r="D4" s="13" t="str">
        <f t="shared" si="0"/>
        <v>Passing A</v>
      </c>
      <c r="E4" s="35"/>
      <c r="F4" s="36"/>
      <c r="G4" s="36"/>
      <c r="H4" s="36"/>
      <c r="I4" s="36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8"/>
      <c r="AE4" s="39"/>
      <c r="AF4" s="39"/>
      <c r="AG4" s="39"/>
      <c r="AH4" s="39"/>
      <c r="AI4" s="40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2"/>
      <c r="AV4" s="43"/>
    </row>
    <row r="5" spans="1:48" x14ac:dyDescent="0.3">
      <c r="A5" s="31"/>
      <c r="B5" s="5" t="str">
        <f t="shared" si="1"/>
        <v/>
      </c>
      <c r="C5" s="5" t="e">
        <f>(B5+'3rd MP'!B5+'2nd MP'!B5+'1st MP'!B5)/4</f>
        <v>#VALUE!</v>
      </c>
      <c r="D5" s="13" t="str">
        <f t="shared" si="0"/>
        <v>Passing A</v>
      </c>
      <c r="E5" s="35"/>
      <c r="F5" s="36"/>
      <c r="G5" s="36"/>
      <c r="H5" s="36"/>
      <c r="I5" s="36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8"/>
      <c r="AE5" s="39"/>
      <c r="AF5" s="39"/>
      <c r="AG5" s="39"/>
      <c r="AH5" s="39"/>
      <c r="AI5" s="40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2"/>
      <c r="AV5" s="43"/>
    </row>
    <row r="6" spans="1:48" x14ac:dyDescent="0.3">
      <c r="A6" s="31"/>
      <c r="B6" s="5" t="str">
        <f t="shared" si="1"/>
        <v/>
      </c>
      <c r="C6" s="5" t="e">
        <f>(B6+'3rd MP'!B6+'2nd MP'!B6+'1st MP'!B6)/4</f>
        <v>#VALUE!</v>
      </c>
      <c r="D6" s="13" t="str">
        <f t="shared" si="0"/>
        <v>Passing A</v>
      </c>
      <c r="E6" s="35"/>
      <c r="F6" s="36"/>
      <c r="G6" s="36"/>
      <c r="H6" s="36"/>
      <c r="I6" s="36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/>
      <c r="AE6" s="39"/>
      <c r="AF6" s="39"/>
      <c r="AG6" s="39"/>
      <c r="AH6" s="39"/>
      <c r="AI6" s="40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2"/>
      <c r="AV6" s="43"/>
    </row>
    <row r="7" spans="1:48" x14ac:dyDescent="0.3">
      <c r="A7" s="31"/>
      <c r="B7" s="5" t="str">
        <f t="shared" si="1"/>
        <v/>
      </c>
      <c r="C7" s="5" t="e">
        <f>(B7+'3rd MP'!B7+'2nd MP'!B7+'1st MP'!B7)/4</f>
        <v>#VALUE!</v>
      </c>
      <c r="D7" s="13" t="str">
        <f t="shared" si="0"/>
        <v>Passing A</v>
      </c>
      <c r="E7" s="35"/>
      <c r="F7" s="36"/>
      <c r="G7" s="36"/>
      <c r="H7" s="36"/>
      <c r="I7" s="36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8"/>
      <c r="AE7" s="39"/>
      <c r="AF7" s="39"/>
      <c r="AG7" s="39"/>
      <c r="AH7" s="39"/>
      <c r="AI7" s="40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2"/>
      <c r="AV7" s="43"/>
    </row>
    <row r="8" spans="1:48" x14ac:dyDescent="0.3">
      <c r="A8" s="31"/>
      <c r="B8" s="5" t="str">
        <f t="shared" si="1"/>
        <v/>
      </c>
      <c r="C8" s="5" t="e">
        <f>(B8+'3rd MP'!B8+'2nd MP'!B8+'1st MP'!B8)/4</f>
        <v>#VALUE!</v>
      </c>
      <c r="D8" s="13" t="str">
        <f t="shared" si="0"/>
        <v>Passing A</v>
      </c>
      <c r="E8" s="35"/>
      <c r="F8" s="36"/>
      <c r="G8" s="36"/>
      <c r="H8" s="36"/>
      <c r="I8" s="36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8"/>
      <c r="AE8" s="39"/>
      <c r="AF8" s="39"/>
      <c r="AG8" s="39"/>
      <c r="AH8" s="39"/>
      <c r="AI8" s="40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2"/>
      <c r="AV8" s="43"/>
    </row>
    <row r="9" spans="1:48" x14ac:dyDescent="0.3">
      <c r="A9" s="31"/>
      <c r="B9" s="5" t="str">
        <f t="shared" si="1"/>
        <v/>
      </c>
      <c r="C9" s="5" t="e">
        <f>(B9+'3rd MP'!B9+'2nd MP'!B9+'1st MP'!B9)/4</f>
        <v>#VALUE!</v>
      </c>
      <c r="D9" s="13" t="str">
        <f t="shared" si="0"/>
        <v>Passing A</v>
      </c>
      <c r="E9" s="35"/>
      <c r="F9" s="36"/>
      <c r="G9" s="36"/>
      <c r="H9" s="36"/>
      <c r="I9" s="36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8"/>
      <c r="AE9" s="39"/>
      <c r="AF9" s="39"/>
      <c r="AG9" s="39"/>
      <c r="AH9" s="39"/>
      <c r="AI9" s="40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2"/>
      <c r="AV9" s="43"/>
    </row>
    <row r="10" spans="1:48" x14ac:dyDescent="0.3">
      <c r="A10" s="31"/>
      <c r="B10" s="5" t="str">
        <f t="shared" si="1"/>
        <v/>
      </c>
      <c r="C10" s="5" t="e">
        <f>(B10+'3rd MP'!B10+'2nd MP'!B10+'1st MP'!B10)/4</f>
        <v>#VALUE!</v>
      </c>
      <c r="D10" s="13" t="str">
        <f t="shared" si="0"/>
        <v>Passing A</v>
      </c>
      <c r="E10" s="35"/>
      <c r="F10" s="36"/>
      <c r="G10" s="36"/>
      <c r="H10" s="36"/>
      <c r="I10" s="36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8"/>
      <c r="AE10" s="39"/>
      <c r="AF10" s="39"/>
      <c r="AG10" s="39"/>
      <c r="AH10" s="39"/>
      <c r="AI10" s="40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2"/>
      <c r="AV10" s="43"/>
    </row>
    <row r="11" spans="1:48" x14ac:dyDescent="0.3">
      <c r="A11" s="31"/>
      <c r="B11" s="5" t="str">
        <f t="shared" si="1"/>
        <v/>
      </c>
      <c r="C11" s="5" t="e">
        <f>(B11+'3rd MP'!B11+'2nd MP'!B11+'1st MP'!B11)/4</f>
        <v>#VALUE!</v>
      </c>
      <c r="D11" s="13" t="str">
        <f t="shared" si="0"/>
        <v>Passing A</v>
      </c>
      <c r="E11" s="35"/>
      <c r="F11" s="36"/>
      <c r="G11" s="36"/>
      <c r="H11" s="36"/>
      <c r="I11" s="36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8"/>
      <c r="AE11" s="39"/>
      <c r="AF11" s="39"/>
      <c r="AG11" s="39"/>
      <c r="AH11" s="39"/>
      <c r="AI11" s="40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2"/>
      <c r="AV11" s="43"/>
    </row>
    <row r="12" spans="1:48" x14ac:dyDescent="0.3">
      <c r="A12" s="31"/>
      <c r="B12" s="5" t="str">
        <f t="shared" si="1"/>
        <v/>
      </c>
      <c r="C12" s="5" t="e">
        <f>(B12+'3rd MP'!B12+'2nd MP'!B12+'1st MP'!B12)/4</f>
        <v>#VALUE!</v>
      </c>
      <c r="D12" s="13" t="str">
        <f t="shared" si="0"/>
        <v>Passing A</v>
      </c>
      <c r="E12" s="35"/>
      <c r="F12" s="36"/>
      <c r="G12" s="36"/>
      <c r="H12" s="36"/>
      <c r="I12" s="36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8"/>
      <c r="AE12" s="39"/>
      <c r="AF12" s="39"/>
      <c r="AG12" s="39"/>
      <c r="AH12" s="39"/>
      <c r="AI12" s="40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2"/>
      <c r="AV12" s="43"/>
    </row>
    <row r="13" spans="1:48" x14ac:dyDescent="0.3">
      <c r="A13" s="31"/>
      <c r="B13" s="5" t="str">
        <f t="shared" si="1"/>
        <v/>
      </c>
      <c r="C13" s="5" t="e">
        <f>(B13+'3rd MP'!B13+'2nd MP'!B13+'1st MP'!B13)/4</f>
        <v>#VALUE!</v>
      </c>
      <c r="D13" s="13" t="str">
        <f t="shared" si="0"/>
        <v>Passing A</v>
      </c>
      <c r="E13" s="35"/>
      <c r="F13" s="36"/>
      <c r="G13" s="36"/>
      <c r="H13" s="36"/>
      <c r="I13" s="36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8"/>
      <c r="AE13" s="39"/>
      <c r="AF13" s="39"/>
      <c r="AG13" s="39"/>
      <c r="AH13" s="39"/>
      <c r="AI13" s="40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2"/>
      <c r="AV13" s="43"/>
    </row>
    <row r="14" spans="1:48" x14ac:dyDescent="0.3">
      <c r="A14" s="31"/>
      <c r="B14" s="5" t="str">
        <f t="shared" si="1"/>
        <v/>
      </c>
      <c r="C14" s="5" t="e">
        <f>(B14+'3rd MP'!B14+'2nd MP'!B14+'1st MP'!B14)/4</f>
        <v>#VALUE!</v>
      </c>
      <c r="D14" s="13" t="str">
        <f t="shared" si="0"/>
        <v>Passing A</v>
      </c>
      <c r="E14" s="35"/>
      <c r="F14" s="36"/>
      <c r="G14" s="36"/>
      <c r="H14" s="36"/>
      <c r="I14" s="36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8"/>
      <c r="AE14" s="39"/>
      <c r="AF14" s="39"/>
      <c r="AG14" s="39"/>
      <c r="AH14" s="39"/>
      <c r="AI14" s="40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2"/>
      <c r="AV14" s="43"/>
    </row>
    <row r="15" spans="1:48" x14ac:dyDescent="0.3">
      <c r="A15" s="31"/>
      <c r="B15" s="5" t="str">
        <f t="shared" si="1"/>
        <v/>
      </c>
      <c r="C15" s="5" t="e">
        <f>(B15+'3rd MP'!B15+'2nd MP'!B15+'1st MP'!B15)/4</f>
        <v>#VALUE!</v>
      </c>
      <c r="D15" s="13" t="str">
        <f t="shared" si="0"/>
        <v>Passing A</v>
      </c>
      <c r="E15" s="35"/>
      <c r="F15" s="36"/>
      <c r="G15" s="36"/>
      <c r="H15" s="36"/>
      <c r="I15" s="36"/>
      <c r="J15" s="44"/>
      <c r="K15" s="44"/>
      <c r="L15" s="44"/>
      <c r="M15" s="44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8"/>
      <c r="AE15" s="39"/>
      <c r="AF15" s="38"/>
      <c r="AG15" s="38"/>
      <c r="AH15" s="39"/>
      <c r="AI15" s="40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2"/>
      <c r="AV15" s="43"/>
    </row>
    <row r="16" spans="1:48" x14ac:dyDescent="0.3">
      <c r="A16" s="31"/>
      <c r="B16" s="5" t="str">
        <f t="shared" si="1"/>
        <v/>
      </c>
      <c r="C16" s="5" t="e">
        <f>(B16+'3rd MP'!B16+'2nd MP'!B16+'1st MP'!B16)/4</f>
        <v>#VALUE!</v>
      </c>
      <c r="D16" s="13" t="str">
        <f t="shared" si="0"/>
        <v>Passing A</v>
      </c>
      <c r="E16" s="35"/>
      <c r="F16" s="36"/>
      <c r="G16" s="36"/>
      <c r="H16" s="36"/>
      <c r="I16" s="36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8"/>
      <c r="AE16" s="39"/>
      <c r="AF16" s="39"/>
      <c r="AG16" s="39"/>
      <c r="AH16" s="39"/>
      <c r="AI16" s="40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2"/>
      <c r="AV16" s="43"/>
    </row>
    <row r="17" spans="1:48" x14ac:dyDescent="0.3">
      <c r="A17" s="31"/>
      <c r="B17" s="5" t="str">
        <f t="shared" si="1"/>
        <v/>
      </c>
      <c r="C17" s="5" t="e">
        <f>(B17+'3rd MP'!B17+'2nd MP'!B17+'1st MP'!B17)/4</f>
        <v>#VALUE!</v>
      </c>
      <c r="D17" s="13" t="str">
        <f t="shared" si="0"/>
        <v>Passing A</v>
      </c>
      <c r="E17" s="35"/>
      <c r="F17" s="36"/>
      <c r="G17" s="36"/>
      <c r="H17" s="36"/>
      <c r="I17" s="36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8"/>
      <c r="AE17" s="39"/>
      <c r="AF17" s="39"/>
      <c r="AG17" s="39"/>
      <c r="AH17" s="39"/>
      <c r="AI17" s="40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2"/>
      <c r="AV17" s="43"/>
    </row>
    <row r="18" spans="1:48" x14ac:dyDescent="0.3">
      <c r="A18" s="31"/>
      <c r="B18" s="5" t="str">
        <f t="shared" si="1"/>
        <v/>
      </c>
      <c r="C18" s="5" t="e">
        <f>(B18+'3rd MP'!B18+'2nd MP'!B18+'1st MP'!B18)/4</f>
        <v>#VALUE!</v>
      </c>
      <c r="D18" s="13" t="str">
        <f t="shared" si="0"/>
        <v>Passing A</v>
      </c>
      <c r="E18" s="35"/>
      <c r="F18" s="36"/>
      <c r="G18" s="36"/>
      <c r="H18" s="36"/>
      <c r="I18" s="36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8"/>
      <c r="AE18" s="39"/>
      <c r="AF18" s="39"/>
      <c r="AG18" s="39"/>
      <c r="AH18" s="39"/>
      <c r="AI18" s="40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2"/>
      <c r="AV18" s="43"/>
    </row>
    <row r="19" spans="1:48" x14ac:dyDescent="0.3">
      <c r="A19" s="31"/>
      <c r="B19" s="5" t="str">
        <f t="shared" si="1"/>
        <v/>
      </c>
      <c r="C19" s="5" t="e">
        <f>(B19+'3rd MP'!B19+'2nd MP'!B19+'1st MP'!B19)/4</f>
        <v>#VALUE!</v>
      </c>
      <c r="D19" s="13" t="str">
        <f t="shared" si="0"/>
        <v>Passing A</v>
      </c>
      <c r="E19" s="35"/>
      <c r="F19" s="36"/>
      <c r="G19" s="36"/>
      <c r="H19" s="36"/>
      <c r="I19" s="36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8"/>
      <c r="AE19" s="39"/>
      <c r="AF19" s="39"/>
      <c r="AG19" s="39"/>
      <c r="AH19" s="39"/>
      <c r="AI19" s="40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2"/>
      <c r="AV19" s="43"/>
    </row>
    <row r="20" spans="1:48" x14ac:dyDescent="0.3">
      <c r="A20" s="31"/>
      <c r="B20" s="5" t="str">
        <f t="shared" si="1"/>
        <v/>
      </c>
      <c r="C20" s="5" t="e">
        <f>(B20+'3rd MP'!B20+'2nd MP'!B20+'1st MP'!B20)/4</f>
        <v>#VALUE!</v>
      </c>
      <c r="D20" s="13" t="str">
        <f t="shared" si="0"/>
        <v>Passing A</v>
      </c>
      <c r="E20" s="35"/>
      <c r="F20" s="36"/>
      <c r="G20" s="36"/>
      <c r="H20" s="36"/>
      <c r="I20" s="36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8"/>
      <c r="AE20" s="39"/>
      <c r="AF20" s="39"/>
      <c r="AG20" s="39"/>
      <c r="AH20" s="39"/>
      <c r="AI20" s="40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2"/>
      <c r="AV20" s="43"/>
    </row>
    <row r="21" spans="1:48" x14ac:dyDescent="0.3">
      <c r="A21" s="31"/>
      <c r="B21" s="5" t="str">
        <f t="shared" si="1"/>
        <v/>
      </c>
      <c r="C21" s="5" t="e">
        <f>(B21+'3rd MP'!B21+'2nd MP'!B21+'1st MP'!B21)/4</f>
        <v>#VALUE!</v>
      </c>
      <c r="D21" s="13" t="str">
        <f t="shared" si="0"/>
        <v>Passing A</v>
      </c>
      <c r="E21" s="35"/>
      <c r="F21" s="36"/>
      <c r="G21" s="36"/>
      <c r="H21" s="36"/>
      <c r="I21" s="36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8"/>
      <c r="AE21" s="39"/>
      <c r="AF21" s="39"/>
      <c r="AG21" s="39"/>
      <c r="AH21" s="39"/>
      <c r="AI21" s="40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2"/>
      <c r="AV21" s="43"/>
    </row>
    <row r="22" spans="1:48" x14ac:dyDescent="0.3">
      <c r="A22" s="31"/>
      <c r="B22" s="5" t="str">
        <f t="shared" si="1"/>
        <v/>
      </c>
      <c r="C22" s="5" t="e">
        <f>(B22+'3rd MP'!B22+'2nd MP'!B22+'1st MP'!B22)/4</f>
        <v>#VALUE!</v>
      </c>
      <c r="D22" s="13" t="str">
        <f t="shared" si="0"/>
        <v>Passing A</v>
      </c>
      <c r="E22" s="35"/>
      <c r="F22" s="36"/>
      <c r="G22" s="36"/>
      <c r="H22" s="36"/>
      <c r="I22" s="36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8"/>
      <c r="AE22" s="39"/>
      <c r="AF22" s="39"/>
      <c r="AG22" s="39"/>
      <c r="AH22" s="39"/>
      <c r="AI22" s="40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2"/>
      <c r="AV22" s="43"/>
    </row>
    <row r="23" spans="1:48" x14ac:dyDescent="0.3">
      <c r="A23" s="31"/>
      <c r="B23" s="5" t="str">
        <f t="shared" si="1"/>
        <v/>
      </c>
      <c r="C23" s="5" t="e">
        <f>(B23+'3rd MP'!B23+'2nd MP'!B23+'1st MP'!B23)/4</f>
        <v>#VALUE!</v>
      </c>
      <c r="D23" s="13" t="str">
        <f t="shared" si="0"/>
        <v>Passing A</v>
      </c>
      <c r="E23" s="35"/>
      <c r="F23" s="36"/>
      <c r="G23" s="36"/>
      <c r="H23" s="36"/>
      <c r="I23" s="36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8"/>
      <c r="AE23" s="39"/>
      <c r="AF23" s="39"/>
      <c r="AG23" s="39"/>
      <c r="AH23" s="39"/>
      <c r="AI23" s="40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2"/>
      <c r="AV23" s="43"/>
    </row>
    <row r="24" spans="1:48" x14ac:dyDescent="0.3">
      <c r="A24" s="31"/>
      <c r="B24" s="5" t="str">
        <f t="shared" si="1"/>
        <v/>
      </c>
      <c r="C24" s="5" t="e">
        <f>(B24+'3rd MP'!B24+'2nd MP'!B24+'1st MP'!B24)/4</f>
        <v>#VALUE!</v>
      </c>
      <c r="D24" s="13" t="str">
        <f t="shared" si="0"/>
        <v>Passing A</v>
      </c>
      <c r="E24" s="35"/>
      <c r="F24" s="36"/>
      <c r="G24" s="36"/>
      <c r="H24" s="36"/>
      <c r="I24" s="36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8"/>
      <c r="AE24" s="39"/>
      <c r="AF24" s="39"/>
      <c r="AG24" s="39"/>
      <c r="AH24" s="39"/>
      <c r="AI24" s="40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2"/>
      <c r="AV24" s="43"/>
    </row>
    <row r="25" spans="1:48" x14ac:dyDescent="0.3">
      <c r="A25" s="31"/>
      <c r="B25" s="5" t="str">
        <f t="shared" si="1"/>
        <v/>
      </c>
      <c r="C25" s="5" t="e">
        <f>(B25+'3rd MP'!B25+'2nd MP'!B25+'1st MP'!B25)/4</f>
        <v>#VALUE!</v>
      </c>
      <c r="D25" s="13" t="str">
        <f t="shared" si="0"/>
        <v>Passing A</v>
      </c>
      <c r="E25" s="35"/>
      <c r="F25" s="36"/>
      <c r="G25" s="36"/>
      <c r="H25" s="36"/>
      <c r="I25" s="36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8"/>
      <c r="AE25" s="39"/>
      <c r="AF25" s="39"/>
      <c r="AG25" s="39"/>
      <c r="AH25" s="39"/>
      <c r="AI25" s="40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2"/>
      <c r="AV25" s="43"/>
    </row>
    <row r="26" spans="1:48" x14ac:dyDescent="0.3">
      <c r="A26" s="31"/>
      <c r="B26" s="5" t="str">
        <f t="shared" si="1"/>
        <v/>
      </c>
      <c r="C26" s="5" t="e">
        <f>(B26+'3rd MP'!B26+'2nd MP'!B26+'1st MP'!B26)/4</f>
        <v>#VALUE!</v>
      </c>
      <c r="D26" s="13" t="str">
        <f t="shared" si="0"/>
        <v>Passing A</v>
      </c>
      <c r="E26" s="35"/>
      <c r="F26" s="36"/>
      <c r="G26" s="36"/>
      <c r="H26" s="36"/>
      <c r="I26" s="36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8"/>
      <c r="AE26" s="39"/>
      <c r="AF26" s="39"/>
      <c r="AG26" s="39"/>
      <c r="AH26" s="39"/>
      <c r="AI26" s="40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2"/>
      <c r="AV26" s="43"/>
    </row>
    <row r="27" spans="1:48" x14ac:dyDescent="0.3">
      <c r="A27" s="31"/>
      <c r="B27" s="5" t="str">
        <f t="shared" si="1"/>
        <v/>
      </c>
      <c r="C27" s="5" t="e">
        <f>(B27+'3rd MP'!B27+'2nd MP'!B27+'1st MP'!B27)/4</f>
        <v>#VALUE!</v>
      </c>
      <c r="D27" s="13" t="str">
        <f t="shared" si="0"/>
        <v>Passing A</v>
      </c>
      <c r="E27" s="35"/>
      <c r="F27" s="36"/>
      <c r="G27" s="36"/>
      <c r="H27" s="36"/>
      <c r="I27" s="36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8"/>
      <c r="AE27" s="39"/>
      <c r="AF27" s="39"/>
      <c r="AG27" s="39"/>
      <c r="AH27" s="39"/>
      <c r="AI27" s="40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2"/>
      <c r="AV27" s="43"/>
    </row>
    <row r="28" spans="1:48" x14ac:dyDescent="0.3">
      <c r="A28" s="31"/>
      <c r="B28" s="5" t="str">
        <f t="shared" si="1"/>
        <v/>
      </c>
      <c r="C28" s="5" t="e">
        <f>(B28+'3rd MP'!B28+'2nd MP'!B28+'1st MP'!B28)/4</f>
        <v>#VALUE!</v>
      </c>
      <c r="D28" s="13" t="str">
        <f t="shared" si="0"/>
        <v>Passing A</v>
      </c>
      <c r="E28" s="35"/>
      <c r="F28" s="36"/>
      <c r="G28" s="36"/>
      <c r="H28" s="36"/>
      <c r="I28" s="36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8"/>
      <c r="AE28" s="39"/>
      <c r="AF28" s="39"/>
      <c r="AG28" s="39"/>
      <c r="AH28" s="39"/>
      <c r="AI28" s="40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2"/>
      <c r="AV28" s="43"/>
    </row>
    <row r="29" spans="1:48" x14ac:dyDescent="0.3">
      <c r="A29" s="31"/>
      <c r="B29" s="5" t="str">
        <f t="shared" si="1"/>
        <v/>
      </c>
      <c r="C29" s="5" t="e">
        <f>(B29+'3rd MP'!B29+'2nd MP'!B29+'1st MP'!B29)/4</f>
        <v>#VALUE!</v>
      </c>
      <c r="D29" s="13" t="str">
        <f t="shared" si="0"/>
        <v>Passing A</v>
      </c>
      <c r="E29" s="35"/>
      <c r="F29" s="36"/>
      <c r="G29" s="36"/>
      <c r="H29" s="36"/>
      <c r="I29" s="36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8"/>
      <c r="AE29" s="39"/>
      <c r="AF29" s="39"/>
      <c r="AG29" s="39"/>
      <c r="AH29" s="39"/>
      <c r="AI29" s="40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2"/>
      <c r="AV29" s="43"/>
    </row>
    <row r="30" spans="1:48" x14ac:dyDescent="0.3">
      <c r="A30" s="31"/>
      <c r="B30" s="5" t="str">
        <f t="shared" si="1"/>
        <v/>
      </c>
      <c r="C30" s="5" t="e">
        <f>(B30+'3rd MP'!B30+'2nd MP'!B30+'1st MP'!B30)/4</f>
        <v>#VALUE!</v>
      </c>
      <c r="D30" s="13" t="str">
        <f t="shared" si="0"/>
        <v>Passing A</v>
      </c>
      <c r="E30" s="35"/>
      <c r="F30" s="36"/>
      <c r="G30" s="36"/>
      <c r="H30" s="36"/>
      <c r="I30" s="36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8"/>
      <c r="AE30" s="39"/>
      <c r="AF30" s="39"/>
      <c r="AG30" s="39"/>
      <c r="AH30" s="39"/>
      <c r="AI30" s="40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2"/>
      <c r="AV30" s="43"/>
    </row>
    <row r="31" spans="1:48" x14ac:dyDescent="0.3">
      <c r="A31" s="31"/>
      <c r="B31" s="5" t="str">
        <f t="shared" si="1"/>
        <v/>
      </c>
      <c r="C31" s="5" t="e">
        <f>(B31+'3rd MP'!B31+'2nd MP'!B31+'1st MP'!B31)/4</f>
        <v>#VALUE!</v>
      </c>
      <c r="D31" s="13" t="str">
        <f t="shared" si="0"/>
        <v>Passing A</v>
      </c>
      <c r="E31" s="35"/>
      <c r="F31" s="36"/>
      <c r="G31" s="36"/>
      <c r="H31" s="36"/>
      <c r="I31" s="36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8"/>
      <c r="AE31" s="39"/>
      <c r="AF31" s="39"/>
      <c r="AG31" s="39"/>
      <c r="AH31" s="39"/>
      <c r="AI31" s="40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2"/>
      <c r="AV31" s="43"/>
    </row>
    <row r="32" spans="1:48" x14ac:dyDescent="0.3">
      <c r="A32" s="31"/>
      <c r="B32" s="5" t="str">
        <f t="shared" si="1"/>
        <v/>
      </c>
      <c r="C32" s="5" t="e">
        <f>(B32+'3rd MP'!B32+'2nd MP'!B32+'1st MP'!B32)/4</f>
        <v>#VALUE!</v>
      </c>
      <c r="D32" s="13" t="str">
        <f t="shared" si="0"/>
        <v>Passing A</v>
      </c>
      <c r="E32" s="35"/>
      <c r="F32" s="36"/>
      <c r="G32" s="36"/>
      <c r="H32" s="36"/>
      <c r="I32" s="36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8"/>
      <c r="AE32" s="39"/>
      <c r="AF32" s="39"/>
      <c r="AG32" s="39"/>
      <c r="AH32" s="39"/>
      <c r="AI32" s="40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2"/>
      <c r="AV32" s="43"/>
    </row>
    <row r="33" spans="1:48" s="6" customFormat="1" x14ac:dyDescent="0.3">
      <c r="A33" s="7" t="s">
        <v>0</v>
      </c>
      <c r="B33" s="11" t="str">
        <f>IF(SUM(B3:B32)&gt;0,AVERAGE(B3:B32),"")</f>
        <v/>
      </c>
      <c r="C33" s="11" t="e">
        <f>IF(SUM(C3:C32)&gt;0,AVERAGE(C3:C32),"")</f>
        <v>#VALUE!</v>
      </c>
      <c r="D33" s="16" t="str">
        <f t="shared" si="0"/>
        <v>Passing A</v>
      </c>
      <c r="E33" s="11" t="str">
        <f t="shared" ref="E33:AV33" si="2">IF(SUM(E3:E32)&gt;0,AVERAGE(E3:E32),"")</f>
        <v/>
      </c>
      <c r="F33" s="11" t="str">
        <f t="shared" si="2"/>
        <v/>
      </c>
      <c r="G33" s="11" t="str">
        <f t="shared" si="2"/>
        <v/>
      </c>
      <c r="H33" s="11" t="str">
        <f t="shared" si="2"/>
        <v/>
      </c>
      <c r="I33" s="11" t="str">
        <f t="shared" si="2"/>
        <v/>
      </c>
      <c r="J33" s="11" t="str">
        <f t="shared" si="2"/>
        <v/>
      </c>
      <c r="K33" s="11" t="str">
        <f t="shared" si="2"/>
        <v/>
      </c>
      <c r="L33" s="11" t="str">
        <f t="shared" si="2"/>
        <v/>
      </c>
      <c r="M33" s="11" t="str">
        <f t="shared" si="2"/>
        <v/>
      </c>
      <c r="N33" s="11" t="str">
        <f t="shared" si="2"/>
        <v/>
      </c>
      <c r="O33" s="11" t="str">
        <f t="shared" si="2"/>
        <v/>
      </c>
      <c r="P33" s="11" t="str">
        <f t="shared" si="2"/>
        <v/>
      </c>
      <c r="Q33" s="11" t="str">
        <f t="shared" si="2"/>
        <v/>
      </c>
      <c r="R33" s="11" t="str">
        <f t="shared" si="2"/>
        <v/>
      </c>
      <c r="S33" s="11" t="str">
        <f t="shared" si="2"/>
        <v/>
      </c>
      <c r="T33" s="11" t="str">
        <f t="shared" si="2"/>
        <v/>
      </c>
      <c r="U33" s="11" t="str">
        <f t="shared" si="2"/>
        <v/>
      </c>
      <c r="V33" s="11" t="str">
        <f t="shared" si="2"/>
        <v/>
      </c>
      <c r="W33" s="11" t="str">
        <f t="shared" si="2"/>
        <v/>
      </c>
      <c r="X33" s="11" t="str">
        <f t="shared" si="2"/>
        <v/>
      </c>
      <c r="Y33" s="11" t="str">
        <f t="shared" si="2"/>
        <v/>
      </c>
      <c r="Z33" s="11" t="str">
        <f t="shared" si="2"/>
        <v/>
      </c>
      <c r="AA33" s="11" t="str">
        <f t="shared" si="2"/>
        <v/>
      </c>
      <c r="AB33" s="11" t="str">
        <f t="shared" si="2"/>
        <v/>
      </c>
      <c r="AC33" s="11" t="str">
        <f t="shared" si="2"/>
        <v/>
      </c>
      <c r="AD33" s="11" t="str">
        <f t="shared" si="2"/>
        <v/>
      </c>
      <c r="AE33" s="11" t="str">
        <f t="shared" si="2"/>
        <v/>
      </c>
      <c r="AF33" s="11" t="str">
        <f t="shared" si="2"/>
        <v/>
      </c>
      <c r="AG33" s="11" t="str">
        <f t="shared" si="2"/>
        <v/>
      </c>
      <c r="AH33" s="11" t="str">
        <f t="shared" si="2"/>
        <v/>
      </c>
      <c r="AI33" s="11" t="str">
        <f t="shared" si="2"/>
        <v/>
      </c>
      <c r="AJ33" s="11" t="str">
        <f t="shared" si="2"/>
        <v/>
      </c>
      <c r="AK33" s="11" t="str">
        <f t="shared" si="2"/>
        <v/>
      </c>
      <c r="AL33" s="11" t="str">
        <f t="shared" si="2"/>
        <v/>
      </c>
      <c r="AM33" s="11" t="str">
        <f t="shared" si="2"/>
        <v/>
      </c>
      <c r="AN33" s="11" t="str">
        <f t="shared" si="2"/>
        <v/>
      </c>
      <c r="AO33" s="11" t="str">
        <f t="shared" si="2"/>
        <v/>
      </c>
      <c r="AP33" s="11" t="str">
        <f t="shared" si="2"/>
        <v/>
      </c>
      <c r="AQ33" s="11" t="str">
        <f t="shared" si="2"/>
        <v/>
      </c>
      <c r="AR33" s="11" t="str">
        <f t="shared" si="2"/>
        <v/>
      </c>
      <c r="AS33" s="11" t="str">
        <f t="shared" si="2"/>
        <v/>
      </c>
      <c r="AT33" s="11" t="str">
        <f t="shared" si="2"/>
        <v/>
      </c>
      <c r="AU33" s="11" t="str">
        <f t="shared" si="2"/>
        <v/>
      </c>
      <c r="AV33" s="11" t="str">
        <f t="shared" si="2"/>
        <v/>
      </c>
    </row>
    <row r="35" spans="1:48" x14ac:dyDescent="0.3">
      <c r="A35" s="15" t="s">
        <v>10</v>
      </c>
    </row>
    <row r="36" spans="1:48" x14ac:dyDescent="0.3">
      <c r="A36" s="15" t="s">
        <v>11</v>
      </c>
    </row>
    <row r="37" spans="1:48" x14ac:dyDescent="0.3">
      <c r="A37" s="15" t="s">
        <v>12</v>
      </c>
    </row>
    <row r="38" spans="1:48" x14ac:dyDescent="0.3">
      <c r="A38" s="28" t="s">
        <v>13</v>
      </c>
    </row>
  </sheetData>
  <sheetProtection sheet="1" objects="1" scenarios="1" formatCells="0" formatColumns="0" formatRows="0" insertColumns="0" insertRows="0" insertHyperlinks="0" deleteColumns="0" deleteRows="0" sort="0" autoFilter="0"/>
  <phoneticPr fontId="0" type="noConversion"/>
  <hyperlinks>
    <hyperlink ref="A38" r:id="rId1"/>
  </hyperlinks>
  <printOptions horizontalCentered="1" verticalCentered="1" gridLines="1"/>
  <pageMargins left="0.75" right="0.75" top="1" bottom="1" header="0.5" footer="0.5"/>
  <pageSetup scale="75" orientation="landscape" blackAndWhite="1" horizontalDpi="360" verticalDpi="360" r:id="rId2"/>
  <headerFooter alignWithMargins="0">
    <oddHeader xml:space="preserve">&amp;C&amp;20 </oddHead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8"/>
  <sheetViews>
    <sheetView zoomScale="75" workbookViewId="0">
      <selection activeCell="F3" sqref="F3:F32"/>
    </sheetView>
  </sheetViews>
  <sheetFormatPr defaultColWidth="8.81640625" defaultRowHeight="12.5" x14ac:dyDescent="0.25"/>
  <cols>
    <col min="1" max="1" width="19.453125" style="2" customWidth="1"/>
    <col min="2" max="2" width="7.7265625" style="2" customWidth="1"/>
    <col min="3" max="3" width="8" style="2" bestFit="1" customWidth="1"/>
    <col min="4" max="5" width="7.7265625" style="2" customWidth="1"/>
    <col min="6" max="6" width="8.81640625" style="2" bestFit="1" customWidth="1"/>
    <col min="7" max="7" width="10.26953125" style="2" customWidth="1"/>
    <col min="8" max="8" width="12.1796875" style="2" customWidth="1"/>
    <col min="9" max="16384" width="8.81640625" style="2"/>
  </cols>
  <sheetData>
    <row r="1" spans="1:9" ht="22.15" customHeight="1" x14ac:dyDescent="0.35">
      <c r="A1" s="45" t="s">
        <v>9</v>
      </c>
    </row>
    <row r="2" spans="1:9" s="1" customFormat="1" ht="67.150000000000006" customHeight="1" x14ac:dyDescent="0.3">
      <c r="A2" s="4" t="s">
        <v>3</v>
      </c>
      <c r="B2" s="1" t="s">
        <v>56</v>
      </c>
      <c r="C2" s="1" t="s">
        <v>59</v>
      </c>
      <c r="D2" s="1" t="s">
        <v>57</v>
      </c>
      <c r="E2" s="1" t="s">
        <v>58</v>
      </c>
      <c r="F2" s="4" t="s">
        <v>6</v>
      </c>
      <c r="G2" s="4" t="s">
        <v>5</v>
      </c>
      <c r="H2" s="4" t="s">
        <v>7</v>
      </c>
      <c r="I2" s="4"/>
    </row>
    <row r="3" spans="1:9" ht="13" x14ac:dyDescent="0.3">
      <c r="A3" s="31"/>
      <c r="B3" s="17" t="str">
        <f>'1st MP'!B3</f>
        <v/>
      </c>
      <c r="C3" s="17" t="str">
        <f>'2nd MP'!B3</f>
        <v/>
      </c>
      <c r="D3" s="17" t="str">
        <f>'3rd MP'!B3</f>
        <v/>
      </c>
      <c r="E3" s="17" t="str">
        <f>'3rd MP'!B3</f>
        <v/>
      </c>
      <c r="F3" s="46"/>
      <c r="G3" s="18" t="e">
        <f>AVERAGE(B3:F3)</f>
        <v>#DIV/0!</v>
      </c>
      <c r="H3" s="19" t="e">
        <f>IF(G3&gt;=89.5,"Passing A",IF(G3&gt;=79.5,"Passing B",IF(G3&gt;=69.5,"Passing C",IF(G3&gt;=59.5,"Passing D",IF(G3&lt;59.5,"Failing","")))))</f>
        <v>#DIV/0!</v>
      </c>
      <c r="I3" s="3"/>
    </row>
    <row r="4" spans="1:9" ht="13" x14ac:dyDescent="0.3">
      <c r="A4" s="31"/>
      <c r="B4" s="17" t="str">
        <f>'1st MP'!B4</f>
        <v/>
      </c>
      <c r="C4" s="17" t="str">
        <f>'2nd MP'!B4</f>
        <v/>
      </c>
      <c r="D4" s="17" t="str">
        <f>'3rd MP'!B4</f>
        <v/>
      </c>
      <c r="E4" s="17" t="str">
        <f>'3rd MP'!B4</f>
        <v/>
      </c>
      <c r="F4" s="46"/>
      <c r="G4" s="18" t="e">
        <f t="shared" ref="G4:G33" si="0">AVERAGE(B4:F4)</f>
        <v>#DIV/0!</v>
      </c>
      <c r="H4" s="19" t="e">
        <f t="shared" ref="H4:H32" si="1">IF(G4&gt;=89.5,"Passing A",IF(G4&gt;=79.5,"Passing B",IF(G4&gt;=69.5,"Passing C",IF(G4&gt;=59.5,"Passing D",IF(G4&lt;59.5,"Failing","")))))</f>
        <v>#DIV/0!</v>
      </c>
      <c r="I4" s="3"/>
    </row>
    <row r="5" spans="1:9" ht="13" x14ac:dyDescent="0.3">
      <c r="A5" s="31"/>
      <c r="B5" s="17" t="str">
        <f>'1st MP'!B5</f>
        <v/>
      </c>
      <c r="C5" s="17" t="str">
        <f>'2nd MP'!B5</f>
        <v/>
      </c>
      <c r="D5" s="17" t="str">
        <f>'3rd MP'!B5</f>
        <v/>
      </c>
      <c r="E5" s="17" t="str">
        <f>'3rd MP'!B5</f>
        <v/>
      </c>
      <c r="F5" s="46"/>
      <c r="G5" s="18" t="e">
        <f t="shared" si="0"/>
        <v>#DIV/0!</v>
      </c>
      <c r="H5" s="19" t="e">
        <f t="shared" si="1"/>
        <v>#DIV/0!</v>
      </c>
      <c r="I5" s="3"/>
    </row>
    <row r="6" spans="1:9" ht="13" x14ac:dyDescent="0.3">
      <c r="A6" s="31"/>
      <c r="B6" s="17" t="str">
        <f>'1st MP'!B6</f>
        <v/>
      </c>
      <c r="C6" s="17" t="str">
        <f>'2nd MP'!B6</f>
        <v/>
      </c>
      <c r="D6" s="17" t="str">
        <f>'3rd MP'!B6</f>
        <v/>
      </c>
      <c r="E6" s="17" t="str">
        <f>'3rd MP'!B6</f>
        <v/>
      </c>
      <c r="F6" s="46"/>
      <c r="G6" s="18" t="e">
        <f t="shared" si="0"/>
        <v>#DIV/0!</v>
      </c>
      <c r="H6" s="19" t="e">
        <f t="shared" si="1"/>
        <v>#DIV/0!</v>
      </c>
      <c r="I6" s="3"/>
    </row>
    <row r="7" spans="1:9" ht="13" x14ac:dyDescent="0.3">
      <c r="A7" s="31"/>
      <c r="B7" s="17" t="str">
        <f>'1st MP'!B7</f>
        <v/>
      </c>
      <c r="C7" s="17" t="str">
        <f>'2nd MP'!B7</f>
        <v/>
      </c>
      <c r="D7" s="17" t="str">
        <f>'3rd MP'!B7</f>
        <v/>
      </c>
      <c r="E7" s="17" t="str">
        <f>'3rd MP'!B7</f>
        <v/>
      </c>
      <c r="F7" s="46"/>
      <c r="G7" s="18" t="e">
        <f t="shared" si="0"/>
        <v>#DIV/0!</v>
      </c>
      <c r="H7" s="19" t="e">
        <f t="shared" si="1"/>
        <v>#DIV/0!</v>
      </c>
      <c r="I7" s="3"/>
    </row>
    <row r="8" spans="1:9" ht="13" x14ac:dyDescent="0.3">
      <c r="A8" s="31"/>
      <c r="B8" s="17" t="str">
        <f>'1st MP'!B8</f>
        <v/>
      </c>
      <c r="C8" s="17" t="str">
        <f>'2nd MP'!B8</f>
        <v/>
      </c>
      <c r="D8" s="17" t="str">
        <f>'3rd MP'!B8</f>
        <v/>
      </c>
      <c r="E8" s="17" t="str">
        <f>'3rd MP'!B8</f>
        <v/>
      </c>
      <c r="F8" s="46"/>
      <c r="G8" s="18" t="e">
        <f t="shared" si="0"/>
        <v>#DIV/0!</v>
      </c>
      <c r="H8" s="19" t="e">
        <f t="shared" si="1"/>
        <v>#DIV/0!</v>
      </c>
      <c r="I8" s="3"/>
    </row>
    <row r="9" spans="1:9" ht="13" x14ac:dyDescent="0.3">
      <c r="A9" s="31"/>
      <c r="B9" s="17" t="str">
        <f>'1st MP'!B9</f>
        <v/>
      </c>
      <c r="C9" s="17" t="str">
        <f>'2nd MP'!B9</f>
        <v/>
      </c>
      <c r="D9" s="17" t="str">
        <f>'3rd MP'!B9</f>
        <v/>
      </c>
      <c r="E9" s="17" t="str">
        <f>'3rd MP'!B9</f>
        <v/>
      </c>
      <c r="F9" s="46"/>
      <c r="G9" s="18" t="e">
        <f t="shared" si="0"/>
        <v>#DIV/0!</v>
      </c>
      <c r="H9" s="19" t="e">
        <f t="shared" si="1"/>
        <v>#DIV/0!</v>
      </c>
      <c r="I9" s="3"/>
    </row>
    <row r="10" spans="1:9" ht="13" x14ac:dyDescent="0.3">
      <c r="A10" s="31"/>
      <c r="B10" s="17" t="str">
        <f>'1st MP'!B10</f>
        <v/>
      </c>
      <c r="C10" s="17" t="str">
        <f>'2nd MP'!B10</f>
        <v/>
      </c>
      <c r="D10" s="17" t="str">
        <f>'3rd MP'!B10</f>
        <v/>
      </c>
      <c r="E10" s="17" t="str">
        <f>'3rd MP'!B10</f>
        <v/>
      </c>
      <c r="F10" s="46"/>
      <c r="G10" s="18" t="e">
        <f t="shared" si="0"/>
        <v>#DIV/0!</v>
      </c>
      <c r="H10" s="19" t="e">
        <f t="shared" si="1"/>
        <v>#DIV/0!</v>
      </c>
      <c r="I10" s="3"/>
    </row>
    <row r="11" spans="1:9" ht="13" x14ac:dyDescent="0.3">
      <c r="A11" s="31"/>
      <c r="B11" s="17" t="str">
        <f>'1st MP'!B11</f>
        <v/>
      </c>
      <c r="C11" s="17" t="str">
        <f>'2nd MP'!B11</f>
        <v/>
      </c>
      <c r="D11" s="17" t="str">
        <f>'3rd MP'!B11</f>
        <v/>
      </c>
      <c r="E11" s="17" t="str">
        <f>'3rd MP'!B11</f>
        <v/>
      </c>
      <c r="F11" s="46"/>
      <c r="G11" s="18" t="e">
        <f t="shared" si="0"/>
        <v>#DIV/0!</v>
      </c>
      <c r="H11" s="19" t="e">
        <f t="shared" si="1"/>
        <v>#DIV/0!</v>
      </c>
      <c r="I11" s="3"/>
    </row>
    <row r="12" spans="1:9" ht="13" x14ac:dyDescent="0.3">
      <c r="A12" s="31"/>
      <c r="B12" s="17" t="str">
        <f>'1st MP'!B12</f>
        <v/>
      </c>
      <c r="C12" s="17" t="str">
        <f>'2nd MP'!B12</f>
        <v/>
      </c>
      <c r="D12" s="17" t="str">
        <f>'3rd MP'!B12</f>
        <v/>
      </c>
      <c r="E12" s="17" t="str">
        <f>'3rd MP'!B12</f>
        <v/>
      </c>
      <c r="F12" s="46"/>
      <c r="G12" s="18" t="e">
        <f t="shared" si="0"/>
        <v>#DIV/0!</v>
      </c>
      <c r="H12" s="19" t="e">
        <f t="shared" si="1"/>
        <v>#DIV/0!</v>
      </c>
      <c r="I12" s="3"/>
    </row>
    <row r="13" spans="1:9" ht="13" x14ac:dyDescent="0.3">
      <c r="A13" s="31"/>
      <c r="B13" s="17" t="str">
        <f>'1st MP'!B13</f>
        <v/>
      </c>
      <c r="C13" s="17" t="str">
        <f>'2nd MP'!B13</f>
        <v/>
      </c>
      <c r="D13" s="17" t="str">
        <f>'3rd MP'!B13</f>
        <v/>
      </c>
      <c r="E13" s="17" t="str">
        <f>'3rd MP'!B13</f>
        <v/>
      </c>
      <c r="F13" s="46"/>
      <c r="G13" s="18" t="e">
        <f t="shared" si="0"/>
        <v>#DIV/0!</v>
      </c>
      <c r="H13" s="19" t="e">
        <f t="shared" si="1"/>
        <v>#DIV/0!</v>
      </c>
      <c r="I13" s="3"/>
    </row>
    <row r="14" spans="1:9" ht="13" x14ac:dyDescent="0.3">
      <c r="A14" s="31"/>
      <c r="B14" s="17" t="str">
        <f>'1st MP'!B14</f>
        <v/>
      </c>
      <c r="C14" s="17" t="str">
        <f>'2nd MP'!B14</f>
        <v/>
      </c>
      <c r="D14" s="17" t="str">
        <f>'3rd MP'!B14</f>
        <v/>
      </c>
      <c r="E14" s="17" t="str">
        <f>'3rd MP'!B14</f>
        <v/>
      </c>
      <c r="F14" s="46"/>
      <c r="G14" s="18" t="e">
        <f t="shared" si="0"/>
        <v>#DIV/0!</v>
      </c>
      <c r="H14" s="19" t="e">
        <f t="shared" si="1"/>
        <v>#DIV/0!</v>
      </c>
      <c r="I14" s="3"/>
    </row>
    <row r="15" spans="1:9" ht="13" x14ac:dyDescent="0.3">
      <c r="A15" s="31"/>
      <c r="B15" s="17" t="str">
        <f>'1st MP'!B15</f>
        <v/>
      </c>
      <c r="C15" s="17" t="str">
        <f>'2nd MP'!B15</f>
        <v/>
      </c>
      <c r="D15" s="17" t="str">
        <f>'3rd MP'!B15</f>
        <v/>
      </c>
      <c r="E15" s="17" t="str">
        <f>'3rd MP'!B15</f>
        <v/>
      </c>
      <c r="F15" s="46"/>
      <c r="G15" s="18" t="e">
        <f t="shared" si="0"/>
        <v>#DIV/0!</v>
      </c>
      <c r="H15" s="19" t="e">
        <f t="shared" si="1"/>
        <v>#DIV/0!</v>
      </c>
      <c r="I15" s="3"/>
    </row>
    <row r="16" spans="1:9" ht="13" x14ac:dyDescent="0.3">
      <c r="A16" s="31"/>
      <c r="B16" s="17" t="str">
        <f>'1st MP'!B16</f>
        <v/>
      </c>
      <c r="C16" s="17" t="str">
        <f>'2nd MP'!B16</f>
        <v/>
      </c>
      <c r="D16" s="17" t="str">
        <f>'3rd MP'!B16</f>
        <v/>
      </c>
      <c r="E16" s="17" t="str">
        <f>'3rd MP'!B16</f>
        <v/>
      </c>
      <c r="F16" s="46"/>
      <c r="G16" s="18" t="e">
        <f t="shared" si="0"/>
        <v>#DIV/0!</v>
      </c>
      <c r="H16" s="19" t="e">
        <f t="shared" si="1"/>
        <v>#DIV/0!</v>
      </c>
      <c r="I16" s="3"/>
    </row>
    <row r="17" spans="1:9" ht="13" x14ac:dyDescent="0.3">
      <c r="A17" s="31"/>
      <c r="B17" s="17" t="str">
        <f>'1st MP'!B17</f>
        <v/>
      </c>
      <c r="C17" s="17" t="str">
        <f>'2nd MP'!B17</f>
        <v/>
      </c>
      <c r="D17" s="17" t="str">
        <f>'3rd MP'!B17</f>
        <v/>
      </c>
      <c r="E17" s="17" t="str">
        <f>'3rd MP'!B17</f>
        <v/>
      </c>
      <c r="F17" s="46"/>
      <c r="G17" s="18" t="e">
        <f t="shared" si="0"/>
        <v>#DIV/0!</v>
      </c>
      <c r="H17" s="19" t="e">
        <f t="shared" si="1"/>
        <v>#DIV/0!</v>
      </c>
      <c r="I17" s="3"/>
    </row>
    <row r="18" spans="1:9" ht="13" x14ac:dyDescent="0.3">
      <c r="A18" s="31"/>
      <c r="B18" s="17" t="str">
        <f>'1st MP'!B18</f>
        <v/>
      </c>
      <c r="C18" s="17" t="str">
        <f>'2nd MP'!B18</f>
        <v/>
      </c>
      <c r="D18" s="17" t="str">
        <f>'3rd MP'!B18</f>
        <v/>
      </c>
      <c r="E18" s="17" t="str">
        <f>'3rd MP'!B18</f>
        <v/>
      </c>
      <c r="F18" s="46"/>
      <c r="G18" s="18" t="e">
        <f t="shared" si="0"/>
        <v>#DIV/0!</v>
      </c>
      <c r="H18" s="19" t="e">
        <f t="shared" si="1"/>
        <v>#DIV/0!</v>
      </c>
      <c r="I18" s="3"/>
    </row>
    <row r="19" spans="1:9" ht="13" x14ac:dyDescent="0.3">
      <c r="A19" s="31"/>
      <c r="B19" s="17" t="str">
        <f>'1st MP'!B19</f>
        <v/>
      </c>
      <c r="C19" s="17" t="str">
        <f>'2nd MP'!B19</f>
        <v/>
      </c>
      <c r="D19" s="17" t="str">
        <f>'3rd MP'!B19</f>
        <v/>
      </c>
      <c r="E19" s="17" t="str">
        <f>'3rd MP'!B19</f>
        <v/>
      </c>
      <c r="F19" s="46"/>
      <c r="G19" s="18" t="e">
        <f t="shared" si="0"/>
        <v>#DIV/0!</v>
      </c>
      <c r="H19" s="19" t="e">
        <f t="shared" si="1"/>
        <v>#DIV/0!</v>
      </c>
      <c r="I19" s="3"/>
    </row>
    <row r="20" spans="1:9" ht="13" x14ac:dyDescent="0.3">
      <c r="A20" s="31"/>
      <c r="B20" s="17" t="str">
        <f>'1st MP'!B20</f>
        <v/>
      </c>
      <c r="C20" s="17" t="str">
        <f>'2nd MP'!B20</f>
        <v/>
      </c>
      <c r="D20" s="17" t="str">
        <f>'3rd MP'!B20</f>
        <v/>
      </c>
      <c r="E20" s="17" t="str">
        <f>'3rd MP'!B20</f>
        <v/>
      </c>
      <c r="F20" s="46"/>
      <c r="G20" s="18" t="e">
        <f t="shared" si="0"/>
        <v>#DIV/0!</v>
      </c>
      <c r="H20" s="19" t="e">
        <f t="shared" si="1"/>
        <v>#DIV/0!</v>
      </c>
      <c r="I20" s="3"/>
    </row>
    <row r="21" spans="1:9" ht="13" x14ac:dyDescent="0.3">
      <c r="A21" s="31"/>
      <c r="B21" s="17" t="str">
        <f>'1st MP'!B21</f>
        <v/>
      </c>
      <c r="C21" s="17" t="str">
        <f>'2nd MP'!B21</f>
        <v/>
      </c>
      <c r="D21" s="17" t="str">
        <f>'3rd MP'!B21</f>
        <v/>
      </c>
      <c r="E21" s="17" t="str">
        <f>'3rd MP'!B21</f>
        <v/>
      </c>
      <c r="F21" s="46"/>
      <c r="G21" s="18" t="e">
        <f t="shared" si="0"/>
        <v>#DIV/0!</v>
      </c>
      <c r="H21" s="19" t="e">
        <f t="shared" si="1"/>
        <v>#DIV/0!</v>
      </c>
      <c r="I21" s="3"/>
    </row>
    <row r="22" spans="1:9" ht="13" x14ac:dyDescent="0.3">
      <c r="A22" s="31"/>
      <c r="B22" s="17" t="str">
        <f>'1st MP'!B22</f>
        <v/>
      </c>
      <c r="C22" s="17" t="str">
        <f>'2nd MP'!B22</f>
        <v/>
      </c>
      <c r="D22" s="17" t="str">
        <f>'3rd MP'!B22</f>
        <v/>
      </c>
      <c r="E22" s="17" t="str">
        <f>'3rd MP'!B22</f>
        <v/>
      </c>
      <c r="F22" s="46"/>
      <c r="G22" s="18" t="e">
        <f t="shared" si="0"/>
        <v>#DIV/0!</v>
      </c>
      <c r="H22" s="19" t="e">
        <f t="shared" si="1"/>
        <v>#DIV/0!</v>
      </c>
      <c r="I22" s="3"/>
    </row>
    <row r="23" spans="1:9" ht="13" x14ac:dyDescent="0.3">
      <c r="A23" s="31"/>
      <c r="B23" s="17" t="str">
        <f>'1st MP'!B23</f>
        <v/>
      </c>
      <c r="C23" s="17" t="str">
        <f>'2nd MP'!B23</f>
        <v/>
      </c>
      <c r="D23" s="17" t="str">
        <f>'3rd MP'!B23</f>
        <v/>
      </c>
      <c r="E23" s="17" t="str">
        <f>'3rd MP'!B23</f>
        <v/>
      </c>
      <c r="F23" s="46"/>
      <c r="G23" s="18" t="e">
        <f t="shared" si="0"/>
        <v>#DIV/0!</v>
      </c>
      <c r="H23" s="19" t="e">
        <f t="shared" si="1"/>
        <v>#DIV/0!</v>
      </c>
      <c r="I23" s="3"/>
    </row>
    <row r="24" spans="1:9" ht="13" x14ac:dyDescent="0.3">
      <c r="A24" s="31"/>
      <c r="B24" s="17" t="str">
        <f>'1st MP'!B24</f>
        <v/>
      </c>
      <c r="C24" s="17" t="str">
        <f>'2nd MP'!B24</f>
        <v/>
      </c>
      <c r="D24" s="17" t="str">
        <f>'3rd MP'!B24</f>
        <v/>
      </c>
      <c r="E24" s="17" t="str">
        <f>'3rd MP'!B24</f>
        <v/>
      </c>
      <c r="F24" s="46"/>
      <c r="G24" s="18" t="e">
        <f t="shared" si="0"/>
        <v>#DIV/0!</v>
      </c>
      <c r="H24" s="19" t="e">
        <f t="shared" si="1"/>
        <v>#DIV/0!</v>
      </c>
      <c r="I24" s="3"/>
    </row>
    <row r="25" spans="1:9" ht="13" x14ac:dyDescent="0.3">
      <c r="A25" s="31"/>
      <c r="B25" s="17" t="str">
        <f>'1st MP'!B25</f>
        <v/>
      </c>
      <c r="C25" s="17" t="str">
        <f>'2nd MP'!B25</f>
        <v/>
      </c>
      <c r="D25" s="17" t="str">
        <f>'3rd MP'!B25</f>
        <v/>
      </c>
      <c r="E25" s="17" t="str">
        <f>'3rd MP'!B25</f>
        <v/>
      </c>
      <c r="F25" s="46"/>
      <c r="G25" s="18" t="e">
        <f t="shared" si="0"/>
        <v>#DIV/0!</v>
      </c>
      <c r="H25" s="19" t="e">
        <f t="shared" si="1"/>
        <v>#DIV/0!</v>
      </c>
      <c r="I25" s="3"/>
    </row>
    <row r="26" spans="1:9" ht="13" x14ac:dyDescent="0.3">
      <c r="A26" s="31"/>
      <c r="B26" s="17" t="str">
        <f>'1st MP'!B26</f>
        <v/>
      </c>
      <c r="C26" s="17" t="str">
        <f>'2nd MP'!B26</f>
        <v/>
      </c>
      <c r="D26" s="17" t="str">
        <f>'3rd MP'!B26</f>
        <v/>
      </c>
      <c r="E26" s="17" t="str">
        <f>'3rd MP'!B26</f>
        <v/>
      </c>
      <c r="F26" s="46"/>
      <c r="G26" s="18" t="e">
        <f t="shared" si="0"/>
        <v>#DIV/0!</v>
      </c>
      <c r="H26" s="19" t="e">
        <f t="shared" si="1"/>
        <v>#DIV/0!</v>
      </c>
      <c r="I26" s="3"/>
    </row>
    <row r="27" spans="1:9" ht="13" x14ac:dyDescent="0.3">
      <c r="A27" s="31"/>
      <c r="B27" s="17" t="str">
        <f>'1st MP'!B27</f>
        <v/>
      </c>
      <c r="C27" s="17" t="str">
        <f>'2nd MP'!B27</f>
        <v/>
      </c>
      <c r="D27" s="17" t="str">
        <f>'3rd MP'!B27</f>
        <v/>
      </c>
      <c r="E27" s="17" t="str">
        <f>'3rd MP'!B27</f>
        <v/>
      </c>
      <c r="F27" s="46"/>
      <c r="G27" s="18" t="e">
        <f t="shared" si="0"/>
        <v>#DIV/0!</v>
      </c>
      <c r="H27" s="19" t="e">
        <f t="shared" si="1"/>
        <v>#DIV/0!</v>
      </c>
      <c r="I27" s="3"/>
    </row>
    <row r="28" spans="1:9" ht="13" x14ac:dyDescent="0.3">
      <c r="A28" s="31"/>
      <c r="B28" s="17" t="str">
        <f>'1st MP'!B28</f>
        <v/>
      </c>
      <c r="C28" s="17" t="str">
        <f>'2nd MP'!B28</f>
        <v/>
      </c>
      <c r="D28" s="17" t="str">
        <f>'3rd MP'!B28</f>
        <v/>
      </c>
      <c r="E28" s="17" t="str">
        <f>'3rd MP'!B28</f>
        <v/>
      </c>
      <c r="F28" s="46"/>
      <c r="G28" s="18" t="e">
        <f t="shared" si="0"/>
        <v>#DIV/0!</v>
      </c>
      <c r="H28" s="19" t="e">
        <f t="shared" si="1"/>
        <v>#DIV/0!</v>
      </c>
      <c r="I28" s="3"/>
    </row>
    <row r="29" spans="1:9" ht="13" x14ac:dyDescent="0.3">
      <c r="A29" s="31"/>
      <c r="B29" s="17" t="str">
        <f>'1st MP'!B29</f>
        <v/>
      </c>
      <c r="C29" s="17" t="str">
        <f>'2nd MP'!B29</f>
        <v/>
      </c>
      <c r="D29" s="17" t="str">
        <f>'3rd MP'!B29</f>
        <v/>
      </c>
      <c r="E29" s="17" t="str">
        <f>'3rd MP'!B29</f>
        <v/>
      </c>
      <c r="F29" s="46"/>
      <c r="G29" s="18" t="e">
        <f t="shared" si="0"/>
        <v>#DIV/0!</v>
      </c>
      <c r="H29" s="19" t="e">
        <f t="shared" si="1"/>
        <v>#DIV/0!</v>
      </c>
      <c r="I29" s="3"/>
    </row>
    <row r="30" spans="1:9" ht="13" x14ac:dyDescent="0.3">
      <c r="A30" s="31"/>
      <c r="B30" s="17" t="str">
        <f>'1st MP'!B30</f>
        <v/>
      </c>
      <c r="C30" s="17" t="str">
        <f>'2nd MP'!B30</f>
        <v/>
      </c>
      <c r="D30" s="17" t="str">
        <f>'3rd MP'!B30</f>
        <v/>
      </c>
      <c r="E30" s="17" t="str">
        <f>'3rd MP'!B30</f>
        <v/>
      </c>
      <c r="F30" s="46"/>
      <c r="G30" s="18" t="e">
        <f t="shared" si="0"/>
        <v>#DIV/0!</v>
      </c>
      <c r="H30" s="19" t="e">
        <f t="shared" si="1"/>
        <v>#DIV/0!</v>
      </c>
      <c r="I30" s="3"/>
    </row>
    <row r="31" spans="1:9" ht="13" x14ac:dyDescent="0.3">
      <c r="A31" s="31"/>
      <c r="B31" s="17" t="str">
        <f>'1st MP'!B31</f>
        <v/>
      </c>
      <c r="C31" s="17" t="str">
        <f>'2nd MP'!B31</f>
        <v/>
      </c>
      <c r="D31" s="17" t="str">
        <f>'3rd MP'!B31</f>
        <v/>
      </c>
      <c r="E31" s="17" t="str">
        <f>'3rd MP'!B31</f>
        <v/>
      </c>
      <c r="F31" s="46"/>
      <c r="G31" s="18" t="e">
        <f t="shared" si="0"/>
        <v>#DIV/0!</v>
      </c>
      <c r="H31" s="19" t="e">
        <f t="shared" si="1"/>
        <v>#DIV/0!</v>
      </c>
      <c r="I31" s="3"/>
    </row>
    <row r="32" spans="1:9" ht="13" x14ac:dyDescent="0.3">
      <c r="A32" s="31"/>
      <c r="B32" s="17" t="str">
        <f>'1st MP'!B32</f>
        <v/>
      </c>
      <c r="C32" s="17" t="str">
        <f>'2nd MP'!B32</f>
        <v/>
      </c>
      <c r="D32" s="17" t="str">
        <f>'3rd MP'!B32</f>
        <v/>
      </c>
      <c r="E32" s="17" t="str">
        <f>'3rd MP'!B32</f>
        <v/>
      </c>
      <c r="F32" s="46"/>
      <c r="G32" s="18" t="e">
        <f t="shared" si="0"/>
        <v>#DIV/0!</v>
      </c>
      <c r="H32" s="19" t="e">
        <f t="shared" si="1"/>
        <v>#DIV/0!</v>
      </c>
      <c r="I32" s="3"/>
    </row>
    <row r="33" spans="1:8" s="7" customFormat="1" ht="13" x14ac:dyDescent="0.3">
      <c r="A33" s="7" t="s">
        <v>0</v>
      </c>
      <c r="B33" s="20" t="str">
        <f>'1st MP'!B33</f>
        <v/>
      </c>
      <c r="C33" s="20" t="str">
        <f>'2nd MP'!B33</f>
        <v/>
      </c>
      <c r="D33" s="20" t="str">
        <f>'3rd MP'!B33</f>
        <v/>
      </c>
      <c r="E33" s="21" t="str">
        <f>'4th MP'!B33</f>
        <v/>
      </c>
      <c r="F33" s="21" t="e">
        <f>AVERAGE(F3:F32)</f>
        <v>#DIV/0!</v>
      </c>
      <c r="G33" s="20" t="e">
        <f t="shared" si="0"/>
        <v>#DIV/0!</v>
      </c>
      <c r="H33" s="20"/>
    </row>
    <row r="34" spans="1:8" x14ac:dyDescent="0.25">
      <c r="B34" s="22"/>
      <c r="C34" s="22"/>
      <c r="D34" s="22"/>
      <c r="E34" s="23" t="s">
        <v>8</v>
      </c>
      <c r="F34" s="23">
        <f>COUNT(F3:F32)</f>
        <v>0</v>
      </c>
      <c r="G34" s="22"/>
      <c r="H34" s="22"/>
    </row>
    <row r="35" spans="1:8" ht="13" x14ac:dyDescent="0.3">
      <c r="A35" s="15" t="s">
        <v>10</v>
      </c>
    </row>
    <row r="36" spans="1:8" ht="13" x14ac:dyDescent="0.3">
      <c r="A36" s="15" t="s">
        <v>11</v>
      </c>
    </row>
    <row r="37" spans="1:8" ht="13" x14ac:dyDescent="0.3">
      <c r="A37" s="15" t="s">
        <v>12</v>
      </c>
    </row>
    <row r="38" spans="1:8" ht="13" x14ac:dyDescent="0.3">
      <c r="A38" s="29" t="s">
        <v>13</v>
      </c>
    </row>
  </sheetData>
  <sheetProtection sheet="1" objects="1" scenarios="1" formatCells="0" formatColumns="0" formatRows="0" insertColumns="0" insertRows="0" insertHyperlinks="0" deleteColumns="0" deleteRows="0" sort="0" autoFilter="0"/>
  <phoneticPr fontId="0" type="noConversion"/>
  <hyperlinks>
    <hyperlink ref="A38" r:id="rId1"/>
  </hyperlinks>
  <printOptions horizontalCentered="1" verticalCentered="1" gridLines="1"/>
  <pageMargins left="0.75" right="0.75" top="1" bottom="1" header="0.5" footer="0.5"/>
  <pageSetup scale="75" orientation="landscape" blackAndWhite="1" horizontalDpi="360" verticalDpi="360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1"/>
  <sheetViews>
    <sheetView workbookViewId="0"/>
  </sheetViews>
  <sheetFormatPr defaultRowHeight="12.5" x14ac:dyDescent="0.25"/>
  <cols>
    <col min="1" max="1" width="138" style="49" customWidth="1"/>
  </cols>
  <sheetData>
    <row r="1" spans="1:37" ht="18" x14ac:dyDescent="0.4">
      <c r="A1" s="50" t="s">
        <v>60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</row>
    <row r="2" spans="1:37" ht="15.5" x14ac:dyDescent="0.35">
      <c r="A2" s="51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</row>
    <row r="3" spans="1:37" ht="15.5" x14ac:dyDescent="0.35">
      <c r="A3" s="52" t="s">
        <v>61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</row>
    <row r="4" spans="1:37" s="47" customFormat="1" ht="15.5" x14ac:dyDescent="0.35">
      <c r="A4" s="54" t="s">
        <v>62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</row>
    <row r="5" spans="1:37" s="47" customFormat="1" ht="31" x14ac:dyDescent="0.35">
      <c r="A5" s="54" t="s">
        <v>63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</row>
    <row r="6" spans="1:37" ht="15.5" x14ac:dyDescent="0.35">
      <c r="A6" s="52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</row>
    <row r="7" spans="1:37" ht="15.5" x14ac:dyDescent="0.35">
      <c r="A7" s="52" t="s">
        <v>64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</row>
    <row r="8" spans="1:37" s="47" customFormat="1" ht="15.5" x14ac:dyDescent="0.35">
      <c r="A8" s="54" t="s">
        <v>65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</row>
    <row r="9" spans="1:37" s="47" customFormat="1" ht="15.5" x14ac:dyDescent="0.35">
      <c r="A9" s="54" t="s">
        <v>66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</row>
    <row r="10" spans="1:37" ht="15.5" x14ac:dyDescent="0.35">
      <c r="A10" s="52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</row>
    <row r="11" spans="1:37" ht="15.5" x14ac:dyDescent="0.35">
      <c r="A11" s="52" t="s">
        <v>67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</row>
    <row r="12" spans="1:37" s="47" customFormat="1" ht="15.5" x14ac:dyDescent="0.35">
      <c r="A12" s="54" t="s">
        <v>68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</row>
    <row r="13" spans="1:37" s="47" customFormat="1" ht="15.5" x14ac:dyDescent="0.35">
      <c r="A13" s="54" t="s">
        <v>69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</row>
    <row r="14" spans="1:37" ht="15.5" x14ac:dyDescent="0.35">
      <c r="A14" s="52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</row>
    <row r="15" spans="1:37" ht="15.5" x14ac:dyDescent="0.35">
      <c r="A15" s="52" t="s">
        <v>70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</row>
    <row r="16" spans="1:37" s="47" customFormat="1" ht="15.5" x14ac:dyDescent="0.35">
      <c r="A16" s="54" t="s">
        <v>71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</row>
    <row r="17" spans="1:37" s="47" customFormat="1" ht="15.5" x14ac:dyDescent="0.35">
      <c r="A17" s="54" t="s">
        <v>72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</row>
    <row r="18" spans="1:37" s="47" customFormat="1" ht="15.5" x14ac:dyDescent="0.35">
      <c r="A18" s="54" t="s">
        <v>73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</row>
    <row r="19" spans="1:37" ht="15.5" x14ac:dyDescent="0.35">
      <c r="A19" s="52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</row>
    <row r="20" spans="1:37" ht="15.5" x14ac:dyDescent="0.35">
      <c r="A20" s="52" t="s">
        <v>74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</row>
    <row r="21" spans="1:37" s="47" customFormat="1" ht="15.5" x14ac:dyDescent="0.35">
      <c r="A21" s="54" t="s">
        <v>75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</row>
    <row r="22" spans="1:37" s="47" customFormat="1" ht="15.5" x14ac:dyDescent="0.35">
      <c r="A22" s="54" t="s">
        <v>76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</row>
    <row r="23" spans="1:37" s="47" customFormat="1" ht="15.5" x14ac:dyDescent="0.35">
      <c r="A23" s="54" t="s">
        <v>77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</row>
    <row r="24" spans="1:37" s="47" customFormat="1" ht="15.5" x14ac:dyDescent="0.35">
      <c r="A24" s="54" t="s">
        <v>78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</row>
    <row r="25" spans="1:37" s="47" customFormat="1" ht="15.5" x14ac:dyDescent="0.35">
      <c r="A25" s="54" t="s">
        <v>79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</row>
    <row r="26" spans="1:37" s="47" customFormat="1" ht="15.5" x14ac:dyDescent="0.35">
      <c r="A26" s="54" t="s">
        <v>80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</row>
    <row r="27" spans="1:37" s="47" customFormat="1" ht="15.5" x14ac:dyDescent="0.35">
      <c r="A27" s="54" t="s">
        <v>81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</row>
    <row r="28" spans="1:37" ht="15.5" x14ac:dyDescent="0.35">
      <c r="A28" s="52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</row>
    <row r="29" spans="1:37" ht="15.5" x14ac:dyDescent="0.35">
      <c r="A29" s="52" t="s">
        <v>82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</row>
    <row r="30" spans="1:37" s="47" customFormat="1" ht="15.5" x14ac:dyDescent="0.35">
      <c r="A30" s="54" t="s">
        <v>83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</row>
    <row r="31" spans="1:37" s="47" customFormat="1" ht="15.5" x14ac:dyDescent="0.35">
      <c r="A31" s="54" t="s">
        <v>84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</row>
    <row r="32" spans="1:37" s="47" customFormat="1" ht="15.5" x14ac:dyDescent="0.35">
      <c r="A32" s="54" t="s">
        <v>85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</row>
    <row r="33" spans="1:37" ht="15.5" x14ac:dyDescent="0.35">
      <c r="A33" s="52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</row>
    <row r="34" spans="1:37" ht="15.5" x14ac:dyDescent="0.35">
      <c r="A34" s="52" t="s">
        <v>86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</row>
    <row r="35" spans="1:37" s="47" customFormat="1" ht="15.5" x14ac:dyDescent="0.35">
      <c r="A35" s="54" t="s">
        <v>87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</row>
    <row r="36" spans="1:37" s="47" customFormat="1" ht="15.5" x14ac:dyDescent="0.35">
      <c r="A36" s="54" t="s">
        <v>88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</row>
    <row r="37" spans="1:37" s="47" customFormat="1" ht="15.5" x14ac:dyDescent="0.35">
      <c r="A37" s="54" t="s">
        <v>89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</row>
    <row r="38" spans="1:37" s="47" customFormat="1" ht="15.5" x14ac:dyDescent="0.35">
      <c r="A38" s="54" t="s">
        <v>90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</row>
    <row r="39" spans="1:37" ht="15.5" x14ac:dyDescent="0.35">
      <c r="A39" s="52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</row>
    <row r="40" spans="1:37" ht="15.5" x14ac:dyDescent="0.35">
      <c r="A40" s="52" t="s">
        <v>91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</row>
    <row r="41" spans="1:37" s="47" customFormat="1" ht="15.5" x14ac:dyDescent="0.35">
      <c r="A41" s="54" t="s">
        <v>92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</row>
    <row r="42" spans="1:37" s="47" customFormat="1" ht="15.5" x14ac:dyDescent="0.35">
      <c r="A42" s="54" t="s">
        <v>93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</row>
    <row r="43" spans="1:37" s="47" customFormat="1" ht="31" x14ac:dyDescent="0.35">
      <c r="A43" s="54" t="s">
        <v>94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</row>
    <row r="44" spans="1:37" ht="15.5" x14ac:dyDescent="0.35">
      <c r="A44" s="52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</row>
    <row r="45" spans="1:37" ht="15.5" x14ac:dyDescent="0.35">
      <c r="A45" s="52" t="s">
        <v>95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</row>
    <row r="46" spans="1:37" s="47" customFormat="1" ht="15.5" x14ac:dyDescent="0.35">
      <c r="A46" s="54" t="s">
        <v>96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</row>
    <row r="47" spans="1:37" s="47" customFormat="1" ht="15.5" x14ac:dyDescent="0.35">
      <c r="A47" s="54" t="s">
        <v>97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</row>
    <row r="48" spans="1:37" s="47" customFormat="1" ht="15.5" x14ac:dyDescent="0.35">
      <c r="A48" s="54" t="s">
        <v>98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</row>
    <row r="49" spans="1:37" s="47" customFormat="1" ht="46.5" x14ac:dyDescent="0.35">
      <c r="A49" s="54" t="s">
        <v>99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</row>
    <row r="50" spans="1:37" ht="15.5" x14ac:dyDescent="0.35">
      <c r="A50" s="52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</row>
    <row r="51" spans="1:37" ht="15.5" x14ac:dyDescent="0.35">
      <c r="A51" s="52" t="s">
        <v>100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</row>
    <row r="52" spans="1:37" s="47" customFormat="1" ht="15.5" x14ac:dyDescent="0.35">
      <c r="A52" s="54" t="s">
        <v>101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</row>
    <row r="53" spans="1:37" s="47" customFormat="1" ht="15.5" x14ac:dyDescent="0.35">
      <c r="A53" s="54" t="s">
        <v>102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</row>
    <row r="54" spans="1:37" ht="15.5" x14ac:dyDescent="0.35">
      <c r="A54" s="52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</row>
    <row r="55" spans="1:37" ht="15.5" x14ac:dyDescent="0.35">
      <c r="A55" s="52" t="s">
        <v>103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</row>
    <row r="56" spans="1:37" s="47" customFormat="1" ht="15.5" x14ac:dyDescent="0.35">
      <c r="A56" s="54" t="s">
        <v>104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</row>
    <row r="57" spans="1:37" s="47" customFormat="1" ht="15.5" x14ac:dyDescent="0.35">
      <c r="A57" s="54" t="s">
        <v>105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</row>
    <row r="58" spans="1:37" s="47" customFormat="1" ht="15.5" x14ac:dyDescent="0.35">
      <c r="A58" s="54" t="s">
        <v>106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</row>
    <row r="59" spans="1:37" s="47" customFormat="1" ht="15.5" x14ac:dyDescent="0.35">
      <c r="A59" s="54" t="s">
        <v>107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</row>
    <row r="60" spans="1:37" s="47" customFormat="1" ht="15.5" x14ac:dyDescent="0.35">
      <c r="A60" s="54" t="s">
        <v>108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</row>
    <row r="61" spans="1:37" x14ac:dyDescent="0.25">
      <c r="A61" s="53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</row>
  </sheetData>
  <sheetProtection sheet="1" objects="1" scenarios="1"/>
  <phoneticPr fontId="12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1st MP</vt:lpstr>
      <vt:lpstr>2nd MP</vt:lpstr>
      <vt:lpstr>3rd MP</vt:lpstr>
      <vt:lpstr>4th MP</vt:lpstr>
      <vt:lpstr>Summary</vt:lpstr>
      <vt:lpstr>Instructions</vt:lpstr>
      <vt:lpstr>'1st MP'!Print_Area</vt:lpstr>
      <vt:lpstr>'2nd MP'!Print_Area</vt:lpstr>
      <vt:lpstr>'3rd MP'!Print_Area</vt:lpstr>
      <vt:lpstr>'4th MP'!Print_Area</vt:lpstr>
      <vt:lpstr>Summary!Print_Area</vt:lpstr>
    </vt:vector>
  </TitlesOfParts>
  <Company>Thinman Web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 Gugliotta</dc:creator>
  <cp:lastModifiedBy>Carina Negreanu</cp:lastModifiedBy>
  <cp:lastPrinted>2004-01-20T19:21:05Z</cp:lastPrinted>
  <dcterms:created xsi:type="dcterms:W3CDTF">2000-09-06T16:07:50Z</dcterms:created>
  <dcterms:modified xsi:type="dcterms:W3CDTF">2020-01-27T12:46:45Z</dcterms:modified>
</cp:coreProperties>
</file>