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DD474A-7214-404A-9377-6189268704C6}" xr6:coauthVersionLast="45" xr6:coauthVersionMax="45" xr10:uidLastSave="{00000000-0000-0000-0000-000000000000}"/>
  <bookViews>
    <workbookView xWindow="4180" yWindow="4180" windowWidth="28800" windowHeight="15460"/>
  </bookViews>
  <sheets>
    <sheet name="notes" sheetId="2" r:id="rId1"/>
    <sheet name="database.c15.2" sheetId="1" r:id="rId2"/>
    <sheet name="table 15.2" sheetId="3" r:id="rId3"/>
  </sheets>
  <definedNames>
    <definedName name="_xlnm.Database">'database.c15.2'!$A$4:$E$307</definedName>
  </definedNames>
  <calcPr calcId="191029" iterate="1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2" l="1"/>
  <c r="C4" i="2"/>
  <c r="A1" i="3"/>
  <c r="A2" i="3"/>
</calcChain>
</file>

<file path=xl/sharedStrings.xml><?xml version="1.0" encoding="utf-8"?>
<sst xmlns="http://schemas.openxmlformats.org/spreadsheetml/2006/main" count="1276" uniqueCount="62">
  <si>
    <t>TUDBASE - CAUBO TABLE 15.2.  UNIVERSITY EXPENDITURE BY ACTIVITY AND FUND ($,000)</t>
  </si>
  <si>
    <t>DATE LAST AMENDED: 01/07/24</t>
  </si>
  <si>
    <t>Institution</t>
  </si>
  <si>
    <t>Activity</t>
  </si>
  <si>
    <t>Year</t>
  </si>
  <si>
    <t>Fund</t>
  </si>
  <si>
    <t>$000</t>
  </si>
  <si>
    <t>SFU</t>
  </si>
  <si>
    <t>Library acquisitions</t>
  </si>
  <si>
    <t>1999/00</t>
  </si>
  <si>
    <t>Special Purpose/Trust</t>
  </si>
  <si>
    <t>UVIC</t>
  </si>
  <si>
    <t>Sponsored Research</t>
  </si>
  <si>
    <t>UBC</t>
  </si>
  <si>
    <t>UNBC</t>
  </si>
  <si>
    <t>Capital</t>
  </si>
  <si>
    <t>General Operating</t>
  </si>
  <si>
    <t>Academic ranks</t>
  </si>
  <si>
    <t>Benefits</t>
  </si>
  <si>
    <t>Ancillary Enterprises</t>
  </si>
  <si>
    <t>Buildings, land and land improvements</t>
  </si>
  <si>
    <t>Communications</t>
  </si>
  <si>
    <t>Cost of goods sold</t>
  </si>
  <si>
    <t>Equipment rental and maintenance</t>
  </si>
  <si>
    <t>Externally contracted services</t>
  </si>
  <si>
    <t>Furniture and equipment purchase</t>
  </si>
  <si>
    <t>Interest</t>
  </si>
  <si>
    <t>Internal sales and cost recoveries</t>
  </si>
  <si>
    <t>Lump sum payments</t>
  </si>
  <si>
    <t>Materials and supplies</t>
  </si>
  <si>
    <t>Other instruction and research</t>
  </si>
  <si>
    <t>Other operational expenditures</t>
  </si>
  <si>
    <t>Other salaries and wages</t>
  </si>
  <si>
    <t>Printing and duplicating</t>
  </si>
  <si>
    <t>Professional fees</t>
  </si>
  <si>
    <t>Renovations and alterations</t>
  </si>
  <si>
    <t>Scholarships, bursaries and prizes</t>
  </si>
  <si>
    <t>Travel</t>
  </si>
  <si>
    <t>Utilities</t>
  </si>
  <si>
    <t>Sub-total</t>
  </si>
  <si>
    <t>NOTES:</t>
  </si>
  <si>
    <t>a.</t>
  </si>
  <si>
    <t>Financial information from CAUBO showing university income by source and fund.</t>
  </si>
  <si>
    <t>b.</t>
  </si>
  <si>
    <t>Prior to 1996/97, source is CAUBO Reports.  Starting in 1996/97, source is University Submissions to CAUBO.</t>
  </si>
  <si>
    <t>c.</t>
  </si>
  <si>
    <t>Sponsored Research based on Consolidated Entities.</t>
  </si>
  <si>
    <t>CONTENTS OF WORKBOOK:</t>
  </si>
  <si>
    <t>database.c15.2</t>
  </si>
  <si>
    <t>Flat file containing all data used to create pivot CAUBO Table 15.2.  You may use this database to create your own</t>
  </si>
  <si>
    <t>pivot tables.</t>
  </si>
  <si>
    <t>Abbreviations used in this database:</t>
  </si>
  <si>
    <t>UBC = University of British Columbia</t>
  </si>
  <si>
    <t>SFU = Simon Fraser University</t>
  </si>
  <si>
    <t>UVIC = University of Victoria</t>
  </si>
  <si>
    <t>UNBC = University of Northern British Columbia</t>
  </si>
  <si>
    <t>table 15.2</t>
  </si>
  <si>
    <t>Pivot Table showing university expenditure by activity and fund.</t>
  </si>
  <si>
    <t>Sum of $000</t>
  </si>
  <si>
    <t>Grand Total</t>
  </si>
  <si>
    <t>(All)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</si>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</sst>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9"/>
      <name val="Geneva"/>
    </font>
    <font>
      <b/>
      <sz val="9"/>
      <name val="Geneva"/>
    </font>
    <font>
      <sz val="9"/>
      <name val="Geneva"/>
    </font>
    <font>
      <b/>
      <u/>
      <sz val="9"/>
      <name val="Geneva"/>
    </font>
    <font>
      <u/>
      <sz val="9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2" fillId="2" borderId="0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2" borderId="12" xfId="0" applyFill="1" applyBorder="1"/>
    <xf numFmtId="3" fontId="0" fillId="0" borderId="9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5" xfId="0" applyNumberFormat="1" applyBorder="1" applyAlignment="1">
      <alignment horizontal="right"/>
    </xf>
    <xf numFmtId="3" fontId="0" fillId="2" borderId="1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2" borderId="15" xfId="0" applyNumberFormat="1" applyFill="1" applyBorder="1" applyAlignment="1">
      <alignment horizontal="right"/>
    </xf>
    <xf numFmtId="0" fontId="0" fillId="3" borderId="16" xfId="0" applyFill="1" applyBorder="1"/>
    <xf numFmtId="3" fontId="0" fillId="3" borderId="16" xfId="0" applyNumberFormat="1" applyFill="1" applyBorder="1" applyAlignment="1">
      <alignment horizontal="right"/>
    </xf>
    <xf numFmtId="3" fontId="0" fillId="3" borderId="17" xfId="0" applyNumberFormat="1" applyFill="1" applyBorder="1" applyAlignment="1">
      <alignment horizontal="right"/>
    </xf>
    <xf numFmtId="3" fontId="0" fillId="3" borderId="18" xfId="0" applyNumberFormat="1" applyFill="1" applyBorder="1" applyAlignment="1">
      <alignment horizontal="right"/>
    </xf>
    <xf numFmtId="0" fontId="0" fillId="0" borderId="9" xfId="0" pivotButton="1" applyBorder="1"/>
  </cellXfs>
  <cellStyles count="1">
    <cellStyle name="Normal" xfId="0" builtinId="0"/>
  </cellStyles>
  <dxfs count="5">
    <dxf>
      <fill>
        <patternFill>
          <bgColor indexed="51"/>
        </patternFill>
      </fill>
    </dxf>
    <dxf>
      <numFmt numFmtId="3" formatCode="#,##0"/>
    </dxf>
    <dxf>
      <alignment horizontal="right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lytical Studies" refreshedDate="4.4143312571125926E-51" createdVersion="1" recordCount="303" upgradeOnRefresh="1">
  <cacheSource type="worksheet">
    <worksheetSource name="_xlnm.Database"/>
  </cacheSource>
  <cacheFields count="5">
    <cacheField name="Institution" numFmtId="0">
      <sharedItems count="4">
        <s v="SFU"/>
        <s v="UVIC"/>
        <s v="UBC"/>
        <s v="UNBC"/>
      </sharedItems>
    </cacheField>
    <cacheField name="Activity" numFmtId="0">
      <sharedItems count="24">
        <s v="Library acquisitions"/>
        <s v="Academic ranks"/>
        <s v="Benefits"/>
        <s v="Buildings, land and land improvements"/>
        <s v="Communications"/>
        <s v="Cost of goods sold"/>
        <s v="Equipment rental and maintenance"/>
        <s v="Externally contracted services"/>
        <s v="Furniture and equipment purchase"/>
        <s v="Interest"/>
        <s v="Internal sales and cost recoveries"/>
        <s v="Lump sum payments"/>
        <s v="Materials and supplies"/>
        <s v="Other instruction and research"/>
        <s v="Other operational expenditures"/>
        <s v="Other salaries and wages"/>
        <s v="Printing and duplicating"/>
        <s v="Professional fees"/>
        <s v="Renovations and alterations"/>
        <s v="Scholarships, bursaries and prizes"/>
        <s v="Travel"/>
        <s v="Utilities"/>
        <s v="Sub-total"/>
        <s v="Total" f="1"/>
      </sharedItems>
    </cacheField>
    <cacheField name="Year" numFmtId="0">
      <sharedItems count="1">
        <s v="1999/00"/>
      </sharedItems>
    </cacheField>
    <cacheField name="Fund" numFmtId="0">
      <sharedItems count="5">
        <s v="Special Purpose/Trust"/>
        <s v="Sponsored Research"/>
        <s v="Capital"/>
        <s v="General Operating"/>
        <s v="Ancillary Enterprises"/>
      </sharedItems>
    </cacheField>
    <cacheField name="$000" numFmtId="0">
      <sharedItems containsSemiMixedTypes="0" containsString="0" containsNumber="1" containsInteger="1"/>
    </cacheField>
  </cacheFields>
  <calculatedItems count="1">
    <calculatedItem formula="Activity['Sub-total'] +Activity['Buildings, land and land improvements'] +Activity['Lump sum payments']">
      <pivotArea cacheIndex="1" outline="0" fieldPosition="0">
        <references count="1">
          <reference field="1" count="1">
            <x v="2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8" dataOnRows="1" applyNumberFormats="0" applyBorderFormats="0" applyFontFormats="0" applyPatternFormats="0" applyAlignmentFormats="0" applyWidthHeightFormats="1" dataCaption="Data" showItems="0" showMultipleLabel="0" showMemberPropertyTips="0" useAutoFormatting="1" rowGrandTotals="0" itemPrintTitles="1" indent="0" compact="0" compactData="0" gridDropZones="1">
  <location ref="A7:G32" firstHeaderRow="1" firstDataRow="2" firstDataCol="1" rowPageCount="2" colPageCount="1"/>
  <pivotFields count="5">
    <pivotField axis="axisPage" compact="0" outline="0" subtotalTop="0" showAll="0" includeNewItemsInFilter="1">
      <items count="5">
        <item x="2"/>
        <item x="0"/>
        <item x="1"/>
        <item x="3"/>
        <item t="default"/>
      </items>
    </pivotField>
    <pivotField axis="axisRow" compact="0" outline="0" subtotalTop="0" showAll="0" includeNewItemsInFilter="1">
      <items count="25">
        <item x="1"/>
        <item x="13"/>
        <item x="15"/>
        <item x="2"/>
        <item x="20"/>
        <item x="0"/>
        <item x="16"/>
        <item x="12"/>
        <item x="4"/>
        <item x="14"/>
        <item x="21"/>
        <item x="18"/>
        <item x="19"/>
        <item x="7"/>
        <item x="17"/>
        <item x="5"/>
        <item x="9"/>
        <item x="8"/>
        <item x="6"/>
        <item x="10"/>
        <item x="22"/>
        <item x="3"/>
        <item x="11"/>
        <item f="1" x="23"/>
        <item t="default"/>
      </items>
    </pivotField>
    <pivotField axis="axisPage" compact="0" outline="0" subtotalTop="0" showAll="0" includeNewItemsInFilter="1" sortType="descending" rankBy="0">
      <items count="2">
        <item x="0"/>
        <item t="default"/>
      </items>
    </pivotField>
    <pivotField axis="axisCol" compact="0" outline="0" subtotalTop="0" showAll="0" includeNewItemsInFilter="1">
      <items count="6">
        <item x="3"/>
        <item x="0"/>
        <item x="1"/>
        <item x="4"/>
        <item x="2"/>
        <item t="default"/>
      </items>
    </pivotField>
    <pivotField dataField="1" compact="0" outline="0" subtotalTop="0" showAll="0" includeNewItemsInFilter="1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2" item="0" hier="0"/>
    <pageField fld="0" hier="0"/>
  </pageFields>
  <dataFields count="1">
    <dataField name="Sum of $000" fld="4" baseField="0" baseItem="0"/>
  </dataFields>
  <formats count="5">
    <format dxfId="4">
      <pivotArea dataOnly="0" outline="0" fieldPosition="0">
        <references count="1">
          <reference field="1" count="1">
            <x v="20"/>
          </reference>
        </references>
      </pivotArea>
    </format>
    <format dxfId="3">
      <pivotArea dataOnly="0" outline="0" fieldPosition="0">
        <references count="1">
          <reference field="1" count="1">
            <x v="23"/>
          </reference>
        </references>
      </pivotArea>
    </format>
    <format dxfId="2">
      <pivotArea field="3" dataOnly="0" grandCol="1" outline="0" axis="axisCol" fieldPosition="0">
        <references count="1">
          <reference field="3" count="0"/>
        </references>
      </pivotArea>
    </format>
    <format dxfId="1">
      <pivotArea field="3" dataOnly="0" grandCol="1" outline="0" axis="axisCol" fieldPosition="0">
        <references count="1">
          <reference field="3" count="0"/>
        </references>
      </pivotArea>
    </format>
    <format dxfId="0">
      <pivotArea dataOnly="0" outline="0" fieldPosition="0">
        <references count="1">
          <reference field="1" count="1">
            <x v="2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tabSelected="1" workbookViewId="0">
      <selection activeCell="C4" sqref="C4"/>
    </sheetView>
  </sheetViews>
  <sheetFormatPr defaultColWidth="11.3984375" defaultRowHeight="11.5"/>
  <cols>
    <col min="1" max="1" width="5.8984375" customWidth="1"/>
    <col min="2" max="4" width="2.8984375" customWidth="1"/>
    <col min="5" max="5" width="102.8984375" customWidth="1"/>
    <col min="6" max="6" width="2.8984375" customWidth="1"/>
    <col min="7" max="7" width="5.8984375" customWidth="1"/>
  </cols>
  <sheetData>
    <row r="2" spans="2:6">
      <c r="B2" s="5"/>
      <c r="C2" s="6"/>
      <c r="D2" s="6"/>
      <c r="E2" s="6"/>
      <c r="F2" s="7"/>
    </row>
    <row r="3" spans="2:6">
      <c r="B3" s="8"/>
      <c r="C3" s="9" t="str">
        <f>'database.c15.2'!A1</f>
        <v>TUDBASE - CAUBO TABLE 15.2.  UNIVERSITY EXPENDITURE BY ACTIVITY AND FUND ($,000)</v>
      </c>
      <c r="D3" s="10"/>
      <c r="E3" s="10"/>
      <c r="F3" s="11"/>
    </row>
    <row r="4" spans="2:6">
      <c r="B4" s="8"/>
      <c r="C4" s="12" t="str">
        <f>'database.c15.2'!A2</f>
        <v>DATE LAST AMENDED: 01/07/24</v>
      </c>
      <c r="D4" s="10"/>
      <c r="E4" s="10"/>
      <c r="F4" s="11"/>
    </row>
    <row r="5" spans="2:6">
      <c r="B5" s="13"/>
      <c r="C5" s="14"/>
      <c r="D5" s="14"/>
      <c r="E5" s="14"/>
      <c r="F5" s="15"/>
    </row>
    <row r="7" spans="2:6">
      <c r="B7" s="16" t="s">
        <v>40</v>
      </c>
    </row>
    <row r="8" spans="2:6">
      <c r="B8" t="s">
        <v>41</v>
      </c>
      <c r="C8" t="s">
        <v>42</v>
      </c>
    </row>
    <row r="9" spans="2:6">
      <c r="B9" t="s">
        <v>43</v>
      </c>
      <c r="C9" t="s">
        <v>44</v>
      </c>
    </row>
    <row r="10" spans="2:6">
      <c r="B10" t="s">
        <v>45</v>
      </c>
      <c r="C10" t="s">
        <v>46</v>
      </c>
    </row>
    <row r="12" spans="2:6">
      <c r="B12" s="16" t="s">
        <v>47</v>
      </c>
    </row>
    <row r="13" spans="2:6">
      <c r="B13" t="s">
        <v>41</v>
      </c>
      <c r="C13" s="2" t="s">
        <v>48</v>
      </c>
    </row>
    <row r="14" spans="2:6">
      <c r="D14" t="s">
        <v>49</v>
      </c>
    </row>
    <row r="15" spans="2:6">
      <c r="D15" t="s">
        <v>50</v>
      </c>
    </row>
    <row r="17" spans="2:5">
      <c r="D17" t="s">
        <v>51</v>
      </c>
    </row>
    <row r="18" spans="2:5">
      <c r="E18" t="s">
        <v>52</v>
      </c>
    </row>
    <row r="19" spans="2:5">
      <c r="E19" t="s">
        <v>53</v>
      </c>
    </row>
    <row r="20" spans="2:5">
      <c r="E20" t="s">
        <v>54</v>
      </c>
    </row>
    <row r="21" spans="2:5">
      <c r="E21" t="s">
        <v>55</v>
      </c>
    </row>
    <row r="23" spans="2:5">
      <c r="B23" t="s">
        <v>43</v>
      </c>
      <c r="C23" s="2" t="s">
        <v>56</v>
      </c>
    </row>
    <row r="24" spans="2:5">
      <c r="D24" t="s">
        <v>57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7"/>
  <sheetViews>
    <sheetView topLeftCell="A4" workbookViewId="0">
      <pane ySplit="2870" topLeftCell="A307" activePane="bottomLeft"/>
      <selection activeCell="A4" sqref="A4:E307"/>
      <selection pane="bottomLeft" activeCell="B313" sqref="B313"/>
    </sheetView>
  </sheetViews>
  <sheetFormatPr defaultColWidth="11.3984375" defaultRowHeight="11.5"/>
  <cols>
    <col min="1" max="1" width="10.09765625" customWidth="1"/>
    <col min="2" max="2" width="29.69921875" customWidth="1"/>
    <col min="3" max="3" width="11.3984375" customWidth="1"/>
    <col min="4" max="4" width="20.8984375" customWidth="1"/>
    <col min="5" max="5" width="8.3984375" customWidth="1"/>
  </cols>
  <sheetData>
    <row r="1" spans="1:5">
      <c r="A1" s="1" t="s">
        <v>0</v>
      </c>
    </row>
    <row r="2" spans="1:5">
      <c r="A2" t="s">
        <v>1</v>
      </c>
    </row>
    <row r="4" spans="1:5">
      <c r="A4" s="2" t="s">
        <v>2</v>
      </c>
      <c r="B4" s="2" t="s">
        <v>3</v>
      </c>
      <c r="C4" s="2" t="s">
        <v>4</v>
      </c>
      <c r="D4" s="3" t="s">
        <v>5</v>
      </c>
      <c r="E4" s="4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>
        <v>3</v>
      </c>
    </row>
    <row r="6" spans="1:5">
      <c r="A6" t="s">
        <v>11</v>
      </c>
      <c r="B6" t="s">
        <v>8</v>
      </c>
      <c r="C6" t="s">
        <v>9</v>
      </c>
      <c r="D6" t="s">
        <v>12</v>
      </c>
      <c r="E6">
        <v>72</v>
      </c>
    </row>
    <row r="7" spans="1:5">
      <c r="A7" t="s">
        <v>13</v>
      </c>
      <c r="B7" t="s">
        <v>8</v>
      </c>
      <c r="C7" t="s">
        <v>9</v>
      </c>
      <c r="D7" t="s">
        <v>12</v>
      </c>
      <c r="E7">
        <v>172</v>
      </c>
    </row>
    <row r="8" spans="1:5">
      <c r="A8" t="s">
        <v>11</v>
      </c>
      <c r="B8" t="s">
        <v>8</v>
      </c>
      <c r="C8" t="s">
        <v>9</v>
      </c>
      <c r="D8" t="s">
        <v>10</v>
      </c>
      <c r="E8">
        <v>215</v>
      </c>
    </row>
    <row r="9" spans="1:5">
      <c r="A9" t="s">
        <v>13</v>
      </c>
      <c r="B9" t="s">
        <v>8</v>
      </c>
      <c r="C9" t="s">
        <v>9</v>
      </c>
      <c r="D9" t="s">
        <v>10</v>
      </c>
      <c r="E9">
        <v>849</v>
      </c>
    </row>
    <row r="10" spans="1:5">
      <c r="A10" t="s">
        <v>14</v>
      </c>
      <c r="B10" t="s">
        <v>8</v>
      </c>
      <c r="C10" t="s">
        <v>9</v>
      </c>
      <c r="D10" t="s">
        <v>15</v>
      </c>
      <c r="E10">
        <v>1398</v>
      </c>
    </row>
    <row r="11" spans="1:5">
      <c r="A11" t="s">
        <v>11</v>
      </c>
      <c r="B11" t="s">
        <v>8</v>
      </c>
      <c r="C11" t="s">
        <v>9</v>
      </c>
      <c r="D11" t="s">
        <v>16</v>
      </c>
      <c r="E11">
        <v>4102</v>
      </c>
    </row>
    <row r="12" spans="1:5">
      <c r="A12" t="s">
        <v>7</v>
      </c>
      <c r="B12" t="s">
        <v>8</v>
      </c>
      <c r="C12" t="s">
        <v>9</v>
      </c>
      <c r="D12" t="s">
        <v>16</v>
      </c>
      <c r="E12">
        <v>6015</v>
      </c>
    </row>
    <row r="13" spans="1:5">
      <c r="A13" t="s">
        <v>13</v>
      </c>
      <c r="B13" t="s">
        <v>8</v>
      </c>
      <c r="C13" t="s">
        <v>9</v>
      </c>
      <c r="D13" t="s">
        <v>16</v>
      </c>
      <c r="E13">
        <v>11554</v>
      </c>
    </row>
    <row r="14" spans="1:5">
      <c r="A14" t="s">
        <v>14</v>
      </c>
      <c r="B14" t="s">
        <v>17</v>
      </c>
      <c r="C14" t="s">
        <v>9</v>
      </c>
      <c r="D14" t="s">
        <v>10</v>
      </c>
      <c r="E14">
        <v>32</v>
      </c>
    </row>
    <row r="15" spans="1:5">
      <c r="A15" t="s">
        <v>7</v>
      </c>
      <c r="B15" t="s">
        <v>17</v>
      </c>
      <c r="C15" t="s">
        <v>9</v>
      </c>
      <c r="D15" t="s">
        <v>12</v>
      </c>
      <c r="E15">
        <v>546</v>
      </c>
    </row>
    <row r="16" spans="1:5">
      <c r="A16" t="s">
        <v>11</v>
      </c>
      <c r="B16" t="s">
        <v>17</v>
      </c>
      <c r="C16" t="s">
        <v>9</v>
      </c>
      <c r="D16" t="s">
        <v>12</v>
      </c>
      <c r="E16">
        <v>803</v>
      </c>
    </row>
    <row r="17" spans="1:5">
      <c r="A17" t="s">
        <v>11</v>
      </c>
      <c r="B17" t="s">
        <v>17</v>
      </c>
      <c r="C17" t="s">
        <v>9</v>
      </c>
      <c r="D17" t="s">
        <v>10</v>
      </c>
      <c r="E17">
        <v>1007</v>
      </c>
    </row>
    <row r="18" spans="1:5">
      <c r="A18" t="s">
        <v>7</v>
      </c>
      <c r="B18" t="s">
        <v>17</v>
      </c>
      <c r="C18" t="s">
        <v>9</v>
      </c>
      <c r="D18" t="s">
        <v>10</v>
      </c>
      <c r="E18">
        <v>1680</v>
      </c>
    </row>
    <row r="19" spans="1:5">
      <c r="A19" t="s">
        <v>14</v>
      </c>
      <c r="B19" t="s">
        <v>17</v>
      </c>
      <c r="C19" t="s">
        <v>9</v>
      </c>
      <c r="D19" t="s">
        <v>16</v>
      </c>
      <c r="E19">
        <v>9439</v>
      </c>
    </row>
    <row r="20" spans="1:5">
      <c r="A20" t="s">
        <v>13</v>
      </c>
      <c r="B20" t="s">
        <v>17</v>
      </c>
      <c r="C20" t="s">
        <v>9</v>
      </c>
      <c r="D20" t="s">
        <v>12</v>
      </c>
      <c r="E20">
        <v>27145</v>
      </c>
    </row>
    <row r="21" spans="1:5">
      <c r="A21" t="s">
        <v>13</v>
      </c>
      <c r="B21" t="s">
        <v>17</v>
      </c>
      <c r="C21" t="s">
        <v>9</v>
      </c>
      <c r="D21" t="s">
        <v>10</v>
      </c>
      <c r="E21">
        <v>32788</v>
      </c>
    </row>
    <row r="22" spans="1:5">
      <c r="A22" t="s">
        <v>11</v>
      </c>
      <c r="B22" t="s">
        <v>17</v>
      </c>
      <c r="C22" t="s">
        <v>9</v>
      </c>
      <c r="D22" t="s">
        <v>16</v>
      </c>
      <c r="E22">
        <v>54044</v>
      </c>
    </row>
    <row r="23" spans="1:5">
      <c r="A23" t="s">
        <v>7</v>
      </c>
      <c r="B23" t="s">
        <v>17</v>
      </c>
      <c r="C23" t="s">
        <v>9</v>
      </c>
      <c r="D23" t="s">
        <v>16</v>
      </c>
      <c r="E23">
        <v>56281</v>
      </c>
    </row>
    <row r="24" spans="1:5">
      <c r="A24" t="s">
        <v>13</v>
      </c>
      <c r="B24" t="s">
        <v>17</v>
      </c>
      <c r="C24" t="s">
        <v>9</v>
      </c>
      <c r="D24" t="s">
        <v>16</v>
      </c>
      <c r="E24">
        <v>143909</v>
      </c>
    </row>
    <row r="25" spans="1:5">
      <c r="A25" t="s">
        <v>14</v>
      </c>
      <c r="B25" t="s">
        <v>18</v>
      </c>
      <c r="C25" t="s">
        <v>9</v>
      </c>
      <c r="D25" t="s">
        <v>10</v>
      </c>
      <c r="E25">
        <v>41</v>
      </c>
    </row>
    <row r="26" spans="1:5">
      <c r="A26" t="s">
        <v>14</v>
      </c>
      <c r="B26" t="s">
        <v>18</v>
      </c>
      <c r="C26" t="s">
        <v>9</v>
      </c>
      <c r="D26" t="s">
        <v>12</v>
      </c>
      <c r="E26">
        <v>122</v>
      </c>
    </row>
    <row r="27" spans="1:5">
      <c r="A27" t="s">
        <v>14</v>
      </c>
      <c r="B27" t="s">
        <v>18</v>
      </c>
      <c r="C27" t="s">
        <v>9</v>
      </c>
      <c r="D27" t="s">
        <v>19</v>
      </c>
      <c r="E27">
        <v>222</v>
      </c>
    </row>
    <row r="28" spans="1:5">
      <c r="A28" t="s">
        <v>11</v>
      </c>
      <c r="B28" t="s">
        <v>18</v>
      </c>
      <c r="C28" t="s">
        <v>9</v>
      </c>
      <c r="D28" t="s">
        <v>10</v>
      </c>
      <c r="E28">
        <v>320</v>
      </c>
    </row>
    <row r="29" spans="1:5">
      <c r="A29" t="s">
        <v>7</v>
      </c>
      <c r="B29" t="s">
        <v>18</v>
      </c>
      <c r="C29" t="s">
        <v>9</v>
      </c>
      <c r="D29" t="s">
        <v>19</v>
      </c>
      <c r="E29">
        <v>382</v>
      </c>
    </row>
    <row r="30" spans="1:5">
      <c r="A30" t="s">
        <v>7</v>
      </c>
      <c r="B30" t="s">
        <v>18</v>
      </c>
      <c r="C30" t="s">
        <v>9</v>
      </c>
      <c r="D30" t="s">
        <v>12</v>
      </c>
      <c r="E30">
        <v>682</v>
      </c>
    </row>
    <row r="31" spans="1:5">
      <c r="A31" t="s">
        <v>11</v>
      </c>
      <c r="B31" t="s">
        <v>18</v>
      </c>
      <c r="C31" t="s">
        <v>9</v>
      </c>
      <c r="D31" t="s">
        <v>12</v>
      </c>
      <c r="E31">
        <v>695</v>
      </c>
    </row>
    <row r="32" spans="1:5">
      <c r="A32" t="s">
        <v>11</v>
      </c>
      <c r="B32" t="s">
        <v>18</v>
      </c>
      <c r="C32" t="s">
        <v>9</v>
      </c>
      <c r="D32" t="s">
        <v>19</v>
      </c>
      <c r="E32">
        <v>993</v>
      </c>
    </row>
    <row r="33" spans="1:5">
      <c r="A33" t="s">
        <v>7</v>
      </c>
      <c r="B33" t="s">
        <v>18</v>
      </c>
      <c r="C33" t="s">
        <v>9</v>
      </c>
      <c r="D33" t="s">
        <v>10</v>
      </c>
      <c r="E33">
        <v>1496</v>
      </c>
    </row>
    <row r="34" spans="1:5">
      <c r="A34" t="s">
        <v>14</v>
      </c>
      <c r="B34" t="s">
        <v>18</v>
      </c>
      <c r="C34" t="s">
        <v>9</v>
      </c>
      <c r="D34" t="s">
        <v>16</v>
      </c>
      <c r="E34">
        <v>3099</v>
      </c>
    </row>
    <row r="35" spans="1:5">
      <c r="A35" t="s">
        <v>13</v>
      </c>
      <c r="B35" t="s">
        <v>18</v>
      </c>
      <c r="C35" t="s">
        <v>9</v>
      </c>
      <c r="D35" t="s">
        <v>19</v>
      </c>
      <c r="E35">
        <v>3291</v>
      </c>
    </row>
    <row r="36" spans="1:5">
      <c r="A36" t="s">
        <v>13</v>
      </c>
      <c r="B36" t="s">
        <v>18</v>
      </c>
      <c r="C36" t="s">
        <v>9</v>
      </c>
      <c r="D36" t="s">
        <v>12</v>
      </c>
      <c r="E36">
        <v>6810</v>
      </c>
    </row>
    <row r="37" spans="1:5">
      <c r="A37" t="s">
        <v>13</v>
      </c>
      <c r="B37" t="s">
        <v>18</v>
      </c>
      <c r="C37" t="s">
        <v>9</v>
      </c>
      <c r="D37" t="s">
        <v>10</v>
      </c>
      <c r="E37">
        <v>8615</v>
      </c>
    </row>
    <row r="38" spans="1:5">
      <c r="A38" t="s">
        <v>11</v>
      </c>
      <c r="B38" t="s">
        <v>18</v>
      </c>
      <c r="C38" t="s">
        <v>9</v>
      </c>
      <c r="D38" t="s">
        <v>16</v>
      </c>
      <c r="E38">
        <v>16006</v>
      </c>
    </row>
    <row r="39" spans="1:5">
      <c r="A39" t="s">
        <v>7</v>
      </c>
      <c r="B39" t="s">
        <v>18</v>
      </c>
      <c r="C39" t="s">
        <v>9</v>
      </c>
      <c r="D39" t="s">
        <v>16</v>
      </c>
      <c r="E39">
        <v>22594</v>
      </c>
    </row>
    <row r="40" spans="1:5">
      <c r="A40" t="s">
        <v>13</v>
      </c>
      <c r="B40" t="s">
        <v>18</v>
      </c>
      <c r="C40" t="s">
        <v>9</v>
      </c>
      <c r="D40" t="s">
        <v>16</v>
      </c>
      <c r="E40">
        <v>41741</v>
      </c>
    </row>
    <row r="41" spans="1:5">
      <c r="A41" t="s">
        <v>13</v>
      </c>
      <c r="B41" t="s">
        <v>20</v>
      </c>
      <c r="C41" t="s">
        <v>9</v>
      </c>
      <c r="D41" t="s">
        <v>19</v>
      </c>
      <c r="E41">
        <v>1</v>
      </c>
    </row>
    <row r="42" spans="1:5">
      <c r="A42" t="s">
        <v>13</v>
      </c>
      <c r="B42" t="s">
        <v>20</v>
      </c>
      <c r="C42" t="s">
        <v>9</v>
      </c>
      <c r="D42" t="s">
        <v>12</v>
      </c>
      <c r="E42">
        <v>28</v>
      </c>
    </row>
    <row r="43" spans="1:5">
      <c r="A43" t="s">
        <v>13</v>
      </c>
      <c r="B43" t="s">
        <v>20</v>
      </c>
      <c r="C43" t="s">
        <v>9</v>
      </c>
      <c r="D43" t="s">
        <v>16</v>
      </c>
      <c r="E43">
        <v>404</v>
      </c>
    </row>
    <row r="44" spans="1:5">
      <c r="A44" t="s">
        <v>13</v>
      </c>
      <c r="B44" t="s">
        <v>20</v>
      </c>
      <c r="C44" t="s">
        <v>9</v>
      </c>
      <c r="D44" t="s">
        <v>10</v>
      </c>
      <c r="E44">
        <v>447</v>
      </c>
    </row>
    <row r="45" spans="1:5">
      <c r="A45" t="s">
        <v>14</v>
      </c>
      <c r="B45" t="s">
        <v>20</v>
      </c>
      <c r="C45" t="s">
        <v>9</v>
      </c>
      <c r="D45" t="s">
        <v>15</v>
      </c>
      <c r="E45">
        <v>1610</v>
      </c>
    </row>
    <row r="46" spans="1:5">
      <c r="A46" t="s">
        <v>11</v>
      </c>
      <c r="B46" t="s">
        <v>20</v>
      </c>
      <c r="C46" t="s">
        <v>9</v>
      </c>
      <c r="D46" t="s">
        <v>15</v>
      </c>
      <c r="E46">
        <v>3603</v>
      </c>
    </row>
    <row r="47" spans="1:5">
      <c r="A47" t="s">
        <v>7</v>
      </c>
      <c r="B47" t="s">
        <v>20</v>
      </c>
      <c r="C47" t="s">
        <v>9</v>
      </c>
      <c r="D47" t="s">
        <v>15</v>
      </c>
      <c r="E47">
        <v>7383</v>
      </c>
    </row>
    <row r="48" spans="1:5">
      <c r="A48" t="s">
        <v>13</v>
      </c>
      <c r="B48" t="s">
        <v>20</v>
      </c>
      <c r="C48" t="s">
        <v>9</v>
      </c>
      <c r="D48" t="s">
        <v>15</v>
      </c>
      <c r="E48">
        <v>14991</v>
      </c>
    </row>
    <row r="49" spans="1:5">
      <c r="A49" t="s">
        <v>14</v>
      </c>
      <c r="B49" t="s">
        <v>21</v>
      </c>
      <c r="C49" t="s">
        <v>9</v>
      </c>
      <c r="D49" t="s">
        <v>19</v>
      </c>
      <c r="E49">
        <v>3</v>
      </c>
    </row>
    <row r="50" spans="1:5">
      <c r="A50" t="s">
        <v>11</v>
      </c>
      <c r="B50" t="s">
        <v>21</v>
      </c>
      <c r="C50" t="s">
        <v>9</v>
      </c>
      <c r="D50" t="s">
        <v>19</v>
      </c>
      <c r="E50">
        <v>19</v>
      </c>
    </row>
    <row r="51" spans="1:5">
      <c r="A51" t="s">
        <v>14</v>
      </c>
      <c r="B51" t="s">
        <v>21</v>
      </c>
      <c r="C51" t="s">
        <v>9</v>
      </c>
      <c r="D51" t="s">
        <v>12</v>
      </c>
      <c r="E51">
        <v>19</v>
      </c>
    </row>
    <row r="52" spans="1:5">
      <c r="A52" t="s">
        <v>11</v>
      </c>
      <c r="B52" t="s">
        <v>21</v>
      </c>
      <c r="C52" t="s">
        <v>9</v>
      </c>
      <c r="D52" t="s">
        <v>10</v>
      </c>
      <c r="E52">
        <v>25</v>
      </c>
    </row>
    <row r="53" spans="1:5">
      <c r="A53" t="s">
        <v>7</v>
      </c>
      <c r="B53" t="s">
        <v>21</v>
      </c>
      <c r="C53" t="s">
        <v>9</v>
      </c>
      <c r="D53" t="s">
        <v>19</v>
      </c>
      <c r="E53">
        <v>46</v>
      </c>
    </row>
    <row r="54" spans="1:5">
      <c r="A54" t="s">
        <v>14</v>
      </c>
      <c r="B54" t="s">
        <v>21</v>
      </c>
      <c r="C54" t="s">
        <v>9</v>
      </c>
      <c r="D54" t="s">
        <v>10</v>
      </c>
      <c r="E54">
        <v>49</v>
      </c>
    </row>
    <row r="55" spans="1:5">
      <c r="A55" t="s">
        <v>11</v>
      </c>
      <c r="B55" t="s">
        <v>21</v>
      </c>
      <c r="C55" t="s">
        <v>9</v>
      </c>
      <c r="D55" t="s">
        <v>12</v>
      </c>
      <c r="E55">
        <v>90</v>
      </c>
    </row>
    <row r="56" spans="1:5">
      <c r="A56" t="s">
        <v>7</v>
      </c>
      <c r="B56" t="s">
        <v>21</v>
      </c>
      <c r="C56" t="s">
        <v>9</v>
      </c>
      <c r="D56" t="s">
        <v>12</v>
      </c>
      <c r="E56">
        <v>168</v>
      </c>
    </row>
    <row r="57" spans="1:5">
      <c r="A57" t="s">
        <v>7</v>
      </c>
      <c r="B57" t="s">
        <v>21</v>
      </c>
      <c r="C57" t="s">
        <v>9</v>
      </c>
      <c r="D57" t="s">
        <v>10</v>
      </c>
      <c r="E57">
        <v>215</v>
      </c>
    </row>
    <row r="58" spans="1:5">
      <c r="A58" t="s">
        <v>14</v>
      </c>
      <c r="B58" t="s">
        <v>21</v>
      </c>
      <c r="C58" t="s">
        <v>9</v>
      </c>
      <c r="D58" t="s">
        <v>16</v>
      </c>
      <c r="E58">
        <v>489</v>
      </c>
    </row>
    <row r="59" spans="1:5">
      <c r="A59" t="s">
        <v>7</v>
      </c>
      <c r="B59" t="s">
        <v>21</v>
      </c>
      <c r="C59" t="s">
        <v>9</v>
      </c>
      <c r="D59" t="s">
        <v>16</v>
      </c>
      <c r="E59">
        <v>862</v>
      </c>
    </row>
    <row r="60" spans="1:5">
      <c r="A60" t="s">
        <v>13</v>
      </c>
      <c r="B60" t="s">
        <v>21</v>
      </c>
      <c r="C60" t="s">
        <v>9</v>
      </c>
      <c r="D60" t="s">
        <v>19</v>
      </c>
      <c r="E60">
        <v>914</v>
      </c>
    </row>
    <row r="61" spans="1:5">
      <c r="A61" t="s">
        <v>13</v>
      </c>
      <c r="B61" t="s">
        <v>21</v>
      </c>
      <c r="C61" t="s">
        <v>9</v>
      </c>
      <c r="D61" t="s">
        <v>12</v>
      </c>
      <c r="E61">
        <v>916</v>
      </c>
    </row>
    <row r="62" spans="1:5">
      <c r="A62" t="s">
        <v>13</v>
      </c>
      <c r="B62" t="s">
        <v>21</v>
      </c>
      <c r="C62" t="s">
        <v>9</v>
      </c>
      <c r="D62" t="s">
        <v>10</v>
      </c>
      <c r="E62">
        <v>1156</v>
      </c>
    </row>
    <row r="63" spans="1:5">
      <c r="A63" t="s">
        <v>11</v>
      </c>
      <c r="B63" t="s">
        <v>21</v>
      </c>
      <c r="C63" t="s">
        <v>9</v>
      </c>
      <c r="D63" t="s">
        <v>16</v>
      </c>
      <c r="E63">
        <v>1184</v>
      </c>
    </row>
    <row r="64" spans="1:5">
      <c r="A64" t="s">
        <v>13</v>
      </c>
      <c r="B64" t="s">
        <v>21</v>
      </c>
      <c r="C64" t="s">
        <v>9</v>
      </c>
      <c r="D64" t="s">
        <v>16</v>
      </c>
      <c r="E64">
        <v>2472</v>
      </c>
    </row>
    <row r="65" spans="1:5">
      <c r="A65" t="s">
        <v>14</v>
      </c>
      <c r="B65" t="s">
        <v>22</v>
      </c>
      <c r="C65" t="s">
        <v>9</v>
      </c>
      <c r="D65" t="s">
        <v>10</v>
      </c>
      <c r="E65">
        <v>2</v>
      </c>
    </row>
    <row r="66" spans="1:5">
      <c r="A66" t="s">
        <v>14</v>
      </c>
      <c r="B66" t="s">
        <v>22</v>
      </c>
      <c r="C66" t="s">
        <v>9</v>
      </c>
      <c r="D66" t="s">
        <v>19</v>
      </c>
      <c r="E66">
        <v>1573</v>
      </c>
    </row>
    <row r="67" spans="1:5">
      <c r="A67" t="s">
        <v>7</v>
      </c>
      <c r="B67" t="s">
        <v>22</v>
      </c>
      <c r="C67" t="s">
        <v>9</v>
      </c>
      <c r="D67" t="s">
        <v>19</v>
      </c>
      <c r="E67">
        <v>7982</v>
      </c>
    </row>
    <row r="68" spans="1:5">
      <c r="A68" t="s">
        <v>11</v>
      </c>
      <c r="B68" t="s">
        <v>22</v>
      </c>
      <c r="C68" t="s">
        <v>9</v>
      </c>
      <c r="D68" t="s">
        <v>19</v>
      </c>
      <c r="E68">
        <v>10015</v>
      </c>
    </row>
    <row r="69" spans="1:5">
      <c r="A69" t="s">
        <v>13</v>
      </c>
      <c r="B69" t="s">
        <v>22</v>
      </c>
      <c r="C69" t="s">
        <v>9</v>
      </c>
      <c r="D69" t="s">
        <v>19</v>
      </c>
      <c r="E69">
        <v>26606</v>
      </c>
    </row>
    <row r="70" spans="1:5">
      <c r="A70" t="s">
        <v>7</v>
      </c>
      <c r="B70" t="s">
        <v>23</v>
      </c>
      <c r="C70" t="s">
        <v>9</v>
      </c>
      <c r="D70" t="s">
        <v>10</v>
      </c>
      <c r="E70">
        <v>-103</v>
      </c>
    </row>
    <row r="71" spans="1:5">
      <c r="A71" t="s">
        <v>14</v>
      </c>
      <c r="B71" t="s">
        <v>23</v>
      </c>
      <c r="C71" t="s">
        <v>9</v>
      </c>
      <c r="D71" t="s">
        <v>10</v>
      </c>
      <c r="E71">
        <v>2</v>
      </c>
    </row>
    <row r="72" spans="1:5">
      <c r="A72" t="s">
        <v>11</v>
      </c>
      <c r="B72" t="s">
        <v>23</v>
      </c>
      <c r="C72" t="s">
        <v>9</v>
      </c>
      <c r="D72" t="s">
        <v>10</v>
      </c>
      <c r="E72">
        <v>19</v>
      </c>
    </row>
    <row r="73" spans="1:5">
      <c r="A73" t="s">
        <v>13</v>
      </c>
      <c r="B73" t="s">
        <v>23</v>
      </c>
      <c r="C73" t="s">
        <v>9</v>
      </c>
      <c r="D73" t="s">
        <v>15</v>
      </c>
      <c r="E73">
        <v>31</v>
      </c>
    </row>
    <row r="74" spans="1:5">
      <c r="A74" t="s">
        <v>14</v>
      </c>
      <c r="B74" t="s">
        <v>23</v>
      </c>
      <c r="C74" t="s">
        <v>9</v>
      </c>
      <c r="D74" t="s">
        <v>19</v>
      </c>
      <c r="E74">
        <v>31</v>
      </c>
    </row>
    <row r="75" spans="1:5">
      <c r="A75" t="s">
        <v>14</v>
      </c>
      <c r="B75" t="s">
        <v>23</v>
      </c>
      <c r="C75" t="s">
        <v>9</v>
      </c>
      <c r="D75" t="s">
        <v>12</v>
      </c>
      <c r="E75">
        <v>84</v>
      </c>
    </row>
    <row r="76" spans="1:5">
      <c r="A76" t="s">
        <v>11</v>
      </c>
      <c r="B76" t="s">
        <v>23</v>
      </c>
      <c r="C76" t="s">
        <v>9</v>
      </c>
      <c r="D76" t="s">
        <v>12</v>
      </c>
      <c r="E76">
        <v>137</v>
      </c>
    </row>
    <row r="77" spans="1:5">
      <c r="A77" t="s">
        <v>7</v>
      </c>
      <c r="B77" t="s">
        <v>23</v>
      </c>
      <c r="C77" t="s">
        <v>9</v>
      </c>
      <c r="D77" t="s">
        <v>19</v>
      </c>
      <c r="E77">
        <v>148</v>
      </c>
    </row>
    <row r="78" spans="1:5">
      <c r="A78" t="s">
        <v>7</v>
      </c>
      <c r="B78" t="s">
        <v>23</v>
      </c>
      <c r="C78" t="s">
        <v>9</v>
      </c>
      <c r="D78" t="s">
        <v>12</v>
      </c>
      <c r="E78">
        <v>174</v>
      </c>
    </row>
    <row r="79" spans="1:5">
      <c r="A79" t="s">
        <v>11</v>
      </c>
      <c r="B79" t="s">
        <v>23</v>
      </c>
      <c r="C79" t="s">
        <v>9</v>
      </c>
      <c r="D79" t="s">
        <v>19</v>
      </c>
      <c r="E79">
        <v>184</v>
      </c>
    </row>
    <row r="80" spans="1:5">
      <c r="A80" t="s">
        <v>13</v>
      </c>
      <c r="B80" t="s">
        <v>23</v>
      </c>
      <c r="C80" t="s">
        <v>9</v>
      </c>
      <c r="D80" t="s">
        <v>12</v>
      </c>
      <c r="E80">
        <v>267</v>
      </c>
    </row>
    <row r="81" spans="1:5">
      <c r="A81" t="s">
        <v>14</v>
      </c>
      <c r="B81" t="s">
        <v>23</v>
      </c>
      <c r="C81" t="s">
        <v>9</v>
      </c>
      <c r="D81" t="s">
        <v>16</v>
      </c>
      <c r="E81">
        <v>564</v>
      </c>
    </row>
    <row r="82" spans="1:5">
      <c r="A82" t="s">
        <v>13</v>
      </c>
      <c r="B82" t="s">
        <v>23</v>
      </c>
      <c r="C82" t="s">
        <v>9</v>
      </c>
      <c r="D82" t="s">
        <v>10</v>
      </c>
      <c r="E82">
        <v>618</v>
      </c>
    </row>
    <row r="83" spans="1:5">
      <c r="A83" t="s">
        <v>13</v>
      </c>
      <c r="B83" t="s">
        <v>23</v>
      </c>
      <c r="C83" t="s">
        <v>9</v>
      </c>
      <c r="D83" t="s">
        <v>19</v>
      </c>
      <c r="E83">
        <v>657</v>
      </c>
    </row>
    <row r="84" spans="1:5">
      <c r="A84" t="s">
        <v>7</v>
      </c>
      <c r="B84" t="s">
        <v>23</v>
      </c>
      <c r="C84" t="s">
        <v>9</v>
      </c>
      <c r="D84" t="s">
        <v>16</v>
      </c>
      <c r="E84">
        <v>1211</v>
      </c>
    </row>
    <row r="85" spans="1:5">
      <c r="A85" t="s">
        <v>11</v>
      </c>
      <c r="B85" t="s">
        <v>23</v>
      </c>
      <c r="C85" t="s">
        <v>9</v>
      </c>
      <c r="D85" t="s">
        <v>16</v>
      </c>
      <c r="E85">
        <v>1577</v>
      </c>
    </row>
    <row r="86" spans="1:5">
      <c r="A86" t="s">
        <v>13</v>
      </c>
      <c r="B86" t="s">
        <v>23</v>
      </c>
      <c r="C86" t="s">
        <v>9</v>
      </c>
      <c r="D86" t="s">
        <v>16</v>
      </c>
      <c r="E86">
        <v>2108</v>
      </c>
    </row>
    <row r="87" spans="1:5">
      <c r="A87" t="s">
        <v>7</v>
      </c>
      <c r="B87" t="s">
        <v>24</v>
      </c>
      <c r="C87" t="s">
        <v>9</v>
      </c>
      <c r="D87" t="s">
        <v>10</v>
      </c>
      <c r="E87">
        <v>2</v>
      </c>
    </row>
    <row r="88" spans="1:5">
      <c r="A88" t="s">
        <v>14</v>
      </c>
      <c r="B88" t="s">
        <v>24</v>
      </c>
      <c r="C88" t="s">
        <v>9</v>
      </c>
      <c r="D88" t="s">
        <v>10</v>
      </c>
      <c r="E88">
        <v>2</v>
      </c>
    </row>
    <row r="89" spans="1:5">
      <c r="A89" t="s">
        <v>11</v>
      </c>
      <c r="B89" t="s">
        <v>24</v>
      </c>
      <c r="C89" t="s">
        <v>9</v>
      </c>
      <c r="D89" t="s">
        <v>12</v>
      </c>
      <c r="E89">
        <v>5</v>
      </c>
    </row>
    <row r="90" spans="1:5">
      <c r="A90" t="s">
        <v>14</v>
      </c>
      <c r="B90" t="s">
        <v>24</v>
      </c>
      <c r="C90" t="s">
        <v>9</v>
      </c>
      <c r="D90" t="s">
        <v>12</v>
      </c>
      <c r="E90">
        <v>6</v>
      </c>
    </row>
    <row r="91" spans="1:5">
      <c r="A91" t="s">
        <v>11</v>
      </c>
      <c r="B91" t="s">
        <v>24</v>
      </c>
      <c r="C91" t="s">
        <v>9</v>
      </c>
      <c r="D91" t="s">
        <v>10</v>
      </c>
      <c r="E91">
        <v>11</v>
      </c>
    </row>
    <row r="92" spans="1:5">
      <c r="A92" t="s">
        <v>11</v>
      </c>
      <c r="B92" t="s">
        <v>24</v>
      </c>
      <c r="C92" t="s">
        <v>9</v>
      </c>
      <c r="D92" t="s">
        <v>19</v>
      </c>
      <c r="E92">
        <v>72</v>
      </c>
    </row>
    <row r="93" spans="1:5">
      <c r="A93" t="s">
        <v>14</v>
      </c>
      <c r="B93" t="s">
        <v>24</v>
      </c>
      <c r="C93" t="s">
        <v>9</v>
      </c>
      <c r="D93" t="s">
        <v>19</v>
      </c>
      <c r="E93">
        <v>143</v>
      </c>
    </row>
    <row r="94" spans="1:5">
      <c r="A94" t="s">
        <v>11</v>
      </c>
      <c r="B94" t="s">
        <v>24</v>
      </c>
      <c r="C94" t="s">
        <v>9</v>
      </c>
      <c r="D94" t="s">
        <v>16</v>
      </c>
      <c r="E94">
        <v>645</v>
      </c>
    </row>
    <row r="95" spans="1:5">
      <c r="A95" t="s">
        <v>14</v>
      </c>
      <c r="B95" t="s">
        <v>24</v>
      </c>
      <c r="C95" t="s">
        <v>9</v>
      </c>
      <c r="D95" t="s">
        <v>16</v>
      </c>
      <c r="E95">
        <v>1194</v>
      </c>
    </row>
    <row r="96" spans="1:5">
      <c r="A96" t="s">
        <v>7</v>
      </c>
      <c r="B96" t="s">
        <v>24</v>
      </c>
      <c r="C96" t="s">
        <v>9</v>
      </c>
      <c r="D96" t="s">
        <v>19</v>
      </c>
      <c r="E96">
        <v>1275</v>
      </c>
    </row>
    <row r="97" spans="1:5">
      <c r="A97" t="s">
        <v>7</v>
      </c>
      <c r="B97" t="s">
        <v>24</v>
      </c>
      <c r="C97" t="s">
        <v>9</v>
      </c>
      <c r="D97" t="s">
        <v>16</v>
      </c>
      <c r="E97">
        <v>1925</v>
      </c>
    </row>
    <row r="98" spans="1:5">
      <c r="A98" t="s">
        <v>11</v>
      </c>
      <c r="B98" t="s">
        <v>25</v>
      </c>
      <c r="C98" t="s">
        <v>9</v>
      </c>
      <c r="D98" t="s">
        <v>15</v>
      </c>
      <c r="E98">
        <v>6</v>
      </c>
    </row>
    <row r="99" spans="1:5">
      <c r="A99" t="s">
        <v>14</v>
      </c>
      <c r="B99" t="s">
        <v>25</v>
      </c>
      <c r="C99" t="s">
        <v>9</v>
      </c>
      <c r="D99" t="s">
        <v>19</v>
      </c>
      <c r="E99">
        <v>79</v>
      </c>
    </row>
    <row r="100" spans="1:5">
      <c r="A100" t="s">
        <v>14</v>
      </c>
      <c r="B100" t="s">
        <v>25</v>
      </c>
      <c r="C100" t="s">
        <v>9</v>
      </c>
      <c r="D100" t="s">
        <v>10</v>
      </c>
      <c r="E100">
        <v>211</v>
      </c>
    </row>
    <row r="101" spans="1:5">
      <c r="A101" t="s">
        <v>14</v>
      </c>
      <c r="B101" t="s">
        <v>25</v>
      </c>
      <c r="C101" t="s">
        <v>9</v>
      </c>
      <c r="D101" t="s">
        <v>12</v>
      </c>
      <c r="E101">
        <v>428</v>
      </c>
    </row>
    <row r="102" spans="1:5">
      <c r="A102" t="s">
        <v>7</v>
      </c>
      <c r="B102" t="s">
        <v>25</v>
      </c>
      <c r="C102" t="s">
        <v>9</v>
      </c>
      <c r="D102" t="s">
        <v>10</v>
      </c>
      <c r="E102">
        <v>547</v>
      </c>
    </row>
    <row r="103" spans="1:5">
      <c r="A103" t="s">
        <v>11</v>
      </c>
      <c r="B103" t="s">
        <v>25</v>
      </c>
      <c r="C103" t="s">
        <v>9</v>
      </c>
      <c r="D103" t="s">
        <v>19</v>
      </c>
      <c r="E103">
        <v>549</v>
      </c>
    </row>
    <row r="104" spans="1:5">
      <c r="A104" t="s">
        <v>11</v>
      </c>
      <c r="B104" t="s">
        <v>25</v>
      </c>
      <c r="C104" t="s">
        <v>9</v>
      </c>
      <c r="D104" t="s">
        <v>10</v>
      </c>
      <c r="E104">
        <v>553</v>
      </c>
    </row>
    <row r="105" spans="1:5">
      <c r="A105" t="s">
        <v>7</v>
      </c>
      <c r="B105" t="s">
        <v>25</v>
      </c>
      <c r="C105" t="s">
        <v>9</v>
      </c>
      <c r="D105" t="s">
        <v>19</v>
      </c>
      <c r="E105">
        <v>566</v>
      </c>
    </row>
    <row r="106" spans="1:5">
      <c r="A106" t="s">
        <v>14</v>
      </c>
      <c r="B106" t="s">
        <v>25</v>
      </c>
      <c r="C106" t="s">
        <v>9</v>
      </c>
      <c r="D106" t="s">
        <v>16</v>
      </c>
      <c r="E106">
        <v>706</v>
      </c>
    </row>
    <row r="107" spans="1:5">
      <c r="A107" t="s">
        <v>14</v>
      </c>
      <c r="B107" t="s">
        <v>25</v>
      </c>
      <c r="C107" t="s">
        <v>9</v>
      </c>
      <c r="D107" t="s">
        <v>15</v>
      </c>
      <c r="E107">
        <v>1609</v>
      </c>
    </row>
    <row r="108" spans="1:5">
      <c r="A108" t="s">
        <v>13</v>
      </c>
      <c r="B108" t="s">
        <v>25</v>
      </c>
      <c r="C108" t="s">
        <v>9</v>
      </c>
      <c r="D108" t="s">
        <v>19</v>
      </c>
      <c r="E108">
        <v>2175</v>
      </c>
    </row>
    <row r="109" spans="1:5">
      <c r="A109" t="s">
        <v>13</v>
      </c>
      <c r="B109" t="s">
        <v>25</v>
      </c>
      <c r="C109" t="s">
        <v>9</v>
      </c>
      <c r="D109" t="s">
        <v>15</v>
      </c>
      <c r="E109">
        <v>2883</v>
      </c>
    </row>
    <row r="110" spans="1:5">
      <c r="A110" t="s">
        <v>7</v>
      </c>
      <c r="B110" t="s">
        <v>25</v>
      </c>
      <c r="C110" t="s">
        <v>9</v>
      </c>
      <c r="D110" t="s">
        <v>15</v>
      </c>
      <c r="E110">
        <v>3312</v>
      </c>
    </row>
    <row r="111" spans="1:5">
      <c r="A111" t="s">
        <v>7</v>
      </c>
      <c r="B111" t="s">
        <v>25</v>
      </c>
      <c r="C111" t="s">
        <v>9</v>
      </c>
      <c r="D111" t="s">
        <v>12</v>
      </c>
      <c r="E111">
        <v>3497</v>
      </c>
    </row>
    <row r="112" spans="1:5">
      <c r="A112" t="s">
        <v>7</v>
      </c>
      <c r="B112" t="s">
        <v>25</v>
      </c>
      <c r="C112" t="s">
        <v>9</v>
      </c>
      <c r="D112" t="s">
        <v>16</v>
      </c>
      <c r="E112">
        <v>4745</v>
      </c>
    </row>
    <row r="113" spans="1:5">
      <c r="A113" t="s">
        <v>11</v>
      </c>
      <c r="B113" t="s">
        <v>25</v>
      </c>
      <c r="C113" t="s">
        <v>9</v>
      </c>
      <c r="D113" t="s">
        <v>12</v>
      </c>
      <c r="E113">
        <v>5093</v>
      </c>
    </row>
    <row r="114" spans="1:5">
      <c r="A114" t="s">
        <v>11</v>
      </c>
      <c r="B114" t="s">
        <v>25</v>
      </c>
      <c r="C114" t="s">
        <v>9</v>
      </c>
      <c r="D114" t="s">
        <v>16</v>
      </c>
      <c r="E114">
        <v>5459</v>
      </c>
    </row>
    <row r="115" spans="1:5">
      <c r="A115" t="s">
        <v>13</v>
      </c>
      <c r="B115" t="s">
        <v>25</v>
      </c>
      <c r="C115" t="s">
        <v>9</v>
      </c>
      <c r="D115" t="s">
        <v>10</v>
      </c>
      <c r="E115">
        <v>5491</v>
      </c>
    </row>
    <row r="116" spans="1:5">
      <c r="A116" t="s">
        <v>13</v>
      </c>
      <c r="B116" t="s">
        <v>25</v>
      </c>
      <c r="C116" t="s">
        <v>9</v>
      </c>
      <c r="D116" t="s">
        <v>16</v>
      </c>
      <c r="E116">
        <v>6468</v>
      </c>
    </row>
    <row r="117" spans="1:5">
      <c r="A117" t="s">
        <v>13</v>
      </c>
      <c r="B117" t="s">
        <v>25</v>
      </c>
      <c r="C117" t="s">
        <v>9</v>
      </c>
      <c r="D117" t="s">
        <v>12</v>
      </c>
      <c r="E117">
        <v>11317</v>
      </c>
    </row>
    <row r="118" spans="1:5">
      <c r="A118" t="s">
        <v>13</v>
      </c>
      <c r="B118" t="s">
        <v>26</v>
      </c>
      <c r="C118" t="s">
        <v>9</v>
      </c>
      <c r="D118" t="s">
        <v>16</v>
      </c>
      <c r="E118">
        <v>-1940</v>
      </c>
    </row>
    <row r="119" spans="1:5">
      <c r="A119" t="s">
        <v>14</v>
      </c>
      <c r="B119" t="s">
        <v>26</v>
      </c>
      <c r="C119" t="s">
        <v>9</v>
      </c>
      <c r="D119" t="s">
        <v>16</v>
      </c>
      <c r="E119">
        <v>8</v>
      </c>
    </row>
    <row r="120" spans="1:5">
      <c r="A120" t="s">
        <v>11</v>
      </c>
      <c r="B120" t="s">
        <v>26</v>
      </c>
      <c r="C120" t="s">
        <v>9</v>
      </c>
      <c r="D120" t="s">
        <v>15</v>
      </c>
      <c r="E120">
        <v>27</v>
      </c>
    </row>
    <row r="121" spans="1:5">
      <c r="A121" t="s">
        <v>13</v>
      </c>
      <c r="B121" t="s">
        <v>26</v>
      </c>
      <c r="C121" t="s">
        <v>9</v>
      </c>
      <c r="D121" t="s">
        <v>10</v>
      </c>
      <c r="E121">
        <v>64</v>
      </c>
    </row>
    <row r="122" spans="1:5">
      <c r="A122" t="s">
        <v>11</v>
      </c>
      <c r="B122" t="s">
        <v>26</v>
      </c>
      <c r="C122" t="s">
        <v>9</v>
      </c>
      <c r="D122" t="s">
        <v>19</v>
      </c>
      <c r="E122">
        <v>1070</v>
      </c>
    </row>
    <row r="123" spans="1:5">
      <c r="A123" t="s">
        <v>14</v>
      </c>
      <c r="B123" t="s">
        <v>26</v>
      </c>
      <c r="C123" t="s">
        <v>9</v>
      </c>
      <c r="D123" t="s">
        <v>19</v>
      </c>
      <c r="E123">
        <v>1421</v>
      </c>
    </row>
    <row r="124" spans="1:5">
      <c r="A124" t="s">
        <v>7</v>
      </c>
      <c r="B124" t="s">
        <v>26</v>
      </c>
      <c r="C124" t="s">
        <v>9</v>
      </c>
      <c r="D124" t="s">
        <v>19</v>
      </c>
      <c r="E124">
        <v>2406</v>
      </c>
    </row>
    <row r="125" spans="1:5">
      <c r="A125" t="s">
        <v>13</v>
      </c>
      <c r="B125" t="s">
        <v>26</v>
      </c>
      <c r="C125" t="s">
        <v>9</v>
      </c>
      <c r="D125" t="s">
        <v>19</v>
      </c>
      <c r="E125">
        <v>8275</v>
      </c>
    </row>
    <row r="126" spans="1:5">
      <c r="A126" t="s">
        <v>13</v>
      </c>
      <c r="B126" t="s">
        <v>27</v>
      </c>
      <c r="C126" t="s">
        <v>9</v>
      </c>
      <c r="D126" t="s">
        <v>16</v>
      </c>
      <c r="E126">
        <v>-5761</v>
      </c>
    </row>
    <row r="127" spans="1:5">
      <c r="A127" t="s">
        <v>11</v>
      </c>
      <c r="B127" t="s">
        <v>27</v>
      </c>
      <c r="C127" t="s">
        <v>9</v>
      </c>
      <c r="D127" t="s">
        <v>16</v>
      </c>
      <c r="E127">
        <v>-4101</v>
      </c>
    </row>
    <row r="128" spans="1:5">
      <c r="A128" t="s">
        <v>7</v>
      </c>
      <c r="B128" t="s">
        <v>27</v>
      </c>
      <c r="C128" t="s">
        <v>9</v>
      </c>
      <c r="D128" t="s">
        <v>16</v>
      </c>
      <c r="E128">
        <v>-2063</v>
      </c>
    </row>
    <row r="129" spans="1:5">
      <c r="A129" t="s">
        <v>11</v>
      </c>
      <c r="B129" t="s">
        <v>27</v>
      </c>
      <c r="C129" t="s">
        <v>9</v>
      </c>
      <c r="D129" t="s">
        <v>15</v>
      </c>
      <c r="E129">
        <v>-530</v>
      </c>
    </row>
    <row r="130" spans="1:5">
      <c r="A130" t="s">
        <v>7</v>
      </c>
      <c r="B130" t="s">
        <v>27</v>
      </c>
      <c r="C130" t="s">
        <v>9</v>
      </c>
      <c r="D130" t="s">
        <v>15</v>
      </c>
      <c r="E130">
        <v>-21</v>
      </c>
    </row>
    <row r="131" spans="1:5">
      <c r="A131" t="s">
        <v>7</v>
      </c>
      <c r="B131" t="s">
        <v>27</v>
      </c>
      <c r="C131" t="s">
        <v>9</v>
      </c>
      <c r="D131" t="s">
        <v>12</v>
      </c>
      <c r="E131">
        <v>409</v>
      </c>
    </row>
    <row r="132" spans="1:5">
      <c r="A132" t="s">
        <v>11</v>
      </c>
      <c r="B132" t="s">
        <v>27</v>
      </c>
      <c r="C132" t="s">
        <v>9</v>
      </c>
      <c r="D132" t="s">
        <v>10</v>
      </c>
      <c r="E132">
        <v>592</v>
      </c>
    </row>
    <row r="133" spans="1:5">
      <c r="A133" t="s">
        <v>11</v>
      </c>
      <c r="B133" t="s">
        <v>27</v>
      </c>
      <c r="C133" t="s">
        <v>9</v>
      </c>
      <c r="D133" t="s">
        <v>12</v>
      </c>
      <c r="E133">
        <v>732</v>
      </c>
    </row>
    <row r="134" spans="1:5">
      <c r="A134" t="s">
        <v>7</v>
      </c>
      <c r="B134" t="s">
        <v>27</v>
      </c>
      <c r="C134" t="s">
        <v>9</v>
      </c>
      <c r="D134" t="s">
        <v>19</v>
      </c>
      <c r="E134">
        <v>734</v>
      </c>
    </row>
    <row r="135" spans="1:5">
      <c r="A135" t="s">
        <v>7</v>
      </c>
      <c r="B135" t="s">
        <v>27</v>
      </c>
      <c r="C135" t="s">
        <v>9</v>
      </c>
      <c r="D135" t="s">
        <v>10</v>
      </c>
      <c r="E135">
        <v>941</v>
      </c>
    </row>
    <row r="136" spans="1:5">
      <c r="A136" t="s">
        <v>13</v>
      </c>
      <c r="B136" t="s">
        <v>27</v>
      </c>
      <c r="C136" t="s">
        <v>9</v>
      </c>
      <c r="D136" t="s">
        <v>10</v>
      </c>
      <c r="E136">
        <v>1128</v>
      </c>
    </row>
    <row r="137" spans="1:5">
      <c r="A137" t="s">
        <v>13</v>
      </c>
      <c r="B137" t="s">
        <v>27</v>
      </c>
      <c r="C137" t="s">
        <v>9</v>
      </c>
      <c r="D137" t="s">
        <v>19</v>
      </c>
      <c r="E137">
        <v>2316</v>
      </c>
    </row>
    <row r="138" spans="1:5">
      <c r="A138" t="s">
        <v>13</v>
      </c>
      <c r="B138" t="s">
        <v>27</v>
      </c>
      <c r="C138" t="s">
        <v>9</v>
      </c>
      <c r="D138" t="s">
        <v>12</v>
      </c>
      <c r="E138">
        <v>2317</v>
      </c>
    </row>
    <row r="139" spans="1:5">
      <c r="A139" t="s">
        <v>11</v>
      </c>
      <c r="B139" t="s">
        <v>27</v>
      </c>
      <c r="C139" t="s">
        <v>9</v>
      </c>
      <c r="D139" t="s">
        <v>19</v>
      </c>
      <c r="E139">
        <v>3307</v>
      </c>
    </row>
    <row r="140" spans="1:5">
      <c r="A140" t="s">
        <v>11</v>
      </c>
      <c r="B140" t="s">
        <v>28</v>
      </c>
      <c r="C140" t="s">
        <v>9</v>
      </c>
      <c r="D140" t="s">
        <v>16</v>
      </c>
      <c r="E140">
        <v>1008</v>
      </c>
    </row>
    <row r="141" spans="1:5">
      <c r="A141" t="s">
        <v>14</v>
      </c>
      <c r="B141" t="s">
        <v>29</v>
      </c>
      <c r="C141" t="s">
        <v>9</v>
      </c>
      <c r="D141" t="s">
        <v>10</v>
      </c>
      <c r="E141">
        <v>10</v>
      </c>
    </row>
    <row r="142" spans="1:5">
      <c r="A142" t="s">
        <v>14</v>
      </c>
      <c r="B142" t="s">
        <v>29</v>
      </c>
      <c r="C142" t="s">
        <v>9</v>
      </c>
      <c r="D142" t="s">
        <v>12</v>
      </c>
      <c r="E142">
        <v>158</v>
      </c>
    </row>
    <row r="143" spans="1:5">
      <c r="A143" t="s">
        <v>7</v>
      </c>
      <c r="B143" t="s">
        <v>29</v>
      </c>
      <c r="C143" t="s">
        <v>9</v>
      </c>
      <c r="D143" t="s">
        <v>19</v>
      </c>
      <c r="E143">
        <v>167</v>
      </c>
    </row>
    <row r="144" spans="1:5">
      <c r="A144" t="s">
        <v>14</v>
      </c>
      <c r="B144" t="s">
        <v>29</v>
      </c>
      <c r="C144" t="s">
        <v>9</v>
      </c>
      <c r="D144" t="s">
        <v>16</v>
      </c>
      <c r="E144">
        <v>338</v>
      </c>
    </row>
    <row r="145" spans="1:5">
      <c r="A145" t="s">
        <v>11</v>
      </c>
      <c r="B145" t="s">
        <v>29</v>
      </c>
      <c r="C145" t="s">
        <v>9</v>
      </c>
      <c r="D145" t="s">
        <v>10</v>
      </c>
      <c r="E145">
        <v>354</v>
      </c>
    </row>
    <row r="146" spans="1:5">
      <c r="A146" t="s">
        <v>7</v>
      </c>
      <c r="B146" t="s">
        <v>29</v>
      </c>
      <c r="C146" t="s">
        <v>9</v>
      </c>
      <c r="D146" t="s">
        <v>10</v>
      </c>
      <c r="E146">
        <v>464</v>
      </c>
    </row>
    <row r="147" spans="1:5">
      <c r="A147" t="s">
        <v>11</v>
      </c>
      <c r="B147" t="s">
        <v>29</v>
      </c>
      <c r="C147" t="s">
        <v>9</v>
      </c>
      <c r="D147" t="s">
        <v>19</v>
      </c>
      <c r="E147">
        <v>608</v>
      </c>
    </row>
    <row r="148" spans="1:5">
      <c r="A148" t="s">
        <v>13</v>
      </c>
      <c r="B148" t="s">
        <v>29</v>
      </c>
      <c r="C148" t="s">
        <v>9</v>
      </c>
      <c r="D148" t="s">
        <v>19</v>
      </c>
      <c r="E148">
        <v>1373</v>
      </c>
    </row>
    <row r="149" spans="1:5">
      <c r="A149" t="s">
        <v>7</v>
      </c>
      <c r="B149" t="s">
        <v>29</v>
      </c>
      <c r="C149" t="s">
        <v>9</v>
      </c>
      <c r="D149" t="s">
        <v>12</v>
      </c>
      <c r="E149">
        <v>2229</v>
      </c>
    </row>
    <row r="150" spans="1:5">
      <c r="A150" t="s">
        <v>11</v>
      </c>
      <c r="B150" t="s">
        <v>29</v>
      </c>
      <c r="C150" t="s">
        <v>9</v>
      </c>
      <c r="D150" t="s">
        <v>12</v>
      </c>
      <c r="E150">
        <v>2617</v>
      </c>
    </row>
    <row r="151" spans="1:5">
      <c r="A151" t="s">
        <v>7</v>
      </c>
      <c r="B151" t="s">
        <v>29</v>
      </c>
      <c r="C151" t="s">
        <v>9</v>
      </c>
      <c r="D151" t="s">
        <v>16</v>
      </c>
      <c r="E151">
        <v>3880</v>
      </c>
    </row>
    <row r="152" spans="1:5">
      <c r="A152" t="s">
        <v>11</v>
      </c>
      <c r="B152" t="s">
        <v>29</v>
      </c>
      <c r="C152" t="s">
        <v>9</v>
      </c>
      <c r="D152" t="s">
        <v>16</v>
      </c>
      <c r="E152">
        <v>5342</v>
      </c>
    </row>
    <row r="153" spans="1:5">
      <c r="A153" t="s">
        <v>13</v>
      </c>
      <c r="B153" t="s">
        <v>29</v>
      </c>
      <c r="C153" t="s">
        <v>9</v>
      </c>
      <c r="D153" t="s">
        <v>16</v>
      </c>
      <c r="E153">
        <v>7405</v>
      </c>
    </row>
    <row r="154" spans="1:5">
      <c r="A154" t="s">
        <v>13</v>
      </c>
      <c r="B154" t="s">
        <v>29</v>
      </c>
      <c r="C154" t="s">
        <v>9</v>
      </c>
      <c r="D154" t="s">
        <v>10</v>
      </c>
      <c r="E154">
        <v>7434</v>
      </c>
    </row>
    <row r="155" spans="1:5">
      <c r="A155" t="s">
        <v>13</v>
      </c>
      <c r="B155" t="s">
        <v>29</v>
      </c>
      <c r="C155" t="s">
        <v>9</v>
      </c>
      <c r="D155" t="s">
        <v>12</v>
      </c>
      <c r="E155">
        <v>15701</v>
      </c>
    </row>
    <row r="156" spans="1:5">
      <c r="A156" t="s">
        <v>14</v>
      </c>
      <c r="B156" t="s">
        <v>30</v>
      </c>
      <c r="C156" t="s">
        <v>9</v>
      </c>
      <c r="D156" t="s">
        <v>10</v>
      </c>
      <c r="E156">
        <v>103</v>
      </c>
    </row>
    <row r="157" spans="1:5">
      <c r="A157" t="s">
        <v>14</v>
      </c>
      <c r="B157" t="s">
        <v>30</v>
      </c>
      <c r="C157" t="s">
        <v>9</v>
      </c>
      <c r="D157" t="s">
        <v>16</v>
      </c>
      <c r="E157">
        <v>594</v>
      </c>
    </row>
    <row r="158" spans="1:5">
      <c r="A158" t="s">
        <v>11</v>
      </c>
      <c r="B158" t="s">
        <v>30</v>
      </c>
      <c r="C158" t="s">
        <v>9</v>
      </c>
      <c r="D158" t="s">
        <v>10</v>
      </c>
      <c r="E158">
        <v>1572</v>
      </c>
    </row>
    <row r="159" spans="1:5">
      <c r="A159" t="s">
        <v>14</v>
      </c>
      <c r="B159" t="s">
        <v>30</v>
      </c>
      <c r="C159" t="s">
        <v>9</v>
      </c>
      <c r="D159" t="s">
        <v>12</v>
      </c>
      <c r="E159">
        <v>1691</v>
      </c>
    </row>
    <row r="160" spans="1:5">
      <c r="A160" t="s">
        <v>7</v>
      </c>
      <c r="B160" t="s">
        <v>30</v>
      </c>
      <c r="C160" t="s">
        <v>9</v>
      </c>
      <c r="D160" t="s">
        <v>10</v>
      </c>
      <c r="E160">
        <v>2681</v>
      </c>
    </row>
    <row r="161" spans="1:5">
      <c r="A161" t="s">
        <v>11</v>
      </c>
      <c r="B161" t="s">
        <v>30</v>
      </c>
      <c r="C161" t="s">
        <v>9</v>
      </c>
      <c r="D161" t="s">
        <v>12</v>
      </c>
      <c r="E161">
        <v>7123</v>
      </c>
    </row>
    <row r="162" spans="1:5">
      <c r="A162" t="s">
        <v>13</v>
      </c>
      <c r="B162" t="s">
        <v>30</v>
      </c>
      <c r="C162" t="s">
        <v>9</v>
      </c>
      <c r="D162" t="s">
        <v>10</v>
      </c>
      <c r="E162">
        <v>8526</v>
      </c>
    </row>
    <row r="163" spans="1:5">
      <c r="A163" t="s">
        <v>11</v>
      </c>
      <c r="B163" t="s">
        <v>30</v>
      </c>
      <c r="C163" t="s">
        <v>9</v>
      </c>
      <c r="D163" t="s">
        <v>16</v>
      </c>
      <c r="E163">
        <v>8807</v>
      </c>
    </row>
    <row r="164" spans="1:5">
      <c r="A164" t="s">
        <v>7</v>
      </c>
      <c r="B164" t="s">
        <v>30</v>
      </c>
      <c r="C164" t="s">
        <v>9</v>
      </c>
      <c r="D164" t="s">
        <v>12</v>
      </c>
      <c r="E164">
        <v>9814</v>
      </c>
    </row>
    <row r="165" spans="1:5">
      <c r="A165" t="s">
        <v>13</v>
      </c>
      <c r="B165" t="s">
        <v>30</v>
      </c>
      <c r="C165" t="s">
        <v>9</v>
      </c>
      <c r="D165" t="s">
        <v>16</v>
      </c>
      <c r="E165">
        <v>10932</v>
      </c>
    </row>
    <row r="166" spans="1:5">
      <c r="A166" t="s">
        <v>7</v>
      </c>
      <c r="B166" t="s">
        <v>30</v>
      </c>
      <c r="C166" t="s">
        <v>9</v>
      </c>
      <c r="D166" t="s">
        <v>16</v>
      </c>
      <c r="E166">
        <v>12857</v>
      </c>
    </row>
    <row r="167" spans="1:5">
      <c r="A167" t="s">
        <v>13</v>
      </c>
      <c r="B167" t="s">
        <v>30</v>
      </c>
      <c r="C167" t="s">
        <v>9</v>
      </c>
      <c r="D167" t="s">
        <v>12</v>
      </c>
      <c r="E167">
        <v>18943</v>
      </c>
    </row>
    <row r="168" spans="1:5">
      <c r="A168" t="s">
        <v>13</v>
      </c>
      <c r="B168" t="s">
        <v>31</v>
      </c>
      <c r="C168" t="s">
        <v>9</v>
      </c>
      <c r="D168" t="s">
        <v>16</v>
      </c>
      <c r="E168">
        <v>-6398</v>
      </c>
    </row>
    <row r="169" spans="1:5">
      <c r="A169" t="s">
        <v>14</v>
      </c>
      <c r="B169" t="s">
        <v>31</v>
      </c>
      <c r="C169" t="s">
        <v>9</v>
      </c>
      <c r="D169" t="s">
        <v>10</v>
      </c>
      <c r="E169">
        <v>250</v>
      </c>
    </row>
    <row r="170" spans="1:5">
      <c r="A170" t="s">
        <v>7</v>
      </c>
      <c r="B170" t="s">
        <v>31</v>
      </c>
      <c r="C170" t="s">
        <v>9</v>
      </c>
      <c r="D170" t="s">
        <v>12</v>
      </c>
      <c r="E170">
        <v>255</v>
      </c>
    </row>
    <row r="171" spans="1:5">
      <c r="A171" t="s">
        <v>14</v>
      </c>
      <c r="B171" t="s">
        <v>31</v>
      </c>
      <c r="C171" t="s">
        <v>9</v>
      </c>
      <c r="D171" t="s">
        <v>12</v>
      </c>
      <c r="E171">
        <v>278</v>
      </c>
    </row>
    <row r="172" spans="1:5">
      <c r="A172" t="s">
        <v>14</v>
      </c>
      <c r="B172" t="s">
        <v>31</v>
      </c>
      <c r="C172" t="s">
        <v>9</v>
      </c>
      <c r="D172" t="s">
        <v>19</v>
      </c>
      <c r="E172">
        <v>360</v>
      </c>
    </row>
    <row r="173" spans="1:5">
      <c r="A173" t="s">
        <v>11</v>
      </c>
      <c r="B173" t="s">
        <v>31</v>
      </c>
      <c r="C173" t="s">
        <v>9</v>
      </c>
      <c r="D173" t="s">
        <v>19</v>
      </c>
      <c r="E173">
        <v>1213</v>
      </c>
    </row>
    <row r="174" spans="1:5">
      <c r="A174" t="s">
        <v>7</v>
      </c>
      <c r="B174" t="s">
        <v>31</v>
      </c>
      <c r="C174" t="s">
        <v>9</v>
      </c>
      <c r="D174" t="s">
        <v>19</v>
      </c>
      <c r="E174">
        <v>1495</v>
      </c>
    </row>
    <row r="175" spans="1:5">
      <c r="A175" t="s">
        <v>14</v>
      </c>
      <c r="B175" t="s">
        <v>31</v>
      </c>
      <c r="C175" t="s">
        <v>9</v>
      </c>
      <c r="D175" t="s">
        <v>16</v>
      </c>
      <c r="E175">
        <v>1542</v>
      </c>
    </row>
    <row r="176" spans="1:5">
      <c r="A176" t="s">
        <v>11</v>
      </c>
      <c r="B176" t="s">
        <v>31</v>
      </c>
      <c r="C176" t="s">
        <v>9</v>
      </c>
      <c r="D176" t="s">
        <v>12</v>
      </c>
      <c r="E176">
        <v>1767</v>
      </c>
    </row>
    <row r="177" spans="1:5">
      <c r="A177" t="s">
        <v>7</v>
      </c>
      <c r="B177" t="s">
        <v>31</v>
      </c>
      <c r="C177" t="s">
        <v>9</v>
      </c>
      <c r="D177" t="s">
        <v>10</v>
      </c>
      <c r="E177">
        <v>1935</v>
      </c>
    </row>
    <row r="178" spans="1:5">
      <c r="A178" t="s">
        <v>11</v>
      </c>
      <c r="B178" t="s">
        <v>31</v>
      </c>
      <c r="C178" t="s">
        <v>9</v>
      </c>
      <c r="D178" t="s">
        <v>10</v>
      </c>
      <c r="E178">
        <v>2109</v>
      </c>
    </row>
    <row r="179" spans="1:5">
      <c r="A179" t="s">
        <v>11</v>
      </c>
      <c r="B179" t="s">
        <v>31</v>
      </c>
      <c r="C179" t="s">
        <v>9</v>
      </c>
      <c r="D179" t="s">
        <v>16</v>
      </c>
      <c r="E179">
        <v>6212</v>
      </c>
    </row>
    <row r="180" spans="1:5">
      <c r="A180" t="s">
        <v>13</v>
      </c>
      <c r="B180" t="s">
        <v>31</v>
      </c>
      <c r="C180" t="s">
        <v>9</v>
      </c>
      <c r="D180" t="s">
        <v>19</v>
      </c>
      <c r="E180">
        <v>6671</v>
      </c>
    </row>
    <row r="181" spans="1:5">
      <c r="A181" t="s">
        <v>7</v>
      </c>
      <c r="B181" t="s">
        <v>31</v>
      </c>
      <c r="C181" t="s">
        <v>9</v>
      </c>
      <c r="D181" t="s">
        <v>16</v>
      </c>
      <c r="E181">
        <v>9303</v>
      </c>
    </row>
    <row r="182" spans="1:5">
      <c r="A182" t="s">
        <v>13</v>
      </c>
      <c r="B182" t="s">
        <v>31</v>
      </c>
      <c r="C182" t="s">
        <v>9</v>
      </c>
      <c r="D182" t="s">
        <v>10</v>
      </c>
      <c r="E182">
        <v>10696</v>
      </c>
    </row>
    <row r="183" spans="1:5">
      <c r="A183" t="s">
        <v>13</v>
      </c>
      <c r="B183" t="s">
        <v>31</v>
      </c>
      <c r="C183" t="s">
        <v>9</v>
      </c>
      <c r="D183" t="s">
        <v>12</v>
      </c>
      <c r="E183">
        <v>31920</v>
      </c>
    </row>
    <row r="184" spans="1:5">
      <c r="A184" t="s">
        <v>11</v>
      </c>
      <c r="B184" t="s">
        <v>32</v>
      </c>
      <c r="C184" t="s">
        <v>9</v>
      </c>
      <c r="D184" t="s">
        <v>12</v>
      </c>
      <c r="E184">
        <v>114</v>
      </c>
    </row>
    <row r="185" spans="1:5">
      <c r="A185" t="s">
        <v>14</v>
      </c>
      <c r="B185" t="s">
        <v>32</v>
      </c>
      <c r="C185" t="s">
        <v>9</v>
      </c>
      <c r="D185" t="s">
        <v>10</v>
      </c>
      <c r="E185">
        <v>126</v>
      </c>
    </row>
    <row r="186" spans="1:5">
      <c r="A186" t="s">
        <v>7</v>
      </c>
      <c r="B186" t="s">
        <v>32</v>
      </c>
      <c r="C186" t="s">
        <v>9</v>
      </c>
      <c r="D186" t="s">
        <v>12</v>
      </c>
      <c r="E186">
        <v>185</v>
      </c>
    </row>
    <row r="187" spans="1:5">
      <c r="A187" t="s">
        <v>14</v>
      </c>
      <c r="B187" t="s">
        <v>32</v>
      </c>
      <c r="C187" t="s">
        <v>9</v>
      </c>
      <c r="D187" t="s">
        <v>19</v>
      </c>
      <c r="E187">
        <v>821</v>
      </c>
    </row>
    <row r="188" spans="1:5">
      <c r="A188" t="s">
        <v>11</v>
      </c>
      <c r="B188" t="s">
        <v>32</v>
      </c>
      <c r="C188" t="s">
        <v>9</v>
      </c>
      <c r="D188" t="s">
        <v>10</v>
      </c>
      <c r="E188">
        <v>873</v>
      </c>
    </row>
    <row r="189" spans="1:5">
      <c r="A189" t="s">
        <v>7</v>
      </c>
      <c r="B189" t="s">
        <v>32</v>
      </c>
      <c r="C189" t="s">
        <v>9</v>
      </c>
      <c r="D189" t="s">
        <v>19</v>
      </c>
      <c r="E189">
        <v>2316</v>
      </c>
    </row>
    <row r="190" spans="1:5">
      <c r="A190" t="s">
        <v>7</v>
      </c>
      <c r="B190" t="s">
        <v>32</v>
      </c>
      <c r="C190" t="s">
        <v>9</v>
      </c>
      <c r="D190" t="s">
        <v>10</v>
      </c>
      <c r="E190">
        <v>3383</v>
      </c>
    </row>
    <row r="191" spans="1:5">
      <c r="A191" t="s">
        <v>11</v>
      </c>
      <c r="B191" t="s">
        <v>32</v>
      </c>
      <c r="C191" t="s">
        <v>9</v>
      </c>
      <c r="D191" t="s">
        <v>19</v>
      </c>
      <c r="E191">
        <v>8233</v>
      </c>
    </row>
    <row r="192" spans="1:5">
      <c r="A192" t="s">
        <v>14</v>
      </c>
      <c r="B192" t="s">
        <v>32</v>
      </c>
      <c r="C192" t="s">
        <v>9</v>
      </c>
      <c r="D192" t="s">
        <v>16</v>
      </c>
      <c r="E192">
        <v>8735</v>
      </c>
    </row>
    <row r="193" spans="1:5">
      <c r="A193" t="s">
        <v>13</v>
      </c>
      <c r="B193" t="s">
        <v>32</v>
      </c>
      <c r="C193" t="s">
        <v>9</v>
      </c>
      <c r="D193" t="s">
        <v>19</v>
      </c>
      <c r="E193">
        <v>22049</v>
      </c>
    </row>
    <row r="194" spans="1:5">
      <c r="A194" t="s">
        <v>13</v>
      </c>
      <c r="B194" t="s">
        <v>32</v>
      </c>
      <c r="C194" t="s">
        <v>9</v>
      </c>
      <c r="D194" t="s">
        <v>12</v>
      </c>
      <c r="E194">
        <v>25262</v>
      </c>
    </row>
    <row r="195" spans="1:5">
      <c r="A195" t="s">
        <v>13</v>
      </c>
      <c r="B195" t="s">
        <v>32</v>
      </c>
      <c r="C195" t="s">
        <v>9</v>
      </c>
      <c r="D195" t="s">
        <v>10</v>
      </c>
      <c r="E195">
        <v>36875</v>
      </c>
    </row>
    <row r="196" spans="1:5">
      <c r="A196" t="s">
        <v>11</v>
      </c>
      <c r="B196" t="s">
        <v>32</v>
      </c>
      <c r="C196" t="s">
        <v>9</v>
      </c>
      <c r="D196" t="s">
        <v>16</v>
      </c>
      <c r="E196">
        <v>48268</v>
      </c>
    </row>
    <row r="197" spans="1:5">
      <c r="A197" t="s">
        <v>7</v>
      </c>
      <c r="B197" t="s">
        <v>32</v>
      </c>
      <c r="C197" t="s">
        <v>9</v>
      </c>
      <c r="D197" t="s">
        <v>16</v>
      </c>
      <c r="E197">
        <v>48499</v>
      </c>
    </row>
    <row r="198" spans="1:5">
      <c r="A198" t="s">
        <v>13</v>
      </c>
      <c r="B198" t="s">
        <v>32</v>
      </c>
      <c r="C198" t="s">
        <v>9</v>
      </c>
      <c r="D198" t="s">
        <v>16</v>
      </c>
      <c r="E198">
        <v>122782</v>
      </c>
    </row>
    <row r="199" spans="1:5">
      <c r="A199" t="s">
        <v>11</v>
      </c>
      <c r="B199" t="s">
        <v>33</v>
      </c>
      <c r="C199" t="s">
        <v>9</v>
      </c>
      <c r="D199" t="s">
        <v>19</v>
      </c>
      <c r="E199">
        <v>12</v>
      </c>
    </row>
    <row r="200" spans="1:5">
      <c r="A200" t="s">
        <v>14</v>
      </c>
      <c r="B200" t="s">
        <v>33</v>
      </c>
      <c r="C200" t="s">
        <v>9</v>
      </c>
      <c r="D200" t="s">
        <v>10</v>
      </c>
      <c r="E200">
        <v>40</v>
      </c>
    </row>
    <row r="201" spans="1:5">
      <c r="A201" t="s">
        <v>11</v>
      </c>
      <c r="B201" t="s">
        <v>33</v>
      </c>
      <c r="C201" t="s">
        <v>9</v>
      </c>
      <c r="D201" t="s">
        <v>10</v>
      </c>
      <c r="E201">
        <v>42</v>
      </c>
    </row>
    <row r="202" spans="1:5">
      <c r="A202" t="s">
        <v>7</v>
      </c>
      <c r="B202" t="s">
        <v>33</v>
      </c>
      <c r="C202" t="s">
        <v>9</v>
      </c>
      <c r="D202" t="s">
        <v>19</v>
      </c>
      <c r="E202">
        <v>47</v>
      </c>
    </row>
    <row r="203" spans="1:5">
      <c r="A203" t="s">
        <v>11</v>
      </c>
      <c r="B203" t="s">
        <v>33</v>
      </c>
      <c r="C203" t="s">
        <v>9</v>
      </c>
      <c r="D203" t="s">
        <v>12</v>
      </c>
      <c r="E203">
        <v>74</v>
      </c>
    </row>
    <row r="204" spans="1:5">
      <c r="A204" t="s">
        <v>14</v>
      </c>
      <c r="B204" t="s">
        <v>33</v>
      </c>
      <c r="C204" t="s">
        <v>9</v>
      </c>
      <c r="D204" t="s">
        <v>12</v>
      </c>
      <c r="E204">
        <v>113</v>
      </c>
    </row>
    <row r="205" spans="1:5">
      <c r="A205" t="s">
        <v>7</v>
      </c>
      <c r="B205" t="s">
        <v>33</v>
      </c>
      <c r="C205" t="s">
        <v>9</v>
      </c>
      <c r="D205" t="s">
        <v>12</v>
      </c>
      <c r="E205">
        <v>183</v>
      </c>
    </row>
    <row r="206" spans="1:5">
      <c r="A206" t="s">
        <v>7</v>
      </c>
      <c r="B206" t="s">
        <v>33</v>
      </c>
      <c r="C206" t="s">
        <v>9</v>
      </c>
      <c r="D206" t="s">
        <v>10</v>
      </c>
      <c r="E206">
        <v>304</v>
      </c>
    </row>
    <row r="207" spans="1:5">
      <c r="A207" t="s">
        <v>14</v>
      </c>
      <c r="B207" t="s">
        <v>33</v>
      </c>
      <c r="C207" t="s">
        <v>9</v>
      </c>
      <c r="D207" t="s">
        <v>19</v>
      </c>
      <c r="E207">
        <v>333</v>
      </c>
    </row>
    <row r="208" spans="1:5">
      <c r="A208" t="s">
        <v>14</v>
      </c>
      <c r="B208" t="s">
        <v>33</v>
      </c>
      <c r="C208" t="s">
        <v>9</v>
      </c>
      <c r="D208" t="s">
        <v>16</v>
      </c>
      <c r="E208">
        <v>402</v>
      </c>
    </row>
    <row r="209" spans="1:5">
      <c r="A209" t="s">
        <v>13</v>
      </c>
      <c r="B209" t="s">
        <v>33</v>
      </c>
      <c r="C209" t="s">
        <v>9</v>
      </c>
      <c r="D209" t="s">
        <v>16</v>
      </c>
      <c r="E209">
        <v>772</v>
      </c>
    </row>
    <row r="210" spans="1:5">
      <c r="A210" t="s">
        <v>13</v>
      </c>
      <c r="B210" t="s">
        <v>33</v>
      </c>
      <c r="C210" t="s">
        <v>9</v>
      </c>
      <c r="D210" t="s">
        <v>19</v>
      </c>
      <c r="E210">
        <v>791</v>
      </c>
    </row>
    <row r="211" spans="1:5">
      <c r="A211" t="s">
        <v>11</v>
      </c>
      <c r="B211" t="s">
        <v>33</v>
      </c>
      <c r="C211" t="s">
        <v>9</v>
      </c>
      <c r="D211" t="s">
        <v>16</v>
      </c>
      <c r="E211">
        <v>846</v>
      </c>
    </row>
    <row r="212" spans="1:5">
      <c r="A212" t="s">
        <v>13</v>
      </c>
      <c r="B212" t="s">
        <v>33</v>
      </c>
      <c r="C212" t="s">
        <v>9</v>
      </c>
      <c r="D212" t="s">
        <v>10</v>
      </c>
      <c r="E212">
        <v>1187</v>
      </c>
    </row>
    <row r="213" spans="1:5">
      <c r="A213" t="s">
        <v>7</v>
      </c>
      <c r="B213" t="s">
        <v>33</v>
      </c>
      <c r="C213" t="s">
        <v>9</v>
      </c>
      <c r="D213" t="s">
        <v>16</v>
      </c>
      <c r="E213">
        <v>1256</v>
      </c>
    </row>
    <row r="214" spans="1:5">
      <c r="A214" t="s">
        <v>13</v>
      </c>
      <c r="B214" t="s">
        <v>33</v>
      </c>
      <c r="C214" t="s">
        <v>9</v>
      </c>
      <c r="D214" t="s">
        <v>12</v>
      </c>
      <c r="E214">
        <v>1286</v>
      </c>
    </row>
    <row r="215" spans="1:5">
      <c r="A215" t="s">
        <v>7</v>
      </c>
      <c r="B215" t="s">
        <v>34</v>
      </c>
      <c r="C215" t="s">
        <v>9</v>
      </c>
      <c r="D215" t="s">
        <v>19</v>
      </c>
      <c r="E215">
        <v>5</v>
      </c>
    </row>
    <row r="216" spans="1:5">
      <c r="A216" t="s">
        <v>14</v>
      </c>
      <c r="B216" t="s">
        <v>34</v>
      </c>
      <c r="C216" t="s">
        <v>9</v>
      </c>
      <c r="D216" t="s">
        <v>19</v>
      </c>
      <c r="E216">
        <v>18</v>
      </c>
    </row>
    <row r="217" spans="1:5">
      <c r="A217" t="s">
        <v>11</v>
      </c>
      <c r="B217" t="s">
        <v>34</v>
      </c>
      <c r="C217" t="s">
        <v>9</v>
      </c>
      <c r="D217" t="s">
        <v>19</v>
      </c>
      <c r="E217">
        <v>52</v>
      </c>
    </row>
    <row r="218" spans="1:5">
      <c r="A218" t="s">
        <v>11</v>
      </c>
      <c r="B218" t="s">
        <v>34</v>
      </c>
      <c r="C218" t="s">
        <v>9</v>
      </c>
      <c r="D218" t="s">
        <v>10</v>
      </c>
      <c r="E218">
        <v>100</v>
      </c>
    </row>
    <row r="219" spans="1:5">
      <c r="A219" t="s">
        <v>14</v>
      </c>
      <c r="B219" t="s">
        <v>34</v>
      </c>
      <c r="C219" t="s">
        <v>9</v>
      </c>
      <c r="D219" t="s">
        <v>10</v>
      </c>
      <c r="E219">
        <v>173</v>
      </c>
    </row>
    <row r="220" spans="1:5">
      <c r="A220" t="s">
        <v>13</v>
      </c>
      <c r="B220" t="s">
        <v>34</v>
      </c>
      <c r="C220" t="s">
        <v>9</v>
      </c>
      <c r="D220" t="s">
        <v>19</v>
      </c>
      <c r="E220">
        <v>519</v>
      </c>
    </row>
    <row r="221" spans="1:5">
      <c r="A221" t="s">
        <v>11</v>
      </c>
      <c r="B221" t="s">
        <v>34</v>
      </c>
      <c r="C221" t="s">
        <v>9</v>
      </c>
      <c r="D221" t="s">
        <v>12</v>
      </c>
      <c r="E221">
        <v>695</v>
      </c>
    </row>
    <row r="222" spans="1:5">
      <c r="A222" t="s">
        <v>14</v>
      </c>
      <c r="B222" t="s">
        <v>34</v>
      </c>
      <c r="C222" t="s">
        <v>9</v>
      </c>
      <c r="D222" t="s">
        <v>12</v>
      </c>
      <c r="E222">
        <v>776</v>
      </c>
    </row>
    <row r="223" spans="1:5">
      <c r="A223" t="s">
        <v>7</v>
      </c>
      <c r="B223" t="s">
        <v>34</v>
      </c>
      <c r="C223" t="s">
        <v>9</v>
      </c>
      <c r="D223" t="s">
        <v>12</v>
      </c>
      <c r="E223">
        <v>800</v>
      </c>
    </row>
    <row r="224" spans="1:5">
      <c r="A224" t="s">
        <v>14</v>
      </c>
      <c r="B224" t="s">
        <v>34</v>
      </c>
      <c r="C224" t="s">
        <v>9</v>
      </c>
      <c r="D224" t="s">
        <v>16</v>
      </c>
      <c r="E224">
        <v>946</v>
      </c>
    </row>
    <row r="225" spans="1:5">
      <c r="A225" t="s">
        <v>11</v>
      </c>
      <c r="B225" t="s">
        <v>34</v>
      </c>
      <c r="C225" t="s">
        <v>9</v>
      </c>
      <c r="D225" t="s">
        <v>16</v>
      </c>
      <c r="E225">
        <v>1419</v>
      </c>
    </row>
    <row r="226" spans="1:5">
      <c r="A226" t="s">
        <v>7</v>
      </c>
      <c r="B226" t="s">
        <v>34</v>
      </c>
      <c r="C226" t="s">
        <v>9</v>
      </c>
      <c r="D226" t="s">
        <v>10</v>
      </c>
      <c r="E226">
        <v>2176</v>
      </c>
    </row>
    <row r="227" spans="1:5">
      <c r="A227" t="s">
        <v>7</v>
      </c>
      <c r="B227" t="s">
        <v>34</v>
      </c>
      <c r="C227" t="s">
        <v>9</v>
      </c>
      <c r="D227" t="s">
        <v>16</v>
      </c>
      <c r="E227">
        <v>3280</v>
      </c>
    </row>
    <row r="228" spans="1:5">
      <c r="A228" t="s">
        <v>13</v>
      </c>
      <c r="B228" t="s">
        <v>34</v>
      </c>
      <c r="C228" t="s">
        <v>9</v>
      </c>
      <c r="D228" t="s">
        <v>12</v>
      </c>
      <c r="E228">
        <v>4718</v>
      </c>
    </row>
    <row r="229" spans="1:5">
      <c r="A229" t="s">
        <v>13</v>
      </c>
      <c r="B229" t="s">
        <v>34</v>
      </c>
      <c r="C229" t="s">
        <v>9</v>
      </c>
      <c r="D229" t="s">
        <v>10</v>
      </c>
      <c r="E229">
        <v>6306</v>
      </c>
    </row>
    <row r="230" spans="1:5">
      <c r="A230" t="s">
        <v>13</v>
      </c>
      <c r="B230" t="s">
        <v>34</v>
      </c>
      <c r="C230" t="s">
        <v>9</v>
      </c>
      <c r="D230" t="s">
        <v>16</v>
      </c>
      <c r="E230">
        <v>10831</v>
      </c>
    </row>
    <row r="231" spans="1:5">
      <c r="A231" t="s">
        <v>11</v>
      </c>
      <c r="B231" t="s">
        <v>35</v>
      </c>
      <c r="C231" t="s">
        <v>9</v>
      </c>
      <c r="D231" t="s">
        <v>12</v>
      </c>
      <c r="E231">
        <v>9</v>
      </c>
    </row>
    <row r="232" spans="1:5">
      <c r="A232" t="s">
        <v>7</v>
      </c>
      <c r="B232" t="s">
        <v>35</v>
      </c>
      <c r="C232" t="s">
        <v>9</v>
      </c>
      <c r="D232" t="s">
        <v>12</v>
      </c>
      <c r="E232">
        <v>46</v>
      </c>
    </row>
    <row r="233" spans="1:5">
      <c r="A233" t="s">
        <v>11</v>
      </c>
      <c r="B233" t="s">
        <v>35</v>
      </c>
      <c r="C233" t="s">
        <v>9</v>
      </c>
      <c r="D233" t="s">
        <v>10</v>
      </c>
      <c r="E233">
        <v>48</v>
      </c>
    </row>
    <row r="234" spans="1:5">
      <c r="A234" t="s">
        <v>14</v>
      </c>
      <c r="B234" t="s">
        <v>35</v>
      </c>
      <c r="C234" t="s">
        <v>9</v>
      </c>
      <c r="D234" t="s">
        <v>15</v>
      </c>
      <c r="E234">
        <v>75</v>
      </c>
    </row>
    <row r="235" spans="1:5">
      <c r="A235" t="s">
        <v>7</v>
      </c>
      <c r="B235" t="s">
        <v>35</v>
      </c>
      <c r="C235" t="s">
        <v>9</v>
      </c>
      <c r="D235" t="s">
        <v>10</v>
      </c>
      <c r="E235">
        <v>85</v>
      </c>
    </row>
    <row r="236" spans="1:5">
      <c r="A236" t="s">
        <v>13</v>
      </c>
      <c r="B236" t="s">
        <v>35</v>
      </c>
      <c r="C236" t="s">
        <v>9</v>
      </c>
      <c r="D236" t="s">
        <v>12</v>
      </c>
      <c r="E236">
        <v>252</v>
      </c>
    </row>
    <row r="237" spans="1:5">
      <c r="A237" t="s">
        <v>7</v>
      </c>
      <c r="B237" t="s">
        <v>35</v>
      </c>
      <c r="C237" t="s">
        <v>9</v>
      </c>
      <c r="D237" t="s">
        <v>19</v>
      </c>
      <c r="E237">
        <v>296</v>
      </c>
    </row>
    <row r="238" spans="1:5">
      <c r="A238" t="s">
        <v>11</v>
      </c>
      <c r="B238" t="s">
        <v>35</v>
      </c>
      <c r="C238" t="s">
        <v>9</v>
      </c>
      <c r="D238" t="s">
        <v>16</v>
      </c>
      <c r="E238">
        <v>365</v>
      </c>
    </row>
    <row r="239" spans="1:5">
      <c r="A239" t="s">
        <v>11</v>
      </c>
      <c r="B239" t="s">
        <v>35</v>
      </c>
      <c r="C239" t="s">
        <v>9</v>
      </c>
      <c r="D239" t="s">
        <v>19</v>
      </c>
      <c r="E239">
        <v>410</v>
      </c>
    </row>
    <row r="240" spans="1:5">
      <c r="A240" t="s">
        <v>13</v>
      </c>
      <c r="B240" t="s">
        <v>35</v>
      </c>
      <c r="C240" t="s">
        <v>9</v>
      </c>
      <c r="D240" t="s">
        <v>10</v>
      </c>
      <c r="E240">
        <v>451</v>
      </c>
    </row>
    <row r="241" spans="1:5">
      <c r="A241" t="s">
        <v>7</v>
      </c>
      <c r="B241" t="s">
        <v>35</v>
      </c>
      <c r="C241" t="s">
        <v>9</v>
      </c>
      <c r="D241" t="s">
        <v>16</v>
      </c>
      <c r="E241">
        <v>995</v>
      </c>
    </row>
    <row r="242" spans="1:5">
      <c r="A242" t="s">
        <v>11</v>
      </c>
      <c r="B242" t="s">
        <v>35</v>
      </c>
      <c r="C242" t="s">
        <v>9</v>
      </c>
      <c r="D242" t="s">
        <v>15</v>
      </c>
      <c r="E242">
        <v>1333</v>
      </c>
    </row>
    <row r="243" spans="1:5">
      <c r="A243" t="s">
        <v>7</v>
      </c>
      <c r="B243" t="s">
        <v>35</v>
      </c>
      <c r="C243" t="s">
        <v>9</v>
      </c>
      <c r="D243" t="s">
        <v>15</v>
      </c>
      <c r="E243">
        <v>1956</v>
      </c>
    </row>
    <row r="244" spans="1:5">
      <c r="A244" t="s">
        <v>13</v>
      </c>
      <c r="B244" t="s">
        <v>35</v>
      </c>
      <c r="C244" t="s">
        <v>9</v>
      </c>
      <c r="D244" t="s">
        <v>16</v>
      </c>
      <c r="E244">
        <v>2289</v>
      </c>
    </row>
    <row r="245" spans="1:5">
      <c r="A245" t="s">
        <v>13</v>
      </c>
      <c r="B245" t="s">
        <v>35</v>
      </c>
      <c r="C245" t="s">
        <v>9</v>
      </c>
      <c r="D245" t="s">
        <v>19</v>
      </c>
      <c r="E245">
        <v>3485</v>
      </c>
    </row>
    <row r="246" spans="1:5">
      <c r="A246" t="s">
        <v>13</v>
      </c>
      <c r="B246" t="s">
        <v>35</v>
      </c>
      <c r="C246" t="s">
        <v>9</v>
      </c>
      <c r="D246" t="s">
        <v>15</v>
      </c>
      <c r="E246">
        <v>11801</v>
      </c>
    </row>
    <row r="247" spans="1:5">
      <c r="A247" t="s">
        <v>14</v>
      </c>
      <c r="B247" t="s">
        <v>36</v>
      </c>
      <c r="C247" t="s">
        <v>9</v>
      </c>
      <c r="D247" t="s">
        <v>16</v>
      </c>
      <c r="E247">
        <v>10</v>
      </c>
    </row>
    <row r="248" spans="1:5">
      <c r="A248" t="s">
        <v>13</v>
      </c>
      <c r="B248" t="s">
        <v>36</v>
      </c>
      <c r="C248" t="s">
        <v>9</v>
      </c>
      <c r="D248" t="s">
        <v>12</v>
      </c>
      <c r="E248">
        <v>86</v>
      </c>
    </row>
    <row r="249" spans="1:5">
      <c r="A249" t="s">
        <v>14</v>
      </c>
      <c r="B249" t="s">
        <v>36</v>
      </c>
      <c r="C249" t="s">
        <v>9</v>
      </c>
      <c r="D249" t="s">
        <v>10</v>
      </c>
      <c r="E249">
        <v>474</v>
      </c>
    </row>
    <row r="250" spans="1:5">
      <c r="A250" t="s">
        <v>11</v>
      </c>
      <c r="B250" t="s">
        <v>36</v>
      </c>
      <c r="C250" t="s">
        <v>9</v>
      </c>
      <c r="D250" t="s">
        <v>10</v>
      </c>
      <c r="E250">
        <v>2534</v>
      </c>
    </row>
    <row r="251" spans="1:5">
      <c r="A251" t="s">
        <v>11</v>
      </c>
      <c r="B251" t="s">
        <v>36</v>
      </c>
      <c r="C251" t="s">
        <v>9</v>
      </c>
      <c r="D251" t="s">
        <v>12</v>
      </c>
      <c r="E251">
        <v>3643</v>
      </c>
    </row>
    <row r="252" spans="1:5">
      <c r="A252" t="s">
        <v>11</v>
      </c>
      <c r="B252" t="s">
        <v>36</v>
      </c>
      <c r="C252" t="s">
        <v>9</v>
      </c>
      <c r="D252" t="s">
        <v>16</v>
      </c>
      <c r="E252">
        <v>4282</v>
      </c>
    </row>
    <row r="253" spans="1:5">
      <c r="A253" t="s">
        <v>7</v>
      </c>
      <c r="B253" t="s">
        <v>36</v>
      </c>
      <c r="C253" t="s">
        <v>9</v>
      </c>
      <c r="D253" t="s">
        <v>10</v>
      </c>
      <c r="E253">
        <v>4356</v>
      </c>
    </row>
    <row r="254" spans="1:5">
      <c r="A254" t="s">
        <v>7</v>
      </c>
      <c r="B254" t="s">
        <v>36</v>
      </c>
      <c r="C254" t="s">
        <v>9</v>
      </c>
      <c r="D254" t="s">
        <v>16</v>
      </c>
      <c r="E254">
        <v>5510</v>
      </c>
    </row>
    <row r="255" spans="1:5">
      <c r="A255" t="s">
        <v>13</v>
      </c>
      <c r="B255" t="s">
        <v>36</v>
      </c>
      <c r="C255" t="s">
        <v>9</v>
      </c>
      <c r="D255" t="s">
        <v>16</v>
      </c>
      <c r="E255">
        <v>10372</v>
      </c>
    </row>
    <row r="256" spans="1:5">
      <c r="A256" t="s">
        <v>13</v>
      </c>
      <c r="B256" t="s">
        <v>36</v>
      </c>
      <c r="C256" t="s">
        <v>9</v>
      </c>
      <c r="D256" t="s">
        <v>10</v>
      </c>
      <c r="E256">
        <v>15711</v>
      </c>
    </row>
    <row r="257" spans="1:5">
      <c r="A257" t="s">
        <v>11</v>
      </c>
      <c r="B257" t="s">
        <v>37</v>
      </c>
      <c r="C257" t="s">
        <v>9</v>
      </c>
      <c r="D257" t="s">
        <v>19</v>
      </c>
      <c r="E257">
        <v>35</v>
      </c>
    </row>
    <row r="258" spans="1:5">
      <c r="A258" t="s">
        <v>7</v>
      </c>
      <c r="B258" t="s">
        <v>37</v>
      </c>
      <c r="C258" t="s">
        <v>9</v>
      </c>
      <c r="D258" t="s">
        <v>19</v>
      </c>
      <c r="E258">
        <v>38</v>
      </c>
    </row>
    <row r="259" spans="1:5">
      <c r="A259" t="s">
        <v>14</v>
      </c>
      <c r="B259" t="s">
        <v>37</v>
      </c>
      <c r="C259" t="s">
        <v>9</v>
      </c>
      <c r="D259" t="s">
        <v>19</v>
      </c>
      <c r="E259">
        <v>45</v>
      </c>
    </row>
    <row r="260" spans="1:5">
      <c r="A260" t="s">
        <v>14</v>
      </c>
      <c r="B260" t="s">
        <v>37</v>
      </c>
      <c r="C260" t="s">
        <v>9</v>
      </c>
      <c r="D260" t="s">
        <v>10</v>
      </c>
      <c r="E260">
        <v>57</v>
      </c>
    </row>
    <row r="261" spans="1:5">
      <c r="A261" t="s">
        <v>13</v>
      </c>
      <c r="B261" t="s">
        <v>37</v>
      </c>
      <c r="C261" t="s">
        <v>9</v>
      </c>
      <c r="D261" t="s">
        <v>19</v>
      </c>
      <c r="E261">
        <v>163</v>
      </c>
    </row>
    <row r="262" spans="1:5">
      <c r="A262" t="s">
        <v>14</v>
      </c>
      <c r="B262" t="s">
        <v>37</v>
      </c>
      <c r="C262" t="s">
        <v>9</v>
      </c>
      <c r="D262" t="s">
        <v>12</v>
      </c>
      <c r="E262">
        <v>375</v>
      </c>
    </row>
    <row r="263" spans="1:5">
      <c r="A263" t="s">
        <v>11</v>
      </c>
      <c r="B263" t="s">
        <v>37</v>
      </c>
      <c r="C263" t="s">
        <v>9</v>
      </c>
      <c r="D263" t="s">
        <v>10</v>
      </c>
      <c r="E263">
        <v>898</v>
      </c>
    </row>
    <row r="264" spans="1:5">
      <c r="A264" t="s">
        <v>14</v>
      </c>
      <c r="B264" t="s">
        <v>37</v>
      </c>
      <c r="C264" t="s">
        <v>9</v>
      </c>
      <c r="D264" t="s">
        <v>16</v>
      </c>
      <c r="E264">
        <v>1091</v>
      </c>
    </row>
    <row r="265" spans="1:5">
      <c r="A265" t="s">
        <v>11</v>
      </c>
      <c r="B265" t="s">
        <v>37</v>
      </c>
      <c r="C265" t="s">
        <v>9</v>
      </c>
      <c r="D265" t="s">
        <v>12</v>
      </c>
      <c r="E265">
        <v>2470</v>
      </c>
    </row>
    <row r="266" spans="1:5">
      <c r="A266" t="s">
        <v>7</v>
      </c>
      <c r="B266" t="s">
        <v>37</v>
      </c>
      <c r="C266" t="s">
        <v>9</v>
      </c>
      <c r="D266" t="s">
        <v>12</v>
      </c>
      <c r="E266">
        <v>2578</v>
      </c>
    </row>
    <row r="267" spans="1:5">
      <c r="A267" t="s">
        <v>7</v>
      </c>
      <c r="B267" t="s">
        <v>37</v>
      </c>
      <c r="C267" t="s">
        <v>9</v>
      </c>
      <c r="D267" t="s">
        <v>10</v>
      </c>
      <c r="E267">
        <v>2622</v>
      </c>
    </row>
    <row r="268" spans="1:5">
      <c r="A268" t="s">
        <v>11</v>
      </c>
      <c r="B268" t="s">
        <v>37</v>
      </c>
      <c r="C268" t="s">
        <v>9</v>
      </c>
      <c r="D268" t="s">
        <v>16</v>
      </c>
      <c r="E268">
        <v>3028</v>
      </c>
    </row>
    <row r="269" spans="1:5">
      <c r="A269" t="s">
        <v>7</v>
      </c>
      <c r="B269" t="s">
        <v>37</v>
      </c>
      <c r="C269" t="s">
        <v>9</v>
      </c>
      <c r="D269" t="s">
        <v>16</v>
      </c>
      <c r="E269">
        <v>3761</v>
      </c>
    </row>
    <row r="270" spans="1:5">
      <c r="A270" t="s">
        <v>13</v>
      </c>
      <c r="B270" t="s">
        <v>37</v>
      </c>
      <c r="C270" t="s">
        <v>9</v>
      </c>
      <c r="D270" t="s">
        <v>10</v>
      </c>
      <c r="E270">
        <v>4958</v>
      </c>
    </row>
    <row r="271" spans="1:5">
      <c r="A271" t="s">
        <v>13</v>
      </c>
      <c r="B271" t="s">
        <v>37</v>
      </c>
      <c r="C271" t="s">
        <v>9</v>
      </c>
      <c r="D271" t="s">
        <v>16</v>
      </c>
      <c r="E271">
        <v>6713</v>
      </c>
    </row>
    <row r="272" spans="1:5">
      <c r="A272" t="s">
        <v>13</v>
      </c>
      <c r="B272" t="s">
        <v>37</v>
      </c>
      <c r="C272" t="s">
        <v>9</v>
      </c>
      <c r="D272" t="s">
        <v>12</v>
      </c>
      <c r="E272">
        <v>9187</v>
      </c>
    </row>
    <row r="273" spans="1:5">
      <c r="A273" t="s">
        <v>13</v>
      </c>
      <c r="B273" t="s">
        <v>38</v>
      </c>
      <c r="C273" t="s">
        <v>9</v>
      </c>
      <c r="D273" t="s">
        <v>12</v>
      </c>
      <c r="E273">
        <v>1</v>
      </c>
    </row>
    <row r="274" spans="1:5">
      <c r="A274" t="s">
        <v>11</v>
      </c>
      <c r="B274" t="s">
        <v>38</v>
      </c>
      <c r="C274" t="s">
        <v>9</v>
      </c>
      <c r="D274" t="s">
        <v>12</v>
      </c>
      <c r="E274">
        <v>1</v>
      </c>
    </row>
    <row r="275" spans="1:5">
      <c r="A275" t="s">
        <v>14</v>
      </c>
      <c r="B275" t="s">
        <v>38</v>
      </c>
      <c r="C275" t="s">
        <v>9</v>
      </c>
      <c r="D275" t="s">
        <v>12</v>
      </c>
      <c r="E275">
        <v>1</v>
      </c>
    </row>
    <row r="276" spans="1:5">
      <c r="A276" t="s">
        <v>11</v>
      </c>
      <c r="B276" t="s">
        <v>38</v>
      </c>
      <c r="C276" t="s">
        <v>9</v>
      </c>
      <c r="D276" t="s">
        <v>10</v>
      </c>
      <c r="E276">
        <v>5</v>
      </c>
    </row>
    <row r="277" spans="1:5">
      <c r="A277" t="s">
        <v>7</v>
      </c>
      <c r="B277" t="s">
        <v>38</v>
      </c>
      <c r="C277" t="s">
        <v>9</v>
      </c>
      <c r="D277" t="s">
        <v>12</v>
      </c>
      <c r="E277">
        <v>7</v>
      </c>
    </row>
    <row r="278" spans="1:5">
      <c r="A278" t="s">
        <v>13</v>
      </c>
      <c r="B278" t="s">
        <v>38</v>
      </c>
      <c r="C278" t="s">
        <v>9</v>
      </c>
      <c r="D278" t="s">
        <v>10</v>
      </c>
      <c r="E278">
        <v>78</v>
      </c>
    </row>
    <row r="279" spans="1:5">
      <c r="A279" t="s">
        <v>14</v>
      </c>
      <c r="B279" t="s">
        <v>38</v>
      </c>
      <c r="C279" t="s">
        <v>9</v>
      </c>
      <c r="D279" t="s">
        <v>19</v>
      </c>
      <c r="E279">
        <v>90</v>
      </c>
    </row>
    <row r="280" spans="1:5">
      <c r="A280" t="s">
        <v>7</v>
      </c>
      <c r="B280" t="s">
        <v>38</v>
      </c>
      <c r="C280" t="s">
        <v>9</v>
      </c>
      <c r="D280" t="s">
        <v>10</v>
      </c>
      <c r="E280">
        <v>100</v>
      </c>
    </row>
    <row r="281" spans="1:5">
      <c r="A281" t="s">
        <v>7</v>
      </c>
      <c r="B281" t="s">
        <v>38</v>
      </c>
      <c r="C281" t="s">
        <v>9</v>
      </c>
      <c r="D281" t="s">
        <v>19</v>
      </c>
      <c r="E281">
        <v>651</v>
      </c>
    </row>
    <row r="282" spans="1:5">
      <c r="A282" t="s">
        <v>14</v>
      </c>
      <c r="B282" t="s">
        <v>38</v>
      </c>
      <c r="C282" t="s">
        <v>9</v>
      </c>
      <c r="D282" t="s">
        <v>16</v>
      </c>
      <c r="E282">
        <v>829</v>
      </c>
    </row>
    <row r="283" spans="1:5">
      <c r="A283" t="s">
        <v>11</v>
      </c>
      <c r="B283" t="s">
        <v>38</v>
      </c>
      <c r="C283" t="s">
        <v>9</v>
      </c>
      <c r="D283" t="s">
        <v>19</v>
      </c>
      <c r="E283">
        <v>993</v>
      </c>
    </row>
    <row r="284" spans="1:5">
      <c r="A284" t="s">
        <v>7</v>
      </c>
      <c r="B284" t="s">
        <v>38</v>
      </c>
      <c r="C284" t="s">
        <v>9</v>
      </c>
      <c r="D284" t="s">
        <v>16</v>
      </c>
      <c r="E284">
        <v>3098</v>
      </c>
    </row>
    <row r="285" spans="1:5">
      <c r="A285" t="s">
        <v>11</v>
      </c>
      <c r="B285" t="s">
        <v>38</v>
      </c>
      <c r="C285" t="s">
        <v>9</v>
      </c>
      <c r="D285" t="s">
        <v>16</v>
      </c>
      <c r="E285">
        <v>3425</v>
      </c>
    </row>
    <row r="286" spans="1:5">
      <c r="A286" t="s">
        <v>13</v>
      </c>
      <c r="B286" t="s">
        <v>38</v>
      </c>
      <c r="C286" t="s">
        <v>9</v>
      </c>
      <c r="D286" t="s">
        <v>19</v>
      </c>
      <c r="E286">
        <v>3534</v>
      </c>
    </row>
    <row r="287" spans="1:5">
      <c r="A287" t="s">
        <v>13</v>
      </c>
      <c r="B287" t="s">
        <v>38</v>
      </c>
      <c r="C287" t="s">
        <v>9</v>
      </c>
      <c r="D287" t="s">
        <v>16</v>
      </c>
      <c r="E287">
        <v>9662</v>
      </c>
    </row>
    <row r="288" spans="1:5">
      <c r="A288" t="s">
        <v>13</v>
      </c>
      <c r="B288" t="s">
        <v>39</v>
      </c>
      <c r="C288" t="s">
        <v>9</v>
      </c>
      <c r="D288" t="s">
        <v>16</v>
      </c>
      <c r="E288">
        <v>375911</v>
      </c>
    </row>
    <row r="289" spans="1:5">
      <c r="A289" t="s">
        <v>13</v>
      </c>
      <c r="B289" t="s">
        <v>39</v>
      </c>
      <c r="C289" t="s">
        <v>9</v>
      </c>
      <c r="D289" t="s">
        <v>10</v>
      </c>
      <c r="E289">
        <v>142931</v>
      </c>
    </row>
    <row r="290" spans="1:5">
      <c r="A290" t="s">
        <v>13</v>
      </c>
      <c r="B290" t="s">
        <v>39</v>
      </c>
      <c r="C290" t="s">
        <v>9</v>
      </c>
      <c r="D290" t="s">
        <v>12</v>
      </c>
      <c r="E290">
        <v>156300</v>
      </c>
    </row>
    <row r="291" spans="1:5">
      <c r="A291" t="s">
        <v>13</v>
      </c>
      <c r="B291" t="s">
        <v>39</v>
      </c>
      <c r="C291" t="s">
        <v>9</v>
      </c>
      <c r="D291" t="s">
        <v>19</v>
      </c>
      <c r="E291">
        <v>82819</v>
      </c>
    </row>
    <row r="292" spans="1:5">
      <c r="A292" t="s">
        <v>13</v>
      </c>
      <c r="B292" t="s">
        <v>39</v>
      </c>
      <c r="C292" t="s">
        <v>9</v>
      </c>
      <c r="D292" t="s">
        <v>15</v>
      </c>
      <c r="E292">
        <v>14715</v>
      </c>
    </row>
    <row r="293" spans="1:5">
      <c r="A293" t="s">
        <v>7</v>
      </c>
      <c r="B293" t="s">
        <v>39</v>
      </c>
      <c r="C293" t="s">
        <v>9</v>
      </c>
      <c r="D293" t="s">
        <v>16</v>
      </c>
      <c r="E293">
        <v>184009</v>
      </c>
    </row>
    <row r="294" spans="1:5">
      <c r="A294" t="s">
        <v>7</v>
      </c>
      <c r="B294" t="s">
        <v>39</v>
      </c>
      <c r="C294" t="s">
        <v>9</v>
      </c>
      <c r="D294" t="s">
        <v>10</v>
      </c>
      <c r="E294">
        <v>22887</v>
      </c>
    </row>
    <row r="295" spans="1:5">
      <c r="A295" t="s">
        <v>7</v>
      </c>
      <c r="B295" t="s">
        <v>39</v>
      </c>
      <c r="C295" t="s">
        <v>9</v>
      </c>
      <c r="D295" t="s">
        <v>12</v>
      </c>
      <c r="E295">
        <v>21573</v>
      </c>
    </row>
    <row r="296" spans="1:5">
      <c r="A296" t="s">
        <v>7</v>
      </c>
      <c r="B296" t="s">
        <v>39</v>
      </c>
      <c r="C296" t="s">
        <v>9</v>
      </c>
      <c r="D296" t="s">
        <v>19</v>
      </c>
      <c r="E296">
        <v>18554</v>
      </c>
    </row>
    <row r="297" spans="1:5">
      <c r="A297" t="s">
        <v>7</v>
      </c>
      <c r="B297" t="s">
        <v>39</v>
      </c>
      <c r="C297" t="s">
        <v>9</v>
      </c>
      <c r="D297" t="s">
        <v>15</v>
      </c>
      <c r="E297">
        <v>5247</v>
      </c>
    </row>
    <row r="298" spans="1:5">
      <c r="A298" t="s">
        <v>11</v>
      </c>
      <c r="B298" t="s">
        <v>39</v>
      </c>
      <c r="C298" t="s">
        <v>9</v>
      </c>
      <c r="D298" t="s">
        <v>16</v>
      </c>
      <c r="E298">
        <v>160910</v>
      </c>
    </row>
    <row r="299" spans="1:5">
      <c r="A299" t="s">
        <v>11</v>
      </c>
      <c r="B299" t="s">
        <v>39</v>
      </c>
      <c r="C299" t="s">
        <v>9</v>
      </c>
      <c r="D299" t="s">
        <v>10</v>
      </c>
      <c r="E299">
        <v>11277</v>
      </c>
    </row>
    <row r="300" spans="1:5">
      <c r="A300" t="s">
        <v>11</v>
      </c>
      <c r="B300" t="s">
        <v>39</v>
      </c>
      <c r="C300" t="s">
        <v>9</v>
      </c>
      <c r="D300" t="s">
        <v>12</v>
      </c>
      <c r="E300">
        <v>26140</v>
      </c>
    </row>
    <row r="301" spans="1:5">
      <c r="A301" t="s">
        <v>11</v>
      </c>
      <c r="B301" t="s">
        <v>39</v>
      </c>
      <c r="C301" t="s">
        <v>9</v>
      </c>
      <c r="D301" t="s">
        <v>19</v>
      </c>
      <c r="E301">
        <v>27765</v>
      </c>
    </row>
    <row r="302" spans="1:5">
      <c r="A302" t="s">
        <v>11</v>
      </c>
      <c r="B302" t="s">
        <v>39</v>
      </c>
      <c r="C302" t="s">
        <v>9</v>
      </c>
      <c r="D302" t="s">
        <v>15</v>
      </c>
      <c r="E302">
        <v>836</v>
      </c>
    </row>
    <row r="303" spans="1:5">
      <c r="A303" t="s">
        <v>14</v>
      </c>
      <c r="B303" t="s">
        <v>39</v>
      </c>
      <c r="C303" t="s">
        <v>9</v>
      </c>
      <c r="D303" t="s">
        <v>16</v>
      </c>
      <c r="E303">
        <v>29986</v>
      </c>
    </row>
    <row r="304" spans="1:5">
      <c r="A304" t="s">
        <v>14</v>
      </c>
      <c r="B304" t="s">
        <v>39</v>
      </c>
      <c r="C304" t="s">
        <v>9</v>
      </c>
      <c r="D304" t="s">
        <v>10</v>
      </c>
      <c r="E304">
        <v>1572</v>
      </c>
    </row>
    <row r="305" spans="1:5">
      <c r="A305" t="s">
        <v>14</v>
      </c>
      <c r="B305" t="s">
        <v>39</v>
      </c>
      <c r="C305" t="s">
        <v>9</v>
      </c>
      <c r="D305" t="s">
        <v>12</v>
      </c>
      <c r="E305">
        <v>4051</v>
      </c>
    </row>
    <row r="306" spans="1:5">
      <c r="A306" t="s">
        <v>14</v>
      </c>
      <c r="B306" t="s">
        <v>39</v>
      </c>
      <c r="C306" t="s">
        <v>9</v>
      </c>
      <c r="D306" t="s">
        <v>19</v>
      </c>
      <c r="E306">
        <v>5139</v>
      </c>
    </row>
    <row r="307" spans="1:5">
      <c r="A307" t="s">
        <v>14</v>
      </c>
      <c r="B307" t="s">
        <v>39</v>
      </c>
      <c r="C307" t="s">
        <v>9</v>
      </c>
      <c r="D307" t="s">
        <v>15</v>
      </c>
      <c r="E307">
        <v>3082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7" sqref="A7"/>
      <pivotSelection pane="bottomRight" showHeader="1" activeRow="6" previousRow="6" click="1" r:id="rId1">
        <pivotArea type="origin" dataOnly="0" labelOnly="1" outline="0" fieldPosition="0"/>
      </pivotSelection>
    </sheetView>
  </sheetViews>
  <sheetFormatPr defaultColWidth="11.3984375" defaultRowHeight="11.5"/>
  <cols>
    <col min="1" max="1" width="29.69921875" bestFit="1" customWidth="1"/>
    <col min="2" max="3" width="18.09765625" customWidth="1"/>
    <col min="4" max="6" width="18.09765625" bestFit="1" customWidth="1"/>
    <col min="7" max="7" width="9.8984375" customWidth="1"/>
  </cols>
  <sheetData>
    <row r="1" spans="1:7">
      <c r="A1" s="1" t="str">
        <f>'database.c15.2'!A1</f>
        <v>TUDBASE - CAUBO TABLE 15.2.  UNIVERSITY EXPENDITURE BY ACTIVITY AND FUND ($,000)</v>
      </c>
    </row>
    <row r="2" spans="1:7">
      <c r="A2" t="str">
        <f>'database.c15.2'!A2</f>
        <v>DATE LAST AMENDED: 01/07/24</v>
      </c>
    </row>
    <row r="4" spans="1:7">
      <c r="A4" s="18" t="s">
        <v>4</v>
      </c>
      <c r="B4" s="22" t="s">
        <v>9</v>
      </c>
    </row>
    <row r="5" spans="1:7">
      <c r="A5" s="18" t="s">
        <v>2</v>
      </c>
      <c r="B5" s="22" t="s">
        <v>60</v>
      </c>
    </row>
    <row r="7" spans="1:7">
      <c r="A7" s="37" t="s">
        <v>58</v>
      </c>
      <c r="B7" s="18" t="s">
        <v>5</v>
      </c>
      <c r="C7" s="21"/>
      <c r="D7" s="21"/>
      <c r="E7" s="21"/>
      <c r="F7" s="21"/>
      <c r="G7" s="19"/>
    </row>
    <row r="8" spans="1:7">
      <c r="A8" s="18" t="s">
        <v>3</v>
      </c>
      <c r="B8" s="24" t="s">
        <v>16</v>
      </c>
      <c r="C8" s="25" t="s">
        <v>10</v>
      </c>
      <c r="D8" s="25" t="s">
        <v>12</v>
      </c>
      <c r="E8" s="25" t="s">
        <v>19</v>
      </c>
      <c r="F8" s="25" t="s">
        <v>15</v>
      </c>
      <c r="G8" s="26" t="s">
        <v>59</v>
      </c>
    </row>
    <row r="9" spans="1:7">
      <c r="A9" s="17" t="s">
        <v>17</v>
      </c>
      <c r="B9" s="24">
        <v>263673</v>
      </c>
      <c r="C9" s="25">
        <v>35507</v>
      </c>
      <c r="D9" s="25">
        <v>28494</v>
      </c>
      <c r="E9" s="25"/>
      <c r="F9" s="25"/>
      <c r="G9" s="26">
        <v>327674</v>
      </c>
    </row>
    <row r="10" spans="1:7">
      <c r="A10" s="20" t="s">
        <v>30</v>
      </c>
      <c r="B10" s="27">
        <v>33190</v>
      </c>
      <c r="C10" s="28">
        <v>12882</v>
      </c>
      <c r="D10" s="28">
        <v>37571</v>
      </c>
      <c r="E10" s="28"/>
      <c r="F10" s="28"/>
      <c r="G10" s="29">
        <v>83643</v>
      </c>
    </row>
    <row r="11" spans="1:7">
      <c r="A11" s="20" t="s">
        <v>32</v>
      </c>
      <c r="B11" s="27">
        <v>228284</v>
      </c>
      <c r="C11" s="28">
        <v>41257</v>
      </c>
      <c r="D11" s="28">
        <v>25561</v>
      </c>
      <c r="E11" s="28">
        <v>33419</v>
      </c>
      <c r="F11" s="28"/>
      <c r="G11" s="29">
        <v>328521</v>
      </c>
    </row>
    <row r="12" spans="1:7">
      <c r="A12" s="20" t="s">
        <v>18</v>
      </c>
      <c r="B12" s="27">
        <v>83440</v>
      </c>
      <c r="C12" s="28">
        <v>10472</v>
      </c>
      <c r="D12" s="28">
        <v>8309</v>
      </c>
      <c r="E12" s="28">
        <v>4888</v>
      </c>
      <c r="F12" s="28"/>
      <c r="G12" s="29">
        <v>107109</v>
      </c>
    </row>
    <row r="13" spans="1:7">
      <c r="A13" s="20" t="s">
        <v>37</v>
      </c>
      <c r="B13" s="27">
        <v>14593</v>
      </c>
      <c r="C13" s="28">
        <v>8535</v>
      </c>
      <c r="D13" s="28">
        <v>14610</v>
      </c>
      <c r="E13" s="28">
        <v>281</v>
      </c>
      <c r="F13" s="28"/>
      <c r="G13" s="29">
        <v>38019</v>
      </c>
    </row>
    <row r="14" spans="1:7">
      <c r="A14" s="20" t="s">
        <v>8</v>
      </c>
      <c r="B14" s="27">
        <v>21671</v>
      </c>
      <c r="C14" s="28">
        <v>1067</v>
      </c>
      <c r="D14" s="28">
        <v>244</v>
      </c>
      <c r="E14" s="28"/>
      <c r="F14" s="28">
        <v>1398</v>
      </c>
      <c r="G14" s="29">
        <v>24380</v>
      </c>
    </row>
    <row r="15" spans="1:7">
      <c r="A15" s="20" t="s">
        <v>33</v>
      </c>
      <c r="B15" s="27">
        <v>3276</v>
      </c>
      <c r="C15" s="28">
        <v>1573</v>
      </c>
      <c r="D15" s="28">
        <v>1656</v>
      </c>
      <c r="E15" s="28">
        <v>1183</v>
      </c>
      <c r="F15" s="28"/>
      <c r="G15" s="29">
        <v>7688</v>
      </c>
    </row>
    <row r="16" spans="1:7">
      <c r="A16" s="20" t="s">
        <v>29</v>
      </c>
      <c r="B16" s="27">
        <v>16965</v>
      </c>
      <c r="C16" s="28">
        <v>8262</v>
      </c>
      <c r="D16" s="28">
        <v>20705</v>
      </c>
      <c r="E16" s="28">
        <v>2148</v>
      </c>
      <c r="F16" s="28"/>
      <c r="G16" s="29">
        <v>48080</v>
      </c>
    </row>
    <row r="17" spans="1:7">
      <c r="A17" s="20" t="s">
        <v>21</v>
      </c>
      <c r="B17" s="27">
        <v>5007</v>
      </c>
      <c r="C17" s="28">
        <v>1445</v>
      </c>
      <c r="D17" s="28">
        <v>1193</v>
      </c>
      <c r="E17" s="28">
        <v>982</v>
      </c>
      <c r="F17" s="28"/>
      <c r="G17" s="29">
        <v>8627</v>
      </c>
    </row>
    <row r="18" spans="1:7">
      <c r="A18" s="20" t="s">
        <v>31</v>
      </c>
      <c r="B18" s="27">
        <v>10659</v>
      </c>
      <c r="C18" s="28">
        <v>14990</v>
      </c>
      <c r="D18" s="28">
        <v>34220</v>
      </c>
      <c r="E18" s="28">
        <v>9739</v>
      </c>
      <c r="F18" s="28"/>
      <c r="G18" s="29">
        <v>69608</v>
      </c>
    </row>
    <row r="19" spans="1:7">
      <c r="A19" s="20" t="s">
        <v>38</v>
      </c>
      <c r="B19" s="27">
        <v>17014</v>
      </c>
      <c r="C19" s="28">
        <v>183</v>
      </c>
      <c r="D19" s="28">
        <v>10</v>
      </c>
      <c r="E19" s="28">
        <v>5268</v>
      </c>
      <c r="F19" s="28"/>
      <c r="G19" s="29">
        <v>22475</v>
      </c>
    </row>
    <row r="20" spans="1:7">
      <c r="A20" s="20" t="s">
        <v>35</v>
      </c>
      <c r="B20" s="27">
        <v>3649</v>
      </c>
      <c r="C20" s="28">
        <v>584</v>
      </c>
      <c r="D20" s="28">
        <v>307</v>
      </c>
      <c r="E20" s="28">
        <v>4191</v>
      </c>
      <c r="F20" s="28">
        <v>15165</v>
      </c>
      <c r="G20" s="29">
        <v>23896</v>
      </c>
    </row>
    <row r="21" spans="1:7">
      <c r="A21" s="20" t="s">
        <v>36</v>
      </c>
      <c r="B21" s="27">
        <v>20174</v>
      </c>
      <c r="C21" s="28">
        <v>23075</v>
      </c>
      <c r="D21" s="28">
        <v>3729</v>
      </c>
      <c r="E21" s="28"/>
      <c r="F21" s="28"/>
      <c r="G21" s="29">
        <v>46978</v>
      </c>
    </row>
    <row r="22" spans="1:7">
      <c r="A22" s="20" t="s">
        <v>24</v>
      </c>
      <c r="B22" s="27">
        <v>3764</v>
      </c>
      <c r="C22" s="28">
        <v>15</v>
      </c>
      <c r="D22" s="28">
        <v>11</v>
      </c>
      <c r="E22" s="28">
        <v>1490</v>
      </c>
      <c r="F22" s="28"/>
      <c r="G22" s="29">
        <v>5280</v>
      </c>
    </row>
    <row r="23" spans="1:7">
      <c r="A23" s="20" t="s">
        <v>34</v>
      </c>
      <c r="B23" s="27">
        <v>16476</v>
      </c>
      <c r="C23" s="28">
        <v>8755</v>
      </c>
      <c r="D23" s="28">
        <v>6989</v>
      </c>
      <c r="E23" s="28">
        <v>594</v>
      </c>
      <c r="F23" s="28"/>
      <c r="G23" s="29">
        <v>32814</v>
      </c>
    </row>
    <row r="24" spans="1:7">
      <c r="A24" s="20" t="s">
        <v>22</v>
      </c>
      <c r="B24" s="27"/>
      <c r="C24" s="28">
        <v>2</v>
      </c>
      <c r="D24" s="28"/>
      <c r="E24" s="28">
        <v>46176</v>
      </c>
      <c r="F24" s="28"/>
      <c r="G24" s="29">
        <v>46178</v>
      </c>
    </row>
    <row r="25" spans="1:7">
      <c r="A25" s="20" t="s">
        <v>26</v>
      </c>
      <c r="B25" s="27">
        <v>-1932</v>
      </c>
      <c r="C25" s="28">
        <v>64</v>
      </c>
      <c r="D25" s="28"/>
      <c r="E25" s="28">
        <v>13172</v>
      </c>
      <c r="F25" s="28">
        <v>27</v>
      </c>
      <c r="G25" s="29">
        <v>11331</v>
      </c>
    </row>
    <row r="26" spans="1:7">
      <c r="A26" s="20" t="s">
        <v>25</v>
      </c>
      <c r="B26" s="27">
        <v>17378</v>
      </c>
      <c r="C26" s="28">
        <v>6802</v>
      </c>
      <c r="D26" s="28">
        <v>20335</v>
      </c>
      <c r="E26" s="28">
        <v>3369</v>
      </c>
      <c r="F26" s="28">
        <v>7810</v>
      </c>
      <c r="G26" s="29">
        <v>55694</v>
      </c>
    </row>
    <row r="27" spans="1:7">
      <c r="A27" s="20" t="s">
        <v>23</v>
      </c>
      <c r="B27" s="27">
        <v>5460</v>
      </c>
      <c r="C27" s="28">
        <v>536</v>
      </c>
      <c r="D27" s="28">
        <v>662</v>
      </c>
      <c r="E27" s="28">
        <v>1020</v>
      </c>
      <c r="F27" s="28">
        <v>31</v>
      </c>
      <c r="G27" s="29">
        <v>7709</v>
      </c>
    </row>
    <row r="28" spans="1:7">
      <c r="A28" s="20" t="s">
        <v>27</v>
      </c>
      <c r="B28" s="27">
        <v>-11925</v>
      </c>
      <c r="C28" s="28">
        <v>2661</v>
      </c>
      <c r="D28" s="28">
        <v>3458</v>
      </c>
      <c r="E28" s="28">
        <v>6357</v>
      </c>
      <c r="F28" s="28">
        <v>-551</v>
      </c>
      <c r="G28" s="29">
        <v>0</v>
      </c>
    </row>
    <row r="29" spans="1:7">
      <c r="A29" s="23" t="s">
        <v>39</v>
      </c>
      <c r="B29" s="30">
        <v>750816</v>
      </c>
      <c r="C29" s="31">
        <v>178667</v>
      </c>
      <c r="D29" s="31">
        <v>208064</v>
      </c>
      <c r="E29" s="31">
        <v>134277</v>
      </c>
      <c r="F29" s="31">
        <v>23880</v>
      </c>
      <c r="G29" s="32">
        <v>1295704</v>
      </c>
    </row>
    <row r="30" spans="1:7">
      <c r="A30" s="20" t="s">
        <v>20</v>
      </c>
      <c r="B30" s="27">
        <v>404</v>
      </c>
      <c r="C30" s="28">
        <v>447</v>
      </c>
      <c r="D30" s="28">
        <v>28</v>
      </c>
      <c r="E30" s="28">
        <v>1</v>
      </c>
      <c r="F30" s="28">
        <v>27587</v>
      </c>
      <c r="G30" s="29">
        <v>28467</v>
      </c>
    </row>
    <row r="31" spans="1:7">
      <c r="A31" s="20" t="s">
        <v>28</v>
      </c>
      <c r="B31" s="27">
        <v>1008</v>
      </c>
      <c r="C31" s="28"/>
      <c r="D31" s="28"/>
      <c r="E31" s="28"/>
      <c r="F31" s="28"/>
      <c r="G31" s="29">
        <v>1008</v>
      </c>
    </row>
    <row r="32" spans="1:7">
      <c r="A32" s="33" t="s">
        <v>61</v>
      </c>
      <c r="B32" s="34">
        <v>752228</v>
      </c>
      <c r="C32" s="35">
        <v>179114</v>
      </c>
      <c r="D32" s="35">
        <v>208092</v>
      </c>
      <c r="E32" s="35">
        <v>134278</v>
      </c>
      <c r="F32" s="35">
        <v>51467</v>
      </c>
      <c r="G32" s="36">
        <v>1325179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notes</vt:lpstr>
      <vt:lpstr>database.c15.2</vt:lpstr>
      <vt:lpstr>table 15.2</vt:lpstr>
      <vt:lpstr>Database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Studies</dc:creator>
  <cp:lastModifiedBy>Carina Negreanu</cp:lastModifiedBy>
  <dcterms:created xsi:type="dcterms:W3CDTF">2001-07-24T19:16:27Z</dcterms:created>
  <dcterms:modified xsi:type="dcterms:W3CDTF">2020-01-27T12:48:10Z</dcterms:modified>
</cp:coreProperties>
</file>