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FC588F-A97B-417A-9895-0754F68FFCF1}" xr6:coauthVersionLast="45" xr6:coauthVersionMax="45" xr10:uidLastSave="{00000000-0000-0000-0000-000000000000}"/>
  <bookViews>
    <workbookView xWindow="380" yWindow="380" windowWidth="28800" windowHeight="15460" tabRatio="586"/>
  </bookViews>
  <sheets>
    <sheet name="Course (Grades)" sheetId="3" r:id="rId1"/>
    <sheet name="Course (Attend)" sheetId="1" r:id="rId2"/>
  </sheets>
  <definedNames>
    <definedName name="Grades" localSheetId="0">'Course (Grades)'!$A$21:$AF$61</definedName>
    <definedName name="Grades">'Course (Attend)'!$A$21:$AF$61</definedName>
    <definedName name="GradeTable" localSheetId="0">'Course (Grades)'!$C$11:$G$13</definedName>
    <definedName name="GradeTable">'Course (Attend)'!$C$11:$G$13</definedName>
    <definedName name="_xlnm.Print_Area" localSheetId="1">'Course (Attend)'!$A$14:$I$67</definedName>
    <definedName name="_xlnm.Print_Area" localSheetId="0">'Course (Grades)'!$A$14:OFFSET('Course (Grades)'!$I$67,0,COUNTA('Course (Grades)'!$J$15:$AF$15))</definedName>
    <definedName name="_xlnm.Print_Titles" localSheetId="1">'Course (Attend)'!$A:$A,'Course (Attend)'!$21:$21</definedName>
    <definedName name="_xlnm.Print_Titles" localSheetId="0">'Course (Grades)'!$A:$A,'Course (Grades)'!$21:$21</definedName>
    <definedName name="Tests">IF(OR('Course (Grades)'!A1048571,'Course (Grades)'!A1048571&gt;""),'Course (Grades)'!A1048571,"")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8" i="1" l="1"/>
  <c r="F19" i="1"/>
  <c r="F21" i="1"/>
  <c r="G21" i="1"/>
  <c r="H21" i="1"/>
  <c r="I21" i="1"/>
  <c r="J21" i="1"/>
  <c r="K21" i="1"/>
  <c r="L21" i="1"/>
  <c r="M21" i="1"/>
  <c r="N21" i="1"/>
  <c r="N63" i="1" s="1"/>
  <c r="O21" i="1"/>
  <c r="O63" i="1" s="1"/>
  <c r="P21" i="1"/>
  <c r="P63" i="1" s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C22" i="1"/>
  <c r="C65" i="1" s="1"/>
  <c r="D65" i="1" s="1"/>
  <c r="C23" i="1"/>
  <c r="C64" i="1" s="1"/>
  <c r="D64" i="1" s="1"/>
  <c r="D23" i="1"/>
  <c r="C24" i="1"/>
  <c r="D24" i="1"/>
  <c r="E24" i="1"/>
  <c r="F24" i="3" s="1"/>
  <c r="C24" i="3" s="1"/>
  <c r="C25" i="1"/>
  <c r="E25" i="1" s="1"/>
  <c r="F25" i="3" s="1"/>
  <c r="C25" i="3" s="1"/>
  <c r="D25" i="1"/>
  <c r="C26" i="1"/>
  <c r="D26" i="1" s="1"/>
  <c r="E26" i="1"/>
  <c r="C27" i="1"/>
  <c r="D27" i="1" s="1"/>
  <c r="E27" i="1"/>
  <c r="C28" i="1"/>
  <c r="D28" i="1"/>
  <c r="E28" i="1"/>
  <c r="C29" i="1"/>
  <c r="D29" i="1"/>
  <c r="E29" i="1"/>
  <c r="F29" i="3" s="1"/>
  <c r="C29" i="3" s="1"/>
  <c r="C30" i="1"/>
  <c r="D30" i="1" s="1"/>
  <c r="C31" i="1"/>
  <c r="E31" i="1" s="1"/>
  <c r="F31" i="3" s="1"/>
  <c r="C31" i="3" s="1"/>
  <c r="D31" i="1"/>
  <c r="C32" i="1"/>
  <c r="D32" i="1" s="1"/>
  <c r="C33" i="1"/>
  <c r="D33" i="1"/>
  <c r="E33" i="1"/>
  <c r="C34" i="1"/>
  <c r="D34" i="1"/>
  <c r="E34" i="1"/>
  <c r="F34" i="3" s="1"/>
  <c r="C34" i="3" s="1"/>
  <c r="C35" i="1"/>
  <c r="D35" i="1" s="1"/>
  <c r="C36" i="1"/>
  <c r="D36" i="1"/>
  <c r="E36" i="1"/>
  <c r="F36" i="3" s="1"/>
  <c r="C36" i="3" s="1"/>
  <c r="C37" i="1"/>
  <c r="D37" i="1"/>
  <c r="E37" i="1"/>
  <c r="F37" i="3" s="1"/>
  <c r="C37" i="3" s="1"/>
  <c r="C38" i="1"/>
  <c r="D38" i="1" s="1"/>
  <c r="C39" i="1"/>
  <c r="D39" i="1" s="1"/>
  <c r="E39" i="1"/>
  <c r="C40" i="1"/>
  <c r="D40" i="1"/>
  <c r="E40" i="1"/>
  <c r="C41" i="1"/>
  <c r="D41" i="1"/>
  <c r="E41" i="1"/>
  <c r="C42" i="1"/>
  <c r="D42" i="1" s="1"/>
  <c r="C43" i="1"/>
  <c r="E43" i="1" s="1"/>
  <c r="F43" i="3" s="1"/>
  <c r="C43" i="3" s="1"/>
  <c r="D43" i="1"/>
  <c r="C44" i="1"/>
  <c r="D44" i="1"/>
  <c r="E44" i="1"/>
  <c r="F44" i="3" s="1"/>
  <c r="C44" i="3" s="1"/>
  <c r="C45" i="1"/>
  <c r="E45" i="1" s="1"/>
  <c r="F45" i="3" s="1"/>
  <c r="C45" i="3" s="1"/>
  <c r="D45" i="1"/>
  <c r="C46" i="1"/>
  <c r="D46" i="1"/>
  <c r="E46" i="1"/>
  <c r="C47" i="1"/>
  <c r="D47" i="1" s="1"/>
  <c r="C48" i="1"/>
  <c r="D48" i="1"/>
  <c r="E48" i="1"/>
  <c r="C49" i="1"/>
  <c r="D49" i="1"/>
  <c r="E49" i="1"/>
  <c r="F49" i="3" s="1"/>
  <c r="C49" i="3" s="1"/>
  <c r="C50" i="1"/>
  <c r="D50" i="1" s="1"/>
  <c r="C51" i="1"/>
  <c r="E51" i="1" s="1"/>
  <c r="F51" i="3" s="1"/>
  <c r="C51" i="3" s="1"/>
  <c r="D51" i="1"/>
  <c r="C52" i="1"/>
  <c r="D52" i="1" s="1"/>
  <c r="C53" i="1"/>
  <c r="D53" i="1"/>
  <c r="E53" i="1"/>
  <c r="C54" i="1"/>
  <c r="D54" i="1"/>
  <c r="E54" i="1"/>
  <c r="F54" i="3" s="1"/>
  <c r="C54" i="3" s="1"/>
  <c r="C55" i="1"/>
  <c r="D55" i="1" s="1"/>
  <c r="C56" i="1"/>
  <c r="D56" i="1"/>
  <c r="E56" i="1"/>
  <c r="F56" i="3" s="1"/>
  <c r="C56" i="3" s="1"/>
  <c r="C57" i="1"/>
  <c r="D57" i="1"/>
  <c r="E57" i="1"/>
  <c r="F57" i="3" s="1"/>
  <c r="C57" i="3" s="1"/>
  <c r="C58" i="1"/>
  <c r="D58" i="1" s="1"/>
  <c r="C59" i="1"/>
  <c r="D59" i="1" s="1"/>
  <c r="E59" i="1"/>
  <c r="C60" i="1"/>
  <c r="D60" i="1"/>
  <c r="E60" i="1"/>
  <c r="C61" i="1"/>
  <c r="D61" i="1"/>
  <c r="E61" i="1"/>
  <c r="C63" i="1"/>
  <c r="D63" i="1"/>
  <c r="E63" i="1"/>
  <c r="F63" i="1"/>
  <c r="G63" i="1"/>
  <c r="H63" i="1"/>
  <c r="I63" i="1"/>
  <c r="J63" i="1"/>
  <c r="K63" i="1"/>
  <c r="L63" i="1"/>
  <c r="M63" i="1"/>
  <c r="Y63" i="1"/>
  <c r="Z63" i="1"/>
  <c r="AA63" i="1"/>
  <c r="AB63" i="1"/>
  <c r="AC63" i="1"/>
  <c r="AD63" i="1"/>
  <c r="AE63" i="1"/>
  <c r="AF63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F16" i="3"/>
  <c r="F18" i="3"/>
  <c r="F19" i="3"/>
  <c r="F21" i="3"/>
  <c r="G21" i="3"/>
  <c r="H21" i="3"/>
  <c r="I21" i="3"/>
  <c r="J21" i="3"/>
  <c r="K21" i="3"/>
  <c r="L21" i="3"/>
  <c r="L63" i="3" s="1"/>
  <c r="M21" i="3"/>
  <c r="M63" i="3" s="1"/>
  <c r="N21" i="3"/>
  <c r="N63" i="3" s="1"/>
  <c r="O21" i="3"/>
  <c r="O63" i="3" s="1"/>
  <c r="P21" i="3"/>
  <c r="P63" i="3" s="1"/>
  <c r="Q21" i="3"/>
  <c r="R21" i="3"/>
  <c r="S21" i="3"/>
  <c r="T21" i="3"/>
  <c r="U21" i="3"/>
  <c r="V21" i="3"/>
  <c r="W21" i="3"/>
  <c r="X21" i="3"/>
  <c r="Y21" i="3"/>
  <c r="Z21" i="3"/>
  <c r="Z63" i="3" s="1"/>
  <c r="AA21" i="3"/>
  <c r="AB21" i="3"/>
  <c r="AC21" i="3"/>
  <c r="AD21" i="3"/>
  <c r="AD63" i="3" s="1"/>
  <c r="AE21" i="3"/>
  <c r="AE63" i="3" s="1"/>
  <c r="AF21" i="3"/>
  <c r="C26" i="3"/>
  <c r="D26" i="3"/>
  <c r="E26" i="3"/>
  <c r="F26" i="3"/>
  <c r="F27" i="3"/>
  <c r="C27" i="3" s="1"/>
  <c r="C28" i="3"/>
  <c r="D28" i="3"/>
  <c r="E28" i="3"/>
  <c r="F28" i="3"/>
  <c r="C33" i="3"/>
  <c r="D33" i="3"/>
  <c r="E33" i="3"/>
  <c r="F33" i="3"/>
  <c r="C39" i="3"/>
  <c r="D39" i="3" s="1"/>
  <c r="F39" i="3"/>
  <c r="F40" i="3"/>
  <c r="C40" i="3" s="1"/>
  <c r="C41" i="3"/>
  <c r="D41" i="3"/>
  <c r="E41" i="3"/>
  <c r="F41" i="3"/>
  <c r="C46" i="3"/>
  <c r="D46" i="3"/>
  <c r="E46" i="3"/>
  <c r="F46" i="3"/>
  <c r="C48" i="3"/>
  <c r="D48" i="3"/>
  <c r="E48" i="3"/>
  <c r="F48" i="3"/>
  <c r="C53" i="3"/>
  <c r="D53" i="3"/>
  <c r="E53" i="3"/>
  <c r="F53" i="3"/>
  <c r="C59" i="3"/>
  <c r="D59" i="3" s="1"/>
  <c r="F59" i="3"/>
  <c r="F60" i="3"/>
  <c r="C60" i="3" s="1"/>
  <c r="C61" i="3"/>
  <c r="D61" i="3"/>
  <c r="E61" i="3"/>
  <c r="F61" i="3"/>
  <c r="C63" i="3"/>
  <c r="D63" i="3"/>
  <c r="E63" i="3"/>
  <c r="F63" i="3"/>
  <c r="G63" i="3"/>
  <c r="H63" i="3"/>
  <c r="I63" i="3"/>
  <c r="J63" i="3"/>
  <c r="K63" i="3"/>
  <c r="Y63" i="3"/>
  <c r="AA63" i="3"/>
  <c r="AB63" i="3"/>
  <c r="AC63" i="3"/>
  <c r="AF63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D24" i="3" l="1"/>
  <c r="E24" i="3"/>
  <c r="D44" i="3"/>
  <c r="E44" i="3"/>
  <c r="D34" i="3"/>
  <c r="E34" i="3"/>
  <c r="E51" i="3"/>
  <c r="D51" i="3"/>
  <c r="E27" i="3"/>
  <c r="D27" i="3"/>
  <c r="D31" i="3"/>
  <c r="E31" i="3"/>
  <c r="D43" i="3"/>
  <c r="E43" i="3"/>
  <c r="D56" i="3"/>
  <c r="E56" i="3"/>
  <c r="D49" i="3"/>
  <c r="E49" i="3"/>
  <c r="D25" i="3"/>
  <c r="E25" i="3"/>
  <c r="D29" i="3"/>
  <c r="E29" i="3"/>
  <c r="D40" i="3"/>
  <c r="E40" i="3"/>
  <c r="E57" i="3"/>
  <c r="D57" i="3"/>
  <c r="E37" i="3"/>
  <c r="D37" i="3"/>
  <c r="D60" i="3"/>
  <c r="E60" i="3"/>
  <c r="D45" i="3"/>
  <c r="E45" i="3"/>
  <c r="D54" i="3"/>
  <c r="E54" i="3"/>
  <c r="D36" i="3"/>
  <c r="E36" i="3"/>
  <c r="E58" i="1"/>
  <c r="F58" i="3" s="1"/>
  <c r="C58" i="3" s="1"/>
  <c r="E38" i="1"/>
  <c r="F38" i="3" s="1"/>
  <c r="C38" i="3" s="1"/>
  <c r="E50" i="1"/>
  <c r="F50" i="3" s="1"/>
  <c r="C50" i="3" s="1"/>
  <c r="E30" i="1"/>
  <c r="F30" i="3" s="1"/>
  <c r="C30" i="3" s="1"/>
  <c r="E23" i="1"/>
  <c r="F23" i="3" s="1"/>
  <c r="C23" i="3" s="1"/>
  <c r="C66" i="1"/>
  <c r="D66" i="1" s="1"/>
  <c r="E42" i="1"/>
  <c r="F42" i="3" s="1"/>
  <c r="C42" i="3" s="1"/>
  <c r="E22" i="1"/>
  <c r="E55" i="1"/>
  <c r="F55" i="3" s="1"/>
  <c r="C55" i="3" s="1"/>
  <c r="E35" i="1"/>
  <c r="F35" i="3" s="1"/>
  <c r="C35" i="3" s="1"/>
  <c r="D22" i="1"/>
  <c r="E47" i="1"/>
  <c r="F47" i="3" s="1"/>
  <c r="C47" i="3" s="1"/>
  <c r="E59" i="3"/>
  <c r="E39" i="3"/>
  <c r="E52" i="1"/>
  <c r="F52" i="3" s="1"/>
  <c r="C52" i="3" s="1"/>
  <c r="E32" i="1"/>
  <c r="F32" i="3" s="1"/>
  <c r="C32" i="3" s="1"/>
  <c r="D50" i="3" l="1"/>
  <c r="E50" i="3"/>
  <c r="D52" i="3"/>
  <c r="E52" i="3"/>
  <c r="D32" i="3"/>
  <c r="E32" i="3"/>
  <c r="D38" i="3"/>
  <c r="E38" i="3"/>
  <c r="D42" i="3"/>
  <c r="E42" i="3"/>
  <c r="D47" i="3"/>
  <c r="E47" i="3"/>
  <c r="D35" i="3"/>
  <c r="E35" i="3"/>
  <c r="E65" i="1"/>
  <c r="E64" i="1"/>
  <c r="E66" i="1"/>
  <c r="F22" i="3"/>
  <c r="D30" i="3"/>
  <c r="E30" i="3"/>
  <c r="D58" i="3"/>
  <c r="E58" i="3"/>
  <c r="D55" i="3"/>
  <c r="E55" i="3"/>
  <c r="D23" i="3"/>
  <c r="E23" i="3"/>
  <c r="F64" i="3" l="1"/>
  <c r="F66" i="3"/>
  <c r="F65" i="3"/>
  <c r="C22" i="3"/>
  <c r="C65" i="3" l="1"/>
  <c r="D65" i="3" s="1"/>
  <c r="C66" i="3"/>
  <c r="D66" i="3" s="1"/>
  <c r="C64" i="3"/>
  <c r="D64" i="3" s="1"/>
  <c r="E22" i="3"/>
  <c r="D22" i="3"/>
  <c r="E65" i="3" l="1"/>
  <c r="E64" i="3"/>
  <c r="E66" i="3"/>
</calcChain>
</file>

<file path=xl/comments1.xml><?xml version="1.0" encoding="utf-8"?>
<comments xmlns="http://schemas.openxmlformats.org/spreadsheetml/2006/main">
  <authors>
    <author>M. Katherine Scheidel</author>
    <author>Microsoft</author>
    <author>An-Chian Kao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Do not rename or move this cell. It automatically tallies the Attendance from the next sheet.  Also, put Attendance Points on Attendance Sheet ONLY!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" authorId="1" shapeId="0">
      <text>
        <r>
          <rPr>
            <b/>
            <sz val="8"/>
            <color indexed="81"/>
            <rFont val="Arial"/>
            <family val="2"/>
          </rPr>
          <t>Average equals Total Points divided by Total Possible Points</t>
        </r>
        <r>
          <rPr>
            <sz val="8"/>
            <color indexed="81"/>
            <rFont val="Arial"/>
            <family val="2"/>
          </rPr>
          <t xml:space="preserve">
</t>
        </r>
      </text>
    </comment>
    <comment ref="D21" authorId="2" shapeId="0">
      <text>
        <r>
          <rPr>
            <b/>
            <sz val="8"/>
            <color indexed="81"/>
            <rFont val="Arial"/>
            <family val="2"/>
          </rPr>
          <t>Note that GradeTable referred to in this column's formula is located in the table of grades in rows 10-13.</t>
        </r>
      </text>
    </comment>
    <comment ref="A61" authorId="1" shapeId="0">
      <text>
        <r>
          <rPr>
            <sz val="8"/>
            <color indexed="81"/>
            <rFont val="Arial"/>
            <family val="2"/>
          </rPr>
          <t>INSERT NEW ROWS ABOVE THIS ROW TO ADD STUDENTS.</t>
        </r>
      </text>
    </comment>
  </commentList>
</comments>
</file>

<file path=xl/comments2.xml><?xml version="1.0" encoding="utf-8"?>
<comments xmlns="http://schemas.openxmlformats.org/spreadsheetml/2006/main">
  <authors>
    <author>Microsoft</author>
    <author>An-Chian Kao</author>
  </authors>
  <commentList>
    <comment ref="C21" authorId="0" shapeId="0">
      <text>
        <r>
          <rPr>
            <b/>
            <sz val="8"/>
            <color indexed="81"/>
            <rFont val="Arial"/>
            <family val="2"/>
          </rPr>
          <t>Average equals Total Points divided by Total Possible Points</t>
        </r>
        <r>
          <rPr>
            <sz val="8"/>
            <color indexed="81"/>
            <rFont val="Arial"/>
            <family val="2"/>
          </rPr>
          <t xml:space="preserve">
</t>
        </r>
      </text>
    </comment>
    <comment ref="D21" authorId="1" shapeId="0">
      <text>
        <r>
          <rPr>
            <b/>
            <sz val="8"/>
            <color indexed="81"/>
            <rFont val="Arial"/>
            <family val="2"/>
          </rPr>
          <t>Note that GradeTable referred to in this column's formula is located in the table of grades in rows 10-13.</t>
        </r>
      </text>
    </comment>
    <comment ref="A61" authorId="0" shapeId="0">
      <text>
        <r>
          <rPr>
            <sz val="8"/>
            <color indexed="81"/>
            <rFont val="Arial"/>
            <family val="2"/>
          </rPr>
          <t>INSERT NEW ROWS ABOVE THIS ROW TO ADD STUDENTS.</t>
        </r>
      </text>
    </comment>
  </commentList>
</comments>
</file>

<file path=xl/sharedStrings.xml><?xml version="1.0" encoding="utf-8"?>
<sst xmlns="http://schemas.openxmlformats.org/spreadsheetml/2006/main" count="56" uniqueCount="31">
  <si>
    <t>GRADE &amp; GPA TABLE</t>
  </si>
  <si>
    <t>F</t>
  </si>
  <si>
    <t>D</t>
  </si>
  <si>
    <t>C</t>
  </si>
  <si>
    <t>B</t>
  </si>
  <si>
    <t>A</t>
  </si>
  <si>
    <t xml:space="preserve"> CLASS SUMMARY</t>
  </si>
  <si>
    <t xml:space="preserve"> Average</t>
  </si>
  <si>
    <t xml:space="preserve"> Highest Score</t>
  </si>
  <si>
    <t xml:space="preserve"> Lowest Score</t>
  </si>
  <si>
    <t>Average</t>
  </si>
  <si>
    <t>Ltr Grade</t>
  </si>
  <si>
    <t>GPA</t>
  </si>
  <si>
    <t>STUDENT ID</t>
  </si>
  <si>
    <t>Class/Project</t>
  </si>
  <si>
    <t>STUDENT NAME</t>
  </si>
  <si>
    <t>Use this gradebook to calculate grades where each assignment is worth a set number of points.</t>
  </si>
  <si>
    <t>Total possible points:</t>
  </si>
  <si>
    <t>Possible Points</t>
  </si>
  <si>
    <t>Total number of assignments and tests:</t>
  </si>
  <si>
    <t>Assignment or Test Name</t>
  </si>
  <si>
    <t>University of Texas at San Antonio</t>
  </si>
  <si>
    <t>Professor</t>
  </si>
  <si>
    <t>Year/Semester/Course</t>
  </si>
  <si>
    <t>Use this sheet to calculate attendance/class participation where each is worth set number of points.</t>
  </si>
  <si>
    <t>Enter class date as MM/DD</t>
  </si>
  <si>
    <t>Total Points Possible</t>
  </si>
  <si>
    <t>Total number of sessions:</t>
  </si>
  <si>
    <t>Points</t>
  </si>
  <si>
    <t>Attend</t>
  </si>
  <si>
    <t>&lt;== Insert Attendance Points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</si>
</sst>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/d"/>
  </numFmts>
  <fonts count="24" x14ac:knownFonts="1">
    <font>
      <sz val="9"/>
      <name val="Arial"/>
      <family val="2"/>
    </font>
    <font>
      <b/>
      <sz val="8"/>
      <color indexed="8"/>
      <name val="Times New Roman"/>
      <family val="1"/>
    </font>
    <font>
      <sz val="8"/>
      <name val="Times New Roman"/>
      <family val="1"/>
    </font>
    <font>
      <b/>
      <i/>
      <sz val="8"/>
      <color indexed="8"/>
      <name val="Times New Roman"/>
      <family val="1"/>
    </font>
    <font>
      <b/>
      <i/>
      <sz val="8"/>
      <color indexed="16"/>
      <name val="Times New Roman"/>
      <family val="1"/>
    </font>
    <font>
      <sz val="9"/>
      <name val="Arial"/>
      <family val="2"/>
    </font>
    <font>
      <sz val="10"/>
      <name val="Times New Roman"/>
      <family val="1"/>
    </font>
    <font>
      <sz val="8"/>
      <color indexed="81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color indexed="16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  <font>
      <b/>
      <sz val="8"/>
      <name val="Times New Roman"/>
      <family val="1"/>
    </font>
    <font>
      <b/>
      <sz val="9"/>
      <color indexed="10"/>
      <name val="Arial"/>
      <family val="2"/>
    </font>
    <font>
      <b/>
      <sz val="18"/>
      <name val="Times New Roman"/>
      <family val="1"/>
    </font>
    <font>
      <b/>
      <sz val="8"/>
      <color indexed="8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17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darkGray">
        <fgColor indexed="22"/>
        <bgColor indexed="2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NumberFormat="1" applyFont="1" applyFill="1" applyBorder="1" applyAlignment="1"/>
    <xf numFmtId="0" fontId="0" fillId="2" borderId="0" xfId="0" applyFill="1" applyBorder="1"/>
    <xf numFmtId="0" fontId="2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horizontal="center" vertical="top"/>
    </xf>
    <xf numFmtId="0" fontId="6" fillId="2" borderId="0" xfId="0" applyNumberFormat="1" applyFont="1" applyFill="1" applyBorder="1" applyAlignment="1"/>
    <xf numFmtId="0" fontId="0" fillId="0" borderId="0" xfId="0" applyBorder="1"/>
    <xf numFmtId="0" fontId="8" fillId="2" borderId="0" xfId="0" quotePrefix="1" applyNumberFormat="1" applyFont="1" applyFill="1" applyBorder="1" applyAlignment="1"/>
    <xf numFmtId="0" fontId="3" fillId="0" borderId="0" xfId="0" applyNumberFormat="1" applyFont="1" applyFill="1" applyBorder="1" applyAlignment="1" applyProtection="1">
      <alignment horizontal="left" vertical="top"/>
    </xf>
    <xf numFmtId="0" fontId="9" fillId="2" borderId="1" xfId="0" applyNumberFormat="1" applyFont="1" applyFill="1" applyBorder="1" applyAlignment="1">
      <alignment horizontal="right"/>
    </xf>
    <xf numFmtId="0" fontId="10" fillId="0" borderId="0" xfId="0" applyFont="1"/>
    <xf numFmtId="0" fontId="1" fillId="0" borderId="1" xfId="0" applyNumberFormat="1" applyFont="1" applyFill="1" applyBorder="1" applyAlignment="1" applyProtection="1">
      <alignment horizontal="center" vertical="center"/>
    </xf>
    <xf numFmtId="0" fontId="5" fillId="3" borderId="2" xfId="0" applyNumberFormat="1" applyFont="1" applyFill="1" applyBorder="1" applyAlignment="1" applyProtection="1">
      <alignment horizontal="left"/>
      <protection locked="0"/>
    </xf>
    <xf numFmtId="0" fontId="5" fillId="3" borderId="3" xfId="0" applyNumberFormat="1" applyFont="1" applyFill="1" applyBorder="1" applyAlignment="1" applyProtection="1">
      <alignment horizontal="left"/>
      <protection locked="0"/>
    </xf>
    <xf numFmtId="0" fontId="5" fillId="3" borderId="4" xfId="0" applyNumberFormat="1" applyFont="1" applyFill="1" applyBorder="1" applyAlignment="1" applyProtection="1">
      <alignment horizontal="center"/>
      <protection locked="0"/>
    </xf>
    <xf numFmtId="0" fontId="5" fillId="4" borderId="2" xfId="0" applyNumberFormat="1" applyFont="1" applyFill="1" applyBorder="1" applyAlignment="1" applyProtection="1">
      <alignment horizontal="left"/>
      <protection locked="0"/>
    </xf>
    <xf numFmtId="0" fontId="5" fillId="4" borderId="3" xfId="0" applyNumberFormat="1" applyFont="1" applyFill="1" applyBorder="1" applyAlignment="1" applyProtection="1">
      <alignment horizontal="left"/>
      <protection locked="0"/>
    </xf>
    <xf numFmtId="0" fontId="5" fillId="4" borderId="4" xfId="0" applyNumberFormat="1" applyFont="1" applyFill="1" applyBorder="1" applyAlignment="1" applyProtection="1">
      <alignment horizontal="center"/>
      <protection locked="0"/>
    </xf>
    <xf numFmtId="0" fontId="5" fillId="3" borderId="5" xfId="0" applyNumberFormat="1" applyFont="1" applyFill="1" applyBorder="1" applyAlignment="1" applyProtection="1">
      <alignment horizontal="left"/>
      <protection locked="0"/>
    </xf>
    <xf numFmtId="0" fontId="5" fillId="3" borderId="6" xfId="0" applyNumberFormat="1" applyFont="1" applyFill="1" applyBorder="1" applyAlignment="1" applyProtection="1">
      <alignment horizontal="left"/>
      <protection locked="0"/>
    </xf>
    <xf numFmtId="0" fontId="5" fillId="3" borderId="7" xfId="0" applyNumberFormat="1" applyFont="1" applyFill="1" applyBorder="1" applyAlignment="1" applyProtection="1">
      <alignment horizontal="center"/>
      <protection locked="0"/>
    </xf>
    <xf numFmtId="0" fontId="1" fillId="4" borderId="1" xfId="0" applyNumberFormat="1" applyFont="1" applyFill="1" applyBorder="1" applyAlignment="1" applyProtection="1">
      <alignment horizontal="center" vertical="center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8" xfId="0" applyNumberFormat="1" applyFont="1" applyFill="1" applyBorder="1" applyAlignment="1" applyProtection="1">
      <alignment horizontal="left" vertical="center"/>
    </xf>
    <xf numFmtId="0" fontId="1" fillId="4" borderId="9" xfId="0" applyNumberFormat="1" applyFont="1" applyFill="1" applyBorder="1" applyAlignment="1" applyProtection="1">
      <alignment horizontal="left" vertical="center"/>
    </xf>
    <xf numFmtId="0" fontId="11" fillId="2" borderId="0" xfId="0" applyNumberFormat="1" applyFont="1" applyFill="1" applyBorder="1" applyAlignment="1"/>
    <xf numFmtId="0" fontId="11" fillId="0" borderId="0" xfId="0" applyFont="1"/>
    <xf numFmtId="9" fontId="12" fillId="4" borderId="10" xfId="0" applyNumberFormat="1" applyFont="1" applyFill="1" applyBorder="1" applyAlignment="1" applyProtection="1">
      <alignment horizontal="center"/>
      <protection locked="0"/>
    </xf>
    <xf numFmtId="9" fontId="12" fillId="4" borderId="11" xfId="0" applyNumberFormat="1" applyFont="1" applyFill="1" applyBorder="1" applyAlignment="1" applyProtection="1">
      <alignment horizontal="center"/>
      <protection locked="0"/>
    </xf>
    <xf numFmtId="0" fontId="12" fillId="4" borderId="10" xfId="0" applyFont="1" applyFill="1" applyBorder="1" applyAlignment="1" applyProtection="1">
      <alignment horizontal="center"/>
      <protection locked="0"/>
    </xf>
    <xf numFmtId="0" fontId="12" fillId="4" borderId="11" xfId="0" applyFont="1" applyFill="1" applyBorder="1" applyAlignment="1" applyProtection="1">
      <alignment horizontal="center"/>
      <protection locked="0"/>
    </xf>
    <xf numFmtId="2" fontId="12" fillId="4" borderId="10" xfId="0" applyNumberFormat="1" applyFont="1" applyFill="1" applyBorder="1" applyAlignment="1" applyProtection="1">
      <alignment horizontal="center"/>
      <protection locked="0"/>
    </xf>
    <xf numFmtId="2" fontId="12" fillId="4" borderId="11" xfId="0" applyNumberFormat="1" applyFont="1" applyFill="1" applyBorder="1" applyAlignment="1" applyProtection="1">
      <alignment horizontal="center"/>
      <protection locked="0"/>
    </xf>
    <xf numFmtId="0" fontId="13" fillId="2" borderId="0" xfId="0" applyNumberFormat="1" applyFont="1" applyFill="1" applyBorder="1" applyAlignment="1"/>
    <xf numFmtId="0" fontId="13" fillId="0" borderId="0" xfId="0" applyFont="1"/>
    <xf numFmtId="0" fontId="14" fillId="0" borderId="4" xfId="0" applyNumberFormat="1" applyFont="1" applyFill="1" applyBorder="1" applyAlignment="1" applyProtection="1">
      <alignment horizontal="left"/>
      <protection locked="0"/>
    </xf>
    <xf numFmtId="0" fontId="14" fillId="0" borderId="4" xfId="0" applyNumberFormat="1" applyFont="1" applyFill="1" applyBorder="1" applyAlignment="1" applyProtection="1">
      <alignment horizontal="center"/>
    </xf>
    <xf numFmtId="1" fontId="15" fillId="0" borderId="4" xfId="0" applyNumberFormat="1" applyFont="1" applyFill="1" applyBorder="1" applyAlignment="1" applyProtection="1">
      <alignment horizontal="center"/>
      <protection locked="0"/>
    </xf>
    <xf numFmtId="0" fontId="14" fillId="0" borderId="0" xfId="0" applyFont="1"/>
    <xf numFmtId="0" fontId="14" fillId="5" borderId="4" xfId="0" applyNumberFormat="1" applyFont="1" applyFill="1" applyBorder="1" applyAlignment="1" applyProtection="1">
      <alignment horizontal="left"/>
      <protection locked="0"/>
    </xf>
    <xf numFmtId="0" fontId="14" fillId="5" borderId="4" xfId="0" applyNumberFormat="1" applyFont="1" applyFill="1" applyBorder="1" applyAlignment="1" applyProtection="1">
      <alignment horizontal="center"/>
      <protection locked="0"/>
    </xf>
    <xf numFmtId="1" fontId="15" fillId="5" borderId="4" xfId="0" applyNumberFormat="1" applyFont="1" applyFill="1" applyBorder="1" applyAlignment="1" applyProtection="1">
      <alignment horizontal="center"/>
      <protection locked="0"/>
    </xf>
    <xf numFmtId="0" fontId="14" fillId="0" borderId="4" xfId="0" applyNumberFormat="1" applyFont="1" applyFill="1" applyBorder="1" applyAlignment="1" applyProtection="1">
      <alignment horizontal="center"/>
      <protection locked="0"/>
    </xf>
    <xf numFmtId="0" fontId="14" fillId="5" borderId="7" xfId="0" applyNumberFormat="1" applyFont="1" applyFill="1" applyBorder="1" applyAlignment="1" applyProtection="1">
      <alignment horizontal="left"/>
      <protection locked="0"/>
    </xf>
    <xf numFmtId="0" fontId="14" fillId="5" borderId="7" xfId="0" applyNumberFormat="1" applyFont="1" applyFill="1" applyBorder="1" applyAlignment="1" applyProtection="1">
      <alignment horizontal="center"/>
      <protection locked="0"/>
    </xf>
    <xf numFmtId="1" fontId="15" fillId="5" borderId="7" xfId="0" applyNumberFormat="1" applyFont="1" applyFill="1" applyBorder="1" applyAlignment="1" applyProtection="1">
      <alignment horizontal="center"/>
      <protection locked="0"/>
    </xf>
    <xf numFmtId="0" fontId="14" fillId="2" borderId="0" xfId="0" applyNumberFormat="1" applyFont="1" applyFill="1" applyBorder="1" applyAlignment="1"/>
    <xf numFmtId="0" fontId="14" fillId="2" borderId="0" xfId="0" applyNumberFormat="1" applyFont="1" applyFill="1" applyBorder="1" applyAlignment="1">
      <alignment horizontal="center"/>
    </xf>
    <xf numFmtId="1" fontId="15" fillId="2" borderId="0" xfId="0" applyNumberFormat="1" applyFont="1" applyFill="1" applyBorder="1" applyAlignment="1" applyProtection="1">
      <alignment horizontal="center"/>
      <protection locked="0"/>
    </xf>
    <xf numFmtId="0" fontId="5" fillId="0" borderId="0" xfId="0" applyFont="1"/>
    <xf numFmtId="1" fontId="16" fillId="3" borderId="4" xfId="0" applyNumberFormat="1" applyFont="1" applyFill="1" applyBorder="1" applyAlignment="1" applyProtection="1">
      <alignment horizontal="center"/>
      <protection locked="0"/>
    </xf>
    <xf numFmtId="1" fontId="16" fillId="4" borderId="4" xfId="0" applyNumberFormat="1" applyFont="1" applyFill="1" applyBorder="1" applyAlignment="1" applyProtection="1">
      <alignment horizontal="center"/>
      <protection locked="0"/>
    </xf>
    <xf numFmtId="1" fontId="16" fillId="3" borderId="7" xfId="0" applyNumberFormat="1" applyFont="1" applyFill="1" applyBorder="1" applyAlignment="1" applyProtection="1">
      <alignment horizontal="center"/>
      <protection locked="0"/>
    </xf>
    <xf numFmtId="0" fontId="11" fillId="0" borderId="0" xfId="0" applyNumberFormat="1" applyFont="1" applyFill="1" applyBorder="1" applyAlignment="1" applyProtection="1">
      <alignment horizontal="left"/>
    </xf>
    <xf numFmtId="0" fontId="11" fillId="2" borderId="0" xfId="0" applyNumberFormat="1" applyFont="1" applyFill="1" applyBorder="1" applyAlignment="1" applyProtection="1">
      <alignment horizontal="left"/>
    </xf>
    <xf numFmtId="0" fontId="13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8" fillId="0" borderId="0" xfId="0" applyFont="1" applyBorder="1" applyAlignment="1">
      <alignment horizontal="right"/>
    </xf>
    <xf numFmtId="10" fontId="14" fillId="0" borderId="4" xfId="0" applyNumberFormat="1" applyFont="1" applyFill="1" applyBorder="1" applyAlignment="1" applyProtection="1">
      <alignment horizontal="center"/>
    </xf>
    <xf numFmtId="10" fontId="14" fillId="5" borderId="4" xfId="0" applyNumberFormat="1" applyFont="1" applyFill="1" applyBorder="1" applyAlignment="1" applyProtection="1">
      <alignment horizontal="center"/>
      <protection locked="0"/>
    </xf>
    <xf numFmtId="10" fontId="14" fillId="0" borderId="4" xfId="0" applyNumberFormat="1" applyFont="1" applyFill="1" applyBorder="1" applyAlignment="1" applyProtection="1">
      <alignment horizontal="center"/>
      <protection locked="0"/>
    </xf>
    <xf numFmtId="10" fontId="14" fillId="5" borderId="7" xfId="0" applyNumberFormat="1" applyFont="1" applyFill="1" applyBorder="1" applyAlignment="1" applyProtection="1">
      <alignment horizontal="center"/>
      <protection locked="0"/>
    </xf>
    <xf numFmtId="10" fontId="5" fillId="3" borderId="4" xfId="0" applyNumberFormat="1" applyFont="1" applyFill="1" applyBorder="1" applyAlignment="1" applyProtection="1">
      <alignment horizontal="center"/>
      <protection locked="0"/>
    </xf>
    <xf numFmtId="10" fontId="5" fillId="4" borderId="4" xfId="0" applyNumberFormat="1" applyFont="1" applyFill="1" applyBorder="1" applyAlignment="1" applyProtection="1">
      <alignment horizontal="center"/>
      <protection locked="0"/>
    </xf>
    <xf numFmtId="10" fontId="5" fillId="3" borderId="7" xfId="0" applyNumberFormat="1" applyFont="1" applyFill="1" applyBorder="1" applyAlignment="1" applyProtection="1">
      <alignment horizontal="center"/>
      <protection locked="0"/>
    </xf>
    <xf numFmtId="1" fontId="11" fillId="2" borderId="10" xfId="0" applyNumberFormat="1" applyFont="1" applyFill="1" applyBorder="1" applyAlignment="1">
      <alignment horizontal="center"/>
    </xf>
    <xf numFmtId="1" fontId="11" fillId="2" borderId="0" xfId="0" applyNumberFormat="1" applyFont="1" applyFill="1" applyBorder="1" applyAlignment="1">
      <alignment horizontal="center"/>
    </xf>
    <xf numFmtId="2" fontId="5" fillId="3" borderId="4" xfId="0" applyNumberFormat="1" applyFont="1" applyFill="1" applyBorder="1" applyAlignment="1" applyProtection="1">
      <alignment horizontal="center"/>
      <protection locked="0"/>
    </xf>
    <xf numFmtId="2" fontId="5" fillId="4" borderId="4" xfId="0" applyNumberFormat="1" applyFont="1" applyFill="1" applyBorder="1" applyAlignment="1" applyProtection="1">
      <alignment horizontal="center"/>
      <protection locked="0"/>
    </xf>
    <xf numFmtId="2" fontId="5" fillId="3" borderId="7" xfId="0" applyNumberFormat="1" applyFont="1" applyFill="1" applyBorder="1" applyAlignment="1" applyProtection="1">
      <alignment horizontal="center"/>
      <protection locked="0"/>
    </xf>
    <xf numFmtId="0" fontId="19" fillId="2" borderId="0" xfId="0" applyNumberFormat="1" applyFont="1" applyFill="1" applyBorder="1" applyAlignment="1">
      <alignment wrapText="1"/>
    </xf>
    <xf numFmtId="0" fontId="0" fillId="6" borderId="8" xfId="0" applyFill="1" applyBorder="1"/>
    <xf numFmtId="0" fontId="17" fillId="6" borderId="12" xfId="0" applyFont="1" applyFill="1" applyBorder="1"/>
    <xf numFmtId="0" fontId="17" fillId="6" borderId="9" xfId="0" applyFont="1" applyFill="1" applyBorder="1" applyAlignment="1">
      <alignment horizontal="right"/>
    </xf>
    <xf numFmtId="0" fontId="0" fillId="6" borderId="13" xfId="0" applyFill="1" applyBorder="1"/>
    <xf numFmtId="0" fontId="17" fillId="6" borderId="14" xfId="0" applyFont="1" applyFill="1" applyBorder="1"/>
    <xf numFmtId="0" fontId="17" fillId="6" borderId="11" xfId="0" applyFont="1" applyFill="1" applyBorder="1" applyAlignment="1">
      <alignment horizontal="right"/>
    </xf>
    <xf numFmtId="172" fontId="1" fillId="4" borderId="1" xfId="0" applyNumberFormat="1" applyFont="1" applyFill="1" applyBorder="1" applyAlignment="1" applyProtection="1">
      <alignment horizontal="center" vertical="center"/>
    </xf>
    <xf numFmtId="1" fontId="11" fillId="2" borderId="1" xfId="0" applyNumberFormat="1" applyFont="1" applyFill="1" applyBorder="1" applyAlignment="1">
      <alignment horizontal="center"/>
    </xf>
    <xf numFmtId="172" fontId="11" fillId="2" borderId="1" xfId="0" applyNumberFormat="1" applyFont="1" applyFill="1" applyBorder="1" applyAlignment="1">
      <alignment horizontal="center"/>
    </xf>
    <xf numFmtId="16" fontId="17" fillId="0" borderId="0" xfId="0" applyNumberFormat="1" applyFont="1"/>
    <xf numFmtId="1" fontId="9" fillId="2" borderId="0" xfId="0" applyNumberFormat="1" applyFont="1" applyFill="1" applyBorder="1" applyAlignment="1">
      <alignment horizontal="center"/>
    </xf>
    <xf numFmtId="2" fontId="15" fillId="0" borderId="4" xfId="0" applyNumberFormat="1" applyFont="1" applyFill="1" applyBorder="1" applyAlignment="1" applyProtection="1">
      <alignment horizontal="center"/>
      <protection locked="0"/>
    </xf>
    <xf numFmtId="2" fontId="15" fillId="5" borderId="4" xfId="0" applyNumberFormat="1" applyFont="1" applyFill="1" applyBorder="1" applyAlignment="1" applyProtection="1">
      <alignment horizontal="center"/>
      <protection locked="0"/>
    </xf>
    <xf numFmtId="2" fontId="15" fillId="5" borderId="7" xfId="0" applyNumberFormat="1" applyFont="1" applyFill="1" applyBorder="1" applyAlignment="1" applyProtection="1">
      <alignment horizontal="center"/>
      <protection locked="0"/>
    </xf>
    <xf numFmtId="0" fontId="17" fillId="6" borderId="1" xfId="0" applyFont="1" applyFill="1" applyBorder="1" applyAlignment="1">
      <alignment horizontal="center"/>
    </xf>
    <xf numFmtId="1" fontId="9" fillId="6" borderId="11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7" fillId="2" borderId="1" xfId="0" applyNumberFormat="1" applyFont="1" applyFill="1" applyBorder="1" applyAlignment="1">
      <alignment horizontal="center"/>
    </xf>
    <xf numFmtId="0" fontId="23" fillId="7" borderId="8" xfId="0" applyFont="1" applyFill="1" applyBorder="1" applyAlignment="1">
      <alignment horizontal="center"/>
    </xf>
    <xf numFmtId="0" fontId="23" fillId="7" borderId="12" xfId="0" applyFont="1" applyFill="1" applyBorder="1" applyAlignment="1">
      <alignment horizontal="center"/>
    </xf>
    <xf numFmtId="0" fontId="23" fillId="7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69850</xdr:rowOff>
    </xdr:from>
    <xdr:to>
      <xdr:col>10</xdr:col>
      <xdr:colOff>50800</xdr:colOff>
      <xdr:row>8</xdr:row>
      <xdr:rowOff>101600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143C14E1-EDC4-4CBF-9280-74934197C169}"/>
            </a:ext>
          </a:extLst>
        </xdr:cNvPr>
        <xdr:cNvSpPr txBox="1">
          <a:spLocks noChangeArrowheads="1"/>
        </xdr:cNvSpPr>
      </xdr:nvSpPr>
      <xdr:spPr bwMode="auto">
        <a:xfrm>
          <a:off x="38100" y="266700"/>
          <a:ext cx="7302500" cy="920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Instructions:</a:t>
          </a: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Be sure to save backup copies of your grades, just in case.</a:t>
          </a: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1. Fill in your school name, class info, student names, and student IDs (optional).   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2. Adjust the Grade &amp; GPA table below to match the typical scoring system you use.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3. </a:t>
          </a: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Fill in the assignment or test names (e.g. "Quiz 1") starting in cell F15, along with the points that each assignment is worth. </a:t>
          </a: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800"/>
            </a:lnSpc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4. Fill in the scores for each student on each assignment or test. The "Average", "Ltr Grade" and "GPA" columns are automatically calculated, but you can override them if you wish. </a:t>
          </a: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To award extra credit points, simply give more points on an assignment than the total possible points listed for that assignment.</a:t>
          </a: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000"/>
            </a:lnSpc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Note: Use the "Print Area" command on the File menu if you want to change what area prints.</a:t>
          </a:r>
        </a:p>
      </xdr:txBody>
    </xdr:sp>
    <xdr:clientData fPrintsWithSheet="0"/>
  </xdr:twoCellAnchor>
  <xdr:twoCellAnchor>
    <xdr:from>
      <xdr:col>2</xdr:col>
      <xdr:colOff>0</xdr:colOff>
      <xdr:row>13</xdr:row>
      <xdr:rowOff>368300</xdr:rowOff>
    </xdr:from>
    <xdr:to>
      <xdr:col>10</xdr:col>
      <xdr:colOff>44450</xdr:colOff>
      <xdr:row>14</xdr:row>
      <xdr:rowOff>31750</xdr:rowOff>
    </xdr:to>
    <xdr:sp macro="" textlink="">
      <xdr:nvSpPr>
        <xdr:cNvPr id="3078" name="Text Box 6">
          <a:extLst>
            <a:ext uri="{FF2B5EF4-FFF2-40B4-BE49-F238E27FC236}">
              <a16:creationId xmlns:a16="http://schemas.microsoft.com/office/drawing/2014/main" id="{D009EC57-4A05-4D52-B828-E6B34281C065}"/>
            </a:ext>
          </a:extLst>
        </xdr:cNvPr>
        <xdr:cNvSpPr txBox="1">
          <a:spLocks noChangeArrowheads="1"/>
        </xdr:cNvSpPr>
      </xdr:nvSpPr>
      <xdr:spPr bwMode="auto">
        <a:xfrm>
          <a:off x="2781300" y="2146300"/>
          <a:ext cx="455295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Enter each assignment or test and the points it is worth into the table below.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50800</xdr:rowOff>
    </xdr:from>
    <xdr:to>
      <xdr:col>10</xdr:col>
      <xdr:colOff>50800</xdr:colOff>
      <xdr:row>8</xdr:row>
      <xdr:rowOff>82550</xdr:rowOff>
    </xdr:to>
    <xdr:sp macro="" textlink="">
      <xdr:nvSpPr>
        <xdr:cNvPr id="1043" name="Text Box 19">
          <a:extLst>
            <a:ext uri="{FF2B5EF4-FFF2-40B4-BE49-F238E27FC236}">
              <a16:creationId xmlns:a16="http://schemas.microsoft.com/office/drawing/2014/main" id="{628B68E6-8DDF-40ED-AE96-7D74F6A0E5AE}"/>
            </a:ext>
          </a:extLst>
        </xdr:cNvPr>
        <xdr:cNvSpPr txBox="1">
          <a:spLocks noChangeArrowheads="1"/>
        </xdr:cNvSpPr>
      </xdr:nvSpPr>
      <xdr:spPr bwMode="auto">
        <a:xfrm>
          <a:off x="38100" y="247650"/>
          <a:ext cx="7239000" cy="920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Instructions:</a:t>
          </a: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Be sure to save backup copies of your grades, just in case.</a:t>
          </a: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1. Fill in your school name, class info, student names, and student IDs (optional).   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2. Adjust the Grade &amp; GPA table below to match the typical scoring system you use.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3. </a:t>
          </a: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Fill in the assignment or test names (e.g. "Quiz 1") starting in cell F15, along with the points that each assignment is worth. </a:t>
          </a: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800"/>
            </a:lnSpc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4. Fill in the scores for each student on each assignment or test. The "Average", "Ltr Grade" and "GPA" columns are automatically calculated, but you can override them if you wish. </a:t>
          </a: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To award extra credit points, simply give more points on an assignment than the total possible points listed for that assignment.</a:t>
          </a: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000"/>
            </a:lnSpc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Note: Use the "Print Area" command on the File menu if you want to change what area prints.</a:t>
          </a:r>
        </a:p>
      </xdr:txBody>
    </xdr:sp>
    <xdr:clientData fPrintsWithSheet="0"/>
  </xdr:twoCellAnchor>
  <xdr:twoCellAnchor>
    <xdr:from>
      <xdr:col>2</xdr:col>
      <xdr:colOff>0</xdr:colOff>
      <xdr:row>13</xdr:row>
      <xdr:rowOff>368300</xdr:rowOff>
    </xdr:from>
    <xdr:to>
      <xdr:col>11</xdr:col>
      <xdr:colOff>495300</xdr:colOff>
      <xdr:row>14</xdr:row>
      <xdr:rowOff>31750</xdr:rowOff>
    </xdr:to>
    <xdr:sp macro="" textlink="">
      <xdr:nvSpPr>
        <xdr:cNvPr id="1045" name="Text Box 21">
          <a:extLst>
            <a:ext uri="{FF2B5EF4-FFF2-40B4-BE49-F238E27FC236}">
              <a16:creationId xmlns:a16="http://schemas.microsoft.com/office/drawing/2014/main" id="{3D954E5A-61FC-4BD4-8190-89FD9B9EDC64}"/>
            </a:ext>
          </a:extLst>
        </xdr:cNvPr>
        <xdr:cNvSpPr txBox="1">
          <a:spLocks noChangeArrowheads="1"/>
        </xdr:cNvSpPr>
      </xdr:nvSpPr>
      <xdr:spPr bwMode="auto">
        <a:xfrm>
          <a:off x="2781300" y="2146300"/>
          <a:ext cx="54991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Enter the date for each class session into the table below. </a:t>
          </a:r>
          <a:r>
            <a:rPr lang="en-GB" sz="900" b="1" i="0" u="none" strike="noStrike" baseline="0">
              <a:solidFill>
                <a:srgbClr val="FF0000"/>
              </a:solidFill>
              <a:latin typeface="Arial"/>
              <a:cs typeface="Arial"/>
            </a:rPr>
            <a:t>Tip: enter day alone and current month is given.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67"/>
  <sheetViews>
    <sheetView showGridLines="0" tabSelected="1" topLeftCell="A8" zoomScaleNormal="100" workbookViewId="0">
      <selection activeCell="G21" sqref="G21"/>
    </sheetView>
  </sheetViews>
  <sheetFormatPr defaultRowHeight="11.5" x14ac:dyDescent="0.25"/>
  <cols>
    <col min="1" max="1" width="32.3984375" customWidth="1"/>
    <col min="2" max="2" width="11.3984375" customWidth="1"/>
    <col min="3" max="3" width="9" customWidth="1"/>
    <col min="4" max="5" width="8.59765625" customWidth="1"/>
    <col min="6" max="6" width="9.59765625" bestFit="1" customWidth="1"/>
  </cols>
  <sheetData>
    <row r="1" spans="1:34" ht="15.5" x14ac:dyDescent="0.35">
      <c r="A1" s="10" t="s">
        <v>16</v>
      </c>
    </row>
    <row r="2" spans="1:34" s="26" customFormat="1" ht="10" x14ac:dyDescent="0.2">
      <c r="A2" s="25"/>
      <c r="B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spans="1:34" s="26" customFormat="1" ht="10" x14ac:dyDescent="0.2">
      <c r="A3" s="25"/>
      <c r="B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</row>
    <row r="4" spans="1:34" s="26" customFormat="1" ht="10" x14ac:dyDescent="0.2">
      <c r="A4" s="25"/>
      <c r="B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</row>
    <row r="5" spans="1:34" s="26" customFormat="1" ht="10" x14ac:dyDescent="0.2">
      <c r="A5" s="25"/>
      <c r="B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</row>
    <row r="6" spans="1:34" s="26" customFormat="1" ht="10" x14ac:dyDescent="0.2">
      <c r="A6" s="25"/>
      <c r="B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</row>
    <row r="7" spans="1:34" s="26" customFormat="1" ht="10" x14ac:dyDescent="0.2">
      <c r="A7" s="25"/>
      <c r="B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</row>
    <row r="8" spans="1:34" s="26" customFormat="1" ht="10" x14ac:dyDescent="0.2">
      <c r="A8" s="25"/>
      <c r="B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</row>
    <row r="9" spans="1:34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34" s="34" customFormat="1" x14ac:dyDescent="0.25">
      <c r="A10" s="33"/>
      <c r="B10" s="33"/>
      <c r="C10" s="92" t="s">
        <v>0</v>
      </c>
      <c r="D10" s="93"/>
      <c r="E10" s="93"/>
      <c r="F10" s="93"/>
      <c r="G10" s="94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34" s="26" customFormat="1" ht="10.5" x14ac:dyDescent="0.25">
      <c r="A11" s="25"/>
      <c r="B11" s="9" t="s">
        <v>10</v>
      </c>
      <c r="C11" s="27">
        <v>0</v>
      </c>
      <c r="D11" s="28">
        <v>0.6</v>
      </c>
      <c r="E11" s="28">
        <v>0.7</v>
      </c>
      <c r="F11" s="28">
        <v>0.8</v>
      </c>
      <c r="G11" s="28">
        <v>0.9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34" s="26" customFormat="1" ht="10.5" x14ac:dyDescent="0.25">
      <c r="A12" s="25"/>
      <c r="B12" s="9" t="s">
        <v>11</v>
      </c>
      <c r="C12" s="29" t="s">
        <v>1</v>
      </c>
      <c r="D12" s="30" t="s">
        <v>2</v>
      </c>
      <c r="E12" s="30" t="s">
        <v>3</v>
      </c>
      <c r="F12" s="30" t="s">
        <v>4</v>
      </c>
      <c r="G12" s="30" t="s">
        <v>5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34" s="26" customFormat="1" ht="10.5" x14ac:dyDescent="0.25">
      <c r="A13" s="25"/>
      <c r="B13" s="9" t="s">
        <v>12</v>
      </c>
      <c r="C13" s="31">
        <v>0</v>
      </c>
      <c r="D13" s="32">
        <v>1</v>
      </c>
      <c r="E13" s="32">
        <v>2</v>
      </c>
      <c r="F13" s="32">
        <v>3</v>
      </c>
      <c r="G13" s="32">
        <v>4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34" ht="45" x14ac:dyDescent="0.45">
      <c r="A14" s="73" t="s">
        <v>21</v>
      </c>
      <c r="B14" s="6"/>
      <c r="D14" s="2"/>
      <c r="E14" s="60"/>
      <c r="F14" s="2"/>
      <c r="G14" s="2"/>
      <c r="H14" s="2"/>
      <c r="I14" s="2"/>
      <c r="J14" s="2"/>
      <c r="K14" s="2"/>
      <c r="L14" s="2"/>
      <c r="M14" s="2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4" ht="13" x14ac:dyDescent="0.3">
      <c r="A15" s="5" t="s">
        <v>22</v>
      </c>
      <c r="C15" s="74"/>
      <c r="D15" s="75"/>
      <c r="E15" s="76" t="s">
        <v>20</v>
      </c>
      <c r="F15" s="88" t="s">
        <v>29</v>
      </c>
      <c r="G15" s="90"/>
      <c r="H15" s="90"/>
      <c r="I15" s="90"/>
      <c r="J15" s="90"/>
      <c r="K15" s="90"/>
      <c r="L15" s="90"/>
      <c r="M15" s="90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1"/>
    </row>
    <row r="16" spans="1:34" ht="13" x14ac:dyDescent="0.3">
      <c r="A16" s="5" t="s">
        <v>14</v>
      </c>
      <c r="B16" s="7"/>
      <c r="C16" s="77"/>
      <c r="D16" s="78"/>
      <c r="E16" s="79" t="s">
        <v>18</v>
      </c>
      <c r="F16" s="89">
        <f>'Course (Attend)'!F16</f>
        <v>10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1"/>
    </row>
    <row r="17" spans="1:33" ht="13" x14ac:dyDescent="0.3">
      <c r="A17" s="5" t="s">
        <v>23</v>
      </c>
      <c r="AG17" s="1"/>
    </row>
    <row r="18" spans="1:33" s="56" customFormat="1" x14ac:dyDescent="0.25">
      <c r="A18" s="6"/>
      <c r="B18"/>
      <c r="C18"/>
      <c r="E18" s="58" t="s">
        <v>19</v>
      </c>
      <c r="F18" s="59">
        <f>COUNTA(F15:AF15)</f>
        <v>1</v>
      </c>
    </row>
    <row r="19" spans="1:33" s="56" customFormat="1" x14ac:dyDescent="0.25">
      <c r="A19" s="6"/>
      <c r="B19"/>
      <c r="C19"/>
      <c r="E19" s="57" t="s">
        <v>17</v>
      </c>
      <c r="F19" s="69">
        <f>SUM(F16:AF16)</f>
        <v>10</v>
      </c>
    </row>
    <row r="20" spans="1:33" x14ac:dyDescent="0.25">
      <c r="A20" s="3"/>
      <c r="B20" s="3"/>
      <c r="C20" s="3"/>
      <c r="D20" s="3"/>
      <c r="E20" s="3"/>
      <c r="F20" s="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3" s="55" customFormat="1" ht="10.5" x14ac:dyDescent="0.2">
      <c r="A21" s="11" t="s">
        <v>15</v>
      </c>
      <c r="B21" s="11" t="s">
        <v>13</v>
      </c>
      <c r="C21" s="11" t="s">
        <v>10</v>
      </c>
      <c r="D21" s="11" t="s">
        <v>11</v>
      </c>
      <c r="E21" s="11" t="s">
        <v>12</v>
      </c>
      <c r="F21" s="22" t="str">
        <f>Tests</f>
        <v>Attend</v>
      </c>
      <c r="G21" s="22" t="str">
        <f t="shared" ref="G21:AF21" si="0">Tests</f>
        <v/>
      </c>
      <c r="H21" s="22" t="str">
        <f t="shared" si="0"/>
        <v/>
      </c>
      <c r="I21" s="22" t="str">
        <f t="shared" si="0"/>
        <v/>
      </c>
      <c r="J21" s="22" t="str">
        <f t="shared" si="0"/>
        <v/>
      </c>
      <c r="K21" s="22" t="str">
        <f t="shared" si="0"/>
        <v/>
      </c>
      <c r="L21" s="22" t="str">
        <f t="shared" si="0"/>
        <v/>
      </c>
      <c r="M21" s="22" t="str">
        <f t="shared" si="0"/>
        <v/>
      </c>
      <c r="N21" s="22" t="str">
        <f t="shared" si="0"/>
        <v/>
      </c>
      <c r="O21" s="22" t="str">
        <f t="shared" si="0"/>
        <v/>
      </c>
      <c r="P21" s="22" t="str">
        <f t="shared" si="0"/>
        <v/>
      </c>
      <c r="Q21" s="22" t="str">
        <f t="shared" si="0"/>
        <v/>
      </c>
      <c r="R21" s="22" t="str">
        <f t="shared" si="0"/>
        <v/>
      </c>
      <c r="S21" s="22" t="str">
        <f t="shared" si="0"/>
        <v/>
      </c>
      <c r="T21" s="22" t="str">
        <f t="shared" si="0"/>
        <v/>
      </c>
      <c r="U21" s="22" t="str">
        <f t="shared" si="0"/>
        <v/>
      </c>
      <c r="V21" s="22" t="str">
        <f t="shared" si="0"/>
        <v/>
      </c>
      <c r="W21" s="22" t="str">
        <f t="shared" si="0"/>
        <v/>
      </c>
      <c r="X21" s="22" t="str">
        <f t="shared" si="0"/>
        <v/>
      </c>
      <c r="Y21" s="22" t="str">
        <f t="shared" si="0"/>
        <v/>
      </c>
      <c r="Z21" s="22" t="str">
        <f t="shared" si="0"/>
        <v/>
      </c>
      <c r="AA21" s="22" t="str">
        <f t="shared" si="0"/>
        <v/>
      </c>
      <c r="AB21" s="22" t="str">
        <f t="shared" si="0"/>
        <v/>
      </c>
      <c r="AC21" s="22" t="str">
        <f t="shared" si="0"/>
        <v/>
      </c>
      <c r="AD21" s="22" t="str">
        <f t="shared" si="0"/>
        <v/>
      </c>
      <c r="AE21" s="22" t="str">
        <f t="shared" si="0"/>
        <v/>
      </c>
      <c r="AF21" s="22" t="str">
        <f t="shared" si="0"/>
        <v/>
      </c>
    </row>
    <row r="22" spans="1:33" s="38" customFormat="1" x14ac:dyDescent="0.25">
      <c r="A22" s="35"/>
      <c r="B22" s="42"/>
      <c r="C22" s="61" t="str">
        <f t="shared" ref="C22:C61" si="1">(IF(SUM(F22:AF22),ROUND(SUM(F22:AF22)/$F$19,2),""))</f>
        <v/>
      </c>
      <c r="D22" s="36" t="str">
        <f t="shared" ref="D22:D61" si="2">IF(C22&lt;&gt;"",HLOOKUP(C22,GradeTable,2),"")</f>
        <v/>
      </c>
      <c r="E22" s="36" t="str">
        <f t="shared" ref="E22:E61" si="3">IF(C22&lt;&gt;"",HLOOKUP(C22,GradeTable,3),"")</f>
        <v/>
      </c>
      <c r="F22" s="85" t="str">
        <f>'Course (Attend)'!E22</f>
        <v/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</row>
    <row r="23" spans="1:33" s="38" customFormat="1" x14ac:dyDescent="0.25">
      <c r="A23" s="39"/>
      <c r="B23" s="40"/>
      <c r="C23" s="62" t="str">
        <f t="shared" si="1"/>
        <v/>
      </c>
      <c r="D23" s="40" t="str">
        <f t="shared" si="2"/>
        <v/>
      </c>
      <c r="E23" s="40" t="str">
        <f t="shared" si="3"/>
        <v/>
      </c>
      <c r="F23" s="86" t="str">
        <f>'Course (Attend)'!E23</f>
        <v/>
      </c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</row>
    <row r="24" spans="1:33" s="38" customFormat="1" x14ac:dyDescent="0.25">
      <c r="A24" s="35"/>
      <c r="B24" s="42"/>
      <c r="C24" s="63" t="str">
        <f t="shared" si="1"/>
        <v/>
      </c>
      <c r="D24" s="42" t="str">
        <f t="shared" si="2"/>
        <v/>
      </c>
      <c r="E24" s="42" t="str">
        <f t="shared" si="3"/>
        <v/>
      </c>
      <c r="F24" s="85" t="str">
        <f>'Course (Attend)'!E24</f>
        <v/>
      </c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pans="1:33" s="38" customFormat="1" x14ac:dyDescent="0.25">
      <c r="A25" s="39"/>
      <c r="B25" s="40"/>
      <c r="C25" s="62" t="str">
        <f t="shared" si="1"/>
        <v/>
      </c>
      <c r="D25" s="40" t="str">
        <f t="shared" si="2"/>
        <v/>
      </c>
      <c r="E25" s="40" t="str">
        <f t="shared" si="3"/>
        <v/>
      </c>
      <c r="F25" s="86" t="str">
        <f>'Course (Attend)'!E25</f>
        <v/>
      </c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</row>
    <row r="26" spans="1:33" s="38" customFormat="1" x14ac:dyDescent="0.25">
      <c r="A26" s="35"/>
      <c r="B26" s="42"/>
      <c r="C26" s="63" t="str">
        <f t="shared" si="1"/>
        <v/>
      </c>
      <c r="D26" s="42" t="str">
        <f t="shared" si="2"/>
        <v/>
      </c>
      <c r="E26" s="42" t="str">
        <f t="shared" si="3"/>
        <v/>
      </c>
      <c r="F26" s="85" t="str">
        <f>'Course (Attend)'!E26</f>
        <v/>
      </c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</row>
    <row r="27" spans="1:33" s="38" customFormat="1" x14ac:dyDescent="0.25">
      <c r="A27" s="39"/>
      <c r="B27" s="40"/>
      <c r="C27" s="62" t="str">
        <f t="shared" si="1"/>
        <v/>
      </c>
      <c r="D27" s="40" t="str">
        <f t="shared" si="2"/>
        <v/>
      </c>
      <c r="E27" s="40" t="str">
        <f t="shared" si="3"/>
        <v/>
      </c>
      <c r="F27" s="86" t="str">
        <f>'Course (Attend)'!E27</f>
        <v/>
      </c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</row>
    <row r="28" spans="1:33" s="38" customFormat="1" x14ac:dyDescent="0.25">
      <c r="A28" s="35"/>
      <c r="B28" s="42"/>
      <c r="C28" s="63" t="str">
        <f t="shared" si="1"/>
        <v/>
      </c>
      <c r="D28" s="42" t="str">
        <f t="shared" si="2"/>
        <v/>
      </c>
      <c r="E28" s="42" t="str">
        <f t="shared" si="3"/>
        <v/>
      </c>
      <c r="F28" s="85" t="str">
        <f>'Course (Attend)'!E28</f>
        <v/>
      </c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</row>
    <row r="29" spans="1:33" s="38" customFormat="1" x14ac:dyDescent="0.25">
      <c r="A29" s="39"/>
      <c r="B29" s="40"/>
      <c r="C29" s="62" t="str">
        <f t="shared" si="1"/>
        <v/>
      </c>
      <c r="D29" s="40" t="str">
        <f t="shared" si="2"/>
        <v/>
      </c>
      <c r="E29" s="40" t="str">
        <f t="shared" si="3"/>
        <v/>
      </c>
      <c r="F29" s="86" t="str">
        <f>'Course (Attend)'!E29</f>
        <v/>
      </c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</row>
    <row r="30" spans="1:33" s="38" customFormat="1" x14ac:dyDescent="0.25">
      <c r="A30" s="35"/>
      <c r="B30" s="42"/>
      <c r="C30" s="63" t="str">
        <f t="shared" si="1"/>
        <v/>
      </c>
      <c r="D30" s="42" t="str">
        <f t="shared" si="2"/>
        <v/>
      </c>
      <c r="E30" s="42" t="str">
        <f t="shared" si="3"/>
        <v/>
      </c>
      <c r="F30" s="85" t="str">
        <f>'Course (Attend)'!E30</f>
        <v/>
      </c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</row>
    <row r="31" spans="1:33" s="38" customFormat="1" x14ac:dyDescent="0.25">
      <c r="A31" s="39"/>
      <c r="B31" s="40"/>
      <c r="C31" s="62" t="str">
        <f t="shared" si="1"/>
        <v/>
      </c>
      <c r="D31" s="40" t="str">
        <f t="shared" si="2"/>
        <v/>
      </c>
      <c r="E31" s="40" t="str">
        <f t="shared" si="3"/>
        <v/>
      </c>
      <c r="F31" s="86" t="str">
        <f>'Course (Attend)'!E31</f>
        <v/>
      </c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</row>
    <row r="32" spans="1:33" s="38" customFormat="1" x14ac:dyDescent="0.25">
      <c r="A32" s="35"/>
      <c r="B32" s="42"/>
      <c r="C32" s="63" t="str">
        <f t="shared" si="1"/>
        <v/>
      </c>
      <c r="D32" s="42" t="str">
        <f t="shared" si="2"/>
        <v/>
      </c>
      <c r="E32" s="42" t="str">
        <f t="shared" si="3"/>
        <v/>
      </c>
      <c r="F32" s="85" t="str">
        <f>'Course (Attend)'!E32</f>
        <v/>
      </c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</row>
    <row r="33" spans="1:32" s="38" customFormat="1" x14ac:dyDescent="0.25">
      <c r="A33" s="39"/>
      <c r="B33" s="40"/>
      <c r="C33" s="62" t="str">
        <f t="shared" si="1"/>
        <v/>
      </c>
      <c r="D33" s="40" t="str">
        <f t="shared" si="2"/>
        <v/>
      </c>
      <c r="E33" s="40" t="str">
        <f t="shared" si="3"/>
        <v/>
      </c>
      <c r="F33" s="86" t="str">
        <f>'Course (Attend)'!E33</f>
        <v/>
      </c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</row>
    <row r="34" spans="1:32" s="38" customFormat="1" x14ac:dyDescent="0.25">
      <c r="A34" s="35"/>
      <c r="B34" s="42"/>
      <c r="C34" s="63" t="str">
        <f t="shared" si="1"/>
        <v/>
      </c>
      <c r="D34" s="42" t="str">
        <f t="shared" si="2"/>
        <v/>
      </c>
      <c r="E34" s="42" t="str">
        <f t="shared" si="3"/>
        <v/>
      </c>
      <c r="F34" s="85" t="str">
        <f>'Course (Attend)'!E34</f>
        <v/>
      </c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</row>
    <row r="35" spans="1:32" s="38" customFormat="1" x14ac:dyDescent="0.25">
      <c r="A35" s="39"/>
      <c r="B35" s="40"/>
      <c r="C35" s="62" t="str">
        <f t="shared" si="1"/>
        <v/>
      </c>
      <c r="D35" s="40" t="str">
        <f t="shared" si="2"/>
        <v/>
      </c>
      <c r="E35" s="40" t="str">
        <f t="shared" si="3"/>
        <v/>
      </c>
      <c r="F35" s="86" t="str">
        <f>'Course (Attend)'!E35</f>
        <v/>
      </c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</row>
    <row r="36" spans="1:32" s="38" customFormat="1" x14ac:dyDescent="0.25">
      <c r="A36" s="35"/>
      <c r="B36" s="42"/>
      <c r="C36" s="63" t="str">
        <f t="shared" si="1"/>
        <v/>
      </c>
      <c r="D36" s="42" t="str">
        <f t="shared" si="2"/>
        <v/>
      </c>
      <c r="E36" s="42" t="str">
        <f t="shared" si="3"/>
        <v/>
      </c>
      <c r="F36" s="85" t="str">
        <f>'Course (Attend)'!E36</f>
        <v/>
      </c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pans="1:32" s="38" customFormat="1" x14ac:dyDescent="0.25">
      <c r="A37" s="39"/>
      <c r="B37" s="40"/>
      <c r="C37" s="62" t="str">
        <f t="shared" si="1"/>
        <v/>
      </c>
      <c r="D37" s="40" t="str">
        <f t="shared" si="2"/>
        <v/>
      </c>
      <c r="E37" s="40" t="str">
        <f t="shared" si="3"/>
        <v/>
      </c>
      <c r="F37" s="86" t="str">
        <f>'Course (Attend)'!E37</f>
        <v/>
      </c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</row>
    <row r="38" spans="1:32" s="38" customFormat="1" x14ac:dyDescent="0.25">
      <c r="A38" s="35"/>
      <c r="B38" s="42"/>
      <c r="C38" s="63" t="str">
        <f t="shared" si="1"/>
        <v/>
      </c>
      <c r="D38" s="42" t="str">
        <f t="shared" si="2"/>
        <v/>
      </c>
      <c r="E38" s="42" t="str">
        <f t="shared" si="3"/>
        <v/>
      </c>
      <c r="F38" s="85" t="str">
        <f>'Course (Attend)'!E38</f>
        <v/>
      </c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</row>
    <row r="39" spans="1:32" s="38" customFormat="1" x14ac:dyDescent="0.25">
      <c r="A39" s="39"/>
      <c r="B39" s="40"/>
      <c r="C39" s="62" t="str">
        <f t="shared" si="1"/>
        <v/>
      </c>
      <c r="D39" s="40" t="str">
        <f t="shared" si="2"/>
        <v/>
      </c>
      <c r="E39" s="40" t="str">
        <f t="shared" si="3"/>
        <v/>
      </c>
      <c r="F39" s="86" t="str">
        <f>'Course (Attend)'!E39</f>
        <v/>
      </c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</row>
    <row r="40" spans="1:32" s="38" customFormat="1" x14ac:dyDescent="0.25">
      <c r="A40" s="35"/>
      <c r="B40" s="42"/>
      <c r="C40" s="63" t="str">
        <f t="shared" si="1"/>
        <v/>
      </c>
      <c r="D40" s="42" t="str">
        <f t="shared" si="2"/>
        <v/>
      </c>
      <c r="E40" s="42" t="str">
        <f t="shared" si="3"/>
        <v/>
      </c>
      <c r="F40" s="85" t="str">
        <f>'Course (Attend)'!E40</f>
        <v/>
      </c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</row>
    <row r="41" spans="1:32" s="38" customFormat="1" x14ac:dyDescent="0.25">
      <c r="A41" s="39"/>
      <c r="B41" s="40"/>
      <c r="C41" s="62" t="str">
        <f t="shared" si="1"/>
        <v/>
      </c>
      <c r="D41" s="40" t="str">
        <f t="shared" si="2"/>
        <v/>
      </c>
      <c r="E41" s="40" t="str">
        <f t="shared" si="3"/>
        <v/>
      </c>
      <c r="F41" s="86" t="str">
        <f>'Course (Attend)'!E41</f>
        <v/>
      </c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</row>
    <row r="42" spans="1:32" s="38" customFormat="1" x14ac:dyDescent="0.25">
      <c r="A42" s="35"/>
      <c r="B42" s="42"/>
      <c r="C42" s="63" t="str">
        <f t="shared" si="1"/>
        <v/>
      </c>
      <c r="D42" s="42" t="str">
        <f t="shared" si="2"/>
        <v/>
      </c>
      <c r="E42" s="42" t="str">
        <f t="shared" si="3"/>
        <v/>
      </c>
      <c r="F42" s="85" t="str">
        <f>'Course (Attend)'!E42</f>
        <v/>
      </c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</row>
    <row r="43" spans="1:32" s="38" customFormat="1" x14ac:dyDescent="0.25">
      <c r="A43" s="39"/>
      <c r="B43" s="40"/>
      <c r="C43" s="62" t="str">
        <f t="shared" si="1"/>
        <v/>
      </c>
      <c r="D43" s="40" t="str">
        <f t="shared" si="2"/>
        <v/>
      </c>
      <c r="E43" s="40" t="str">
        <f t="shared" si="3"/>
        <v/>
      </c>
      <c r="F43" s="86" t="str">
        <f>'Course (Attend)'!E43</f>
        <v/>
      </c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</row>
    <row r="44" spans="1:32" s="38" customFormat="1" x14ac:dyDescent="0.25">
      <c r="A44" s="35"/>
      <c r="B44" s="42"/>
      <c r="C44" s="63" t="str">
        <f t="shared" si="1"/>
        <v/>
      </c>
      <c r="D44" s="42" t="str">
        <f t="shared" si="2"/>
        <v/>
      </c>
      <c r="E44" s="42" t="str">
        <f t="shared" si="3"/>
        <v/>
      </c>
      <c r="F44" s="85" t="str">
        <f>'Course (Attend)'!E44</f>
        <v/>
      </c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</row>
    <row r="45" spans="1:32" s="38" customFormat="1" x14ac:dyDescent="0.25">
      <c r="A45" s="39"/>
      <c r="B45" s="40"/>
      <c r="C45" s="62" t="str">
        <f t="shared" si="1"/>
        <v/>
      </c>
      <c r="D45" s="40" t="str">
        <f t="shared" si="2"/>
        <v/>
      </c>
      <c r="E45" s="40" t="str">
        <f t="shared" si="3"/>
        <v/>
      </c>
      <c r="F45" s="86" t="str">
        <f>'Course (Attend)'!E45</f>
        <v/>
      </c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</row>
    <row r="46" spans="1:32" s="38" customFormat="1" x14ac:dyDescent="0.25">
      <c r="A46" s="35"/>
      <c r="B46" s="42"/>
      <c r="C46" s="63" t="str">
        <f t="shared" si="1"/>
        <v/>
      </c>
      <c r="D46" s="42" t="str">
        <f t="shared" si="2"/>
        <v/>
      </c>
      <c r="E46" s="42" t="str">
        <f t="shared" si="3"/>
        <v/>
      </c>
      <c r="F46" s="85" t="str">
        <f>'Course (Attend)'!E46</f>
        <v/>
      </c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</row>
    <row r="47" spans="1:32" s="38" customFormat="1" x14ac:dyDescent="0.25">
      <c r="A47" s="39"/>
      <c r="B47" s="40"/>
      <c r="C47" s="62" t="str">
        <f t="shared" si="1"/>
        <v/>
      </c>
      <c r="D47" s="40" t="str">
        <f t="shared" si="2"/>
        <v/>
      </c>
      <c r="E47" s="40" t="str">
        <f t="shared" si="3"/>
        <v/>
      </c>
      <c r="F47" s="86" t="str">
        <f>'Course (Attend)'!E47</f>
        <v/>
      </c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</row>
    <row r="48" spans="1:32" s="38" customFormat="1" x14ac:dyDescent="0.25">
      <c r="A48" s="35"/>
      <c r="B48" s="42"/>
      <c r="C48" s="63" t="str">
        <f t="shared" si="1"/>
        <v/>
      </c>
      <c r="D48" s="42" t="str">
        <f t="shared" si="2"/>
        <v/>
      </c>
      <c r="E48" s="42" t="str">
        <f t="shared" si="3"/>
        <v/>
      </c>
      <c r="F48" s="85" t="str">
        <f>'Course (Attend)'!E48</f>
        <v/>
      </c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pans="1:32" s="38" customFormat="1" x14ac:dyDescent="0.25">
      <c r="A49" s="39"/>
      <c r="B49" s="40"/>
      <c r="C49" s="62" t="str">
        <f t="shared" si="1"/>
        <v/>
      </c>
      <c r="D49" s="40" t="str">
        <f t="shared" si="2"/>
        <v/>
      </c>
      <c r="E49" s="40" t="str">
        <f t="shared" si="3"/>
        <v/>
      </c>
      <c r="F49" s="86" t="str">
        <f>'Course (Attend)'!E49</f>
        <v/>
      </c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</row>
    <row r="50" spans="1:32" s="38" customFormat="1" x14ac:dyDescent="0.25">
      <c r="A50" s="35"/>
      <c r="B50" s="42"/>
      <c r="C50" s="63" t="str">
        <f t="shared" si="1"/>
        <v/>
      </c>
      <c r="D50" s="42" t="str">
        <f t="shared" si="2"/>
        <v/>
      </c>
      <c r="E50" s="42" t="str">
        <f t="shared" si="3"/>
        <v/>
      </c>
      <c r="F50" s="85" t="str">
        <f>'Course (Attend)'!E50</f>
        <v/>
      </c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</row>
    <row r="51" spans="1:32" s="38" customFormat="1" x14ac:dyDescent="0.25">
      <c r="A51" s="39"/>
      <c r="B51" s="40"/>
      <c r="C51" s="62" t="str">
        <f t="shared" si="1"/>
        <v/>
      </c>
      <c r="D51" s="40" t="str">
        <f t="shared" si="2"/>
        <v/>
      </c>
      <c r="E51" s="40" t="str">
        <f t="shared" si="3"/>
        <v/>
      </c>
      <c r="F51" s="86" t="str">
        <f>'Course (Attend)'!E51</f>
        <v/>
      </c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</row>
    <row r="52" spans="1:32" s="38" customFormat="1" x14ac:dyDescent="0.25">
      <c r="A52" s="35"/>
      <c r="B52" s="42"/>
      <c r="C52" s="63" t="str">
        <f t="shared" si="1"/>
        <v/>
      </c>
      <c r="D52" s="42" t="str">
        <f t="shared" si="2"/>
        <v/>
      </c>
      <c r="E52" s="42" t="str">
        <f t="shared" si="3"/>
        <v/>
      </c>
      <c r="F52" s="85" t="str">
        <f>'Course (Attend)'!E52</f>
        <v/>
      </c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</row>
    <row r="53" spans="1:32" s="38" customFormat="1" x14ac:dyDescent="0.25">
      <c r="A53" s="39"/>
      <c r="B53" s="40"/>
      <c r="C53" s="62" t="str">
        <f t="shared" si="1"/>
        <v/>
      </c>
      <c r="D53" s="40" t="str">
        <f t="shared" si="2"/>
        <v/>
      </c>
      <c r="E53" s="40" t="str">
        <f t="shared" si="3"/>
        <v/>
      </c>
      <c r="F53" s="86" t="str">
        <f>'Course (Attend)'!E53</f>
        <v/>
      </c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</row>
    <row r="54" spans="1:32" s="38" customFormat="1" x14ac:dyDescent="0.25">
      <c r="A54" s="35"/>
      <c r="B54" s="42"/>
      <c r="C54" s="63" t="str">
        <f t="shared" si="1"/>
        <v/>
      </c>
      <c r="D54" s="42" t="str">
        <f t="shared" si="2"/>
        <v/>
      </c>
      <c r="E54" s="42" t="str">
        <f t="shared" si="3"/>
        <v/>
      </c>
      <c r="F54" s="85" t="str">
        <f>'Course (Attend)'!E54</f>
        <v/>
      </c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</row>
    <row r="55" spans="1:32" s="38" customFormat="1" x14ac:dyDescent="0.25">
      <c r="A55" s="39"/>
      <c r="B55" s="40"/>
      <c r="C55" s="62" t="str">
        <f t="shared" si="1"/>
        <v/>
      </c>
      <c r="D55" s="40" t="str">
        <f t="shared" si="2"/>
        <v/>
      </c>
      <c r="E55" s="40" t="str">
        <f t="shared" si="3"/>
        <v/>
      </c>
      <c r="F55" s="86" t="str">
        <f>'Course (Attend)'!E55</f>
        <v/>
      </c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</row>
    <row r="56" spans="1:32" s="38" customFormat="1" x14ac:dyDescent="0.25">
      <c r="A56" s="35"/>
      <c r="B56" s="42"/>
      <c r="C56" s="63" t="str">
        <f t="shared" si="1"/>
        <v/>
      </c>
      <c r="D56" s="42" t="str">
        <f t="shared" si="2"/>
        <v/>
      </c>
      <c r="E56" s="42" t="str">
        <f t="shared" si="3"/>
        <v/>
      </c>
      <c r="F56" s="85" t="str">
        <f>'Course (Attend)'!E56</f>
        <v/>
      </c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</row>
    <row r="57" spans="1:32" s="38" customFormat="1" x14ac:dyDescent="0.25">
      <c r="A57" s="39"/>
      <c r="B57" s="40"/>
      <c r="C57" s="62" t="str">
        <f t="shared" si="1"/>
        <v/>
      </c>
      <c r="D57" s="40" t="str">
        <f t="shared" si="2"/>
        <v/>
      </c>
      <c r="E57" s="40" t="str">
        <f t="shared" si="3"/>
        <v/>
      </c>
      <c r="F57" s="86" t="str">
        <f>'Course (Attend)'!E57</f>
        <v/>
      </c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</row>
    <row r="58" spans="1:32" s="38" customFormat="1" x14ac:dyDescent="0.25">
      <c r="A58" s="35"/>
      <c r="B58" s="42"/>
      <c r="C58" s="63" t="str">
        <f t="shared" si="1"/>
        <v/>
      </c>
      <c r="D58" s="42" t="str">
        <f t="shared" si="2"/>
        <v/>
      </c>
      <c r="E58" s="42" t="str">
        <f t="shared" si="3"/>
        <v/>
      </c>
      <c r="F58" s="85" t="str">
        <f>'Course (Attend)'!E58</f>
        <v/>
      </c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</row>
    <row r="59" spans="1:32" s="38" customFormat="1" x14ac:dyDescent="0.25">
      <c r="A59" s="39"/>
      <c r="B59" s="40"/>
      <c r="C59" s="62" t="str">
        <f t="shared" si="1"/>
        <v/>
      </c>
      <c r="D59" s="40" t="str">
        <f t="shared" si="2"/>
        <v/>
      </c>
      <c r="E59" s="40" t="str">
        <f t="shared" si="3"/>
        <v/>
      </c>
      <c r="F59" s="86" t="str">
        <f>'Course (Attend)'!E59</f>
        <v/>
      </c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</row>
    <row r="60" spans="1:32" s="38" customFormat="1" x14ac:dyDescent="0.25">
      <c r="A60" s="35"/>
      <c r="B60" s="42"/>
      <c r="C60" s="63" t="str">
        <f t="shared" si="1"/>
        <v/>
      </c>
      <c r="D60" s="42" t="str">
        <f t="shared" si="2"/>
        <v/>
      </c>
      <c r="E60" s="42" t="str">
        <f t="shared" si="3"/>
        <v/>
      </c>
      <c r="F60" s="85" t="str">
        <f>'Course (Attend)'!E60</f>
        <v/>
      </c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</row>
    <row r="61" spans="1:32" s="38" customFormat="1" x14ac:dyDescent="0.25">
      <c r="A61" s="43"/>
      <c r="B61" s="44"/>
      <c r="C61" s="64" t="str">
        <f t="shared" si="1"/>
        <v/>
      </c>
      <c r="D61" s="44" t="str">
        <f t="shared" si="2"/>
        <v/>
      </c>
      <c r="E61" s="44" t="str">
        <f t="shared" si="3"/>
        <v/>
      </c>
      <c r="F61" s="87" t="str">
        <f>'Course (Attend)'!E61</f>
        <v/>
      </c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</row>
    <row r="62" spans="1:32" s="38" customFormat="1" x14ac:dyDescent="0.25">
      <c r="A62" s="46"/>
      <c r="B62" s="46"/>
      <c r="C62" s="47"/>
      <c r="D62" s="47"/>
      <c r="E62" s="47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</row>
    <row r="63" spans="1:32" s="34" customFormat="1" ht="10.5" x14ac:dyDescent="0.2">
      <c r="A63" s="23" t="s">
        <v>6</v>
      </c>
      <c r="B63" s="24"/>
      <c r="C63" s="21" t="str">
        <f t="shared" ref="C63:P63" si="4">IF(OR(C21,C21&gt;""),C21,"")</f>
        <v>Average</v>
      </c>
      <c r="D63" s="21" t="str">
        <f t="shared" si="4"/>
        <v>Ltr Grade</v>
      </c>
      <c r="E63" s="21" t="str">
        <f t="shared" si="4"/>
        <v>GPA</v>
      </c>
      <c r="F63" s="22" t="str">
        <f t="shared" si="4"/>
        <v>Attend</v>
      </c>
      <c r="G63" s="22" t="str">
        <f t="shared" si="4"/>
        <v/>
      </c>
      <c r="H63" s="22" t="str">
        <f t="shared" si="4"/>
        <v/>
      </c>
      <c r="I63" s="22" t="str">
        <f t="shared" si="4"/>
        <v/>
      </c>
      <c r="J63" s="22" t="str">
        <f t="shared" si="4"/>
        <v/>
      </c>
      <c r="K63" s="22" t="str">
        <f t="shared" si="4"/>
        <v/>
      </c>
      <c r="L63" s="22" t="str">
        <f t="shared" si="4"/>
        <v/>
      </c>
      <c r="M63" s="22" t="str">
        <f t="shared" si="4"/>
        <v/>
      </c>
      <c r="N63" s="22" t="str">
        <f t="shared" si="4"/>
        <v/>
      </c>
      <c r="O63" s="22" t="str">
        <f t="shared" si="4"/>
        <v/>
      </c>
      <c r="P63" s="22" t="str">
        <f t="shared" si="4"/>
        <v/>
      </c>
      <c r="Q63" s="22"/>
      <c r="R63" s="22"/>
      <c r="S63" s="22"/>
      <c r="T63" s="22"/>
      <c r="U63" s="22"/>
      <c r="V63" s="22"/>
      <c r="W63" s="22"/>
      <c r="X63" s="22"/>
      <c r="Y63" s="22" t="str">
        <f t="shared" ref="Y63:AF63" si="5">IF(OR(Y21,Y21&gt;""),Y21,"")</f>
        <v/>
      </c>
      <c r="Z63" s="22" t="str">
        <f t="shared" si="5"/>
        <v/>
      </c>
      <c r="AA63" s="22" t="str">
        <f t="shared" si="5"/>
        <v/>
      </c>
      <c r="AB63" s="22" t="str">
        <f t="shared" si="5"/>
        <v/>
      </c>
      <c r="AC63" s="22" t="str">
        <f t="shared" si="5"/>
        <v/>
      </c>
      <c r="AD63" s="22" t="str">
        <f t="shared" si="5"/>
        <v/>
      </c>
      <c r="AE63" s="22" t="str">
        <f t="shared" si="5"/>
        <v/>
      </c>
      <c r="AF63" s="22" t="str">
        <f t="shared" si="5"/>
        <v/>
      </c>
    </row>
    <row r="64" spans="1:32" s="49" customFormat="1" x14ac:dyDescent="0.25">
      <c r="A64" s="12" t="s">
        <v>7</v>
      </c>
      <c r="B64" s="13"/>
      <c r="C64" s="65" t="str">
        <f>IF(SUM(C22:C62),AVERAGE(C22:C62),"")</f>
        <v/>
      </c>
      <c r="D64" s="14" t="str">
        <f>IF(C64&lt;&gt;"",HLOOKUP(C64,GradeTable,2),"")</f>
        <v/>
      </c>
      <c r="E64" s="70" t="str">
        <f t="shared" ref="E64:AF64" si="6">IF(SUM(E22:E62),AVERAGE(E22:E62),"")</f>
        <v/>
      </c>
      <c r="F64" s="50" t="str">
        <f t="shared" si="6"/>
        <v/>
      </c>
      <c r="G64" s="50" t="str">
        <f t="shared" si="6"/>
        <v/>
      </c>
      <c r="H64" s="50" t="str">
        <f t="shared" si="6"/>
        <v/>
      </c>
      <c r="I64" s="50" t="str">
        <f t="shared" si="6"/>
        <v/>
      </c>
      <c r="J64" s="50" t="str">
        <f t="shared" si="6"/>
        <v/>
      </c>
      <c r="K64" s="50" t="str">
        <f t="shared" si="6"/>
        <v/>
      </c>
      <c r="L64" s="50" t="str">
        <f t="shared" si="6"/>
        <v/>
      </c>
      <c r="M64" s="50" t="str">
        <f t="shared" si="6"/>
        <v/>
      </c>
      <c r="N64" s="50" t="str">
        <f t="shared" si="6"/>
        <v/>
      </c>
      <c r="O64" s="50" t="str">
        <f t="shared" si="6"/>
        <v/>
      </c>
      <c r="P64" s="50" t="str">
        <f t="shared" si="6"/>
        <v/>
      </c>
      <c r="Q64" s="50" t="str">
        <f t="shared" si="6"/>
        <v/>
      </c>
      <c r="R64" s="50" t="str">
        <f t="shared" si="6"/>
        <v/>
      </c>
      <c r="S64" s="50" t="str">
        <f t="shared" si="6"/>
        <v/>
      </c>
      <c r="T64" s="50" t="str">
        <f t="shared" si="6"/>
        <v/>
      </c>
      <c r="U64" s="50" t="str">
        <f t="shared" si="6"/>
        <v/>
      </c>
      <c r="V64" s="50" t="str">
        <f t="shared" si="6"/>
        <v/>
      </c>
      <c r="W64" s="50" t="str">
        <f t="shared" si="6"/>
        <v/>
      </c>
      <c r="X64" s="50" t="str">
        <f t="shared" si="6"/>
        <v/>
      </c>
      <c r="Y64" s="50" t="str">
        <f t="shared" si="6"/>
        <v/>
      </c>
      <c r="Z64" s="50" t="str">
        <f t="shared" si="6"/>
        <v/>
      </c>
      <c r="AA64" s="50" t="str">
        <f t="shared" si="6"/>
        <v/>
      </c>
      <c r="AB64" s="50" t="str">
        <f t="shared" si="6"/>
        <v/>
      </c>
      <c r="AC64" s="50" t="str">
        <f t="shared" si="6"/>
        <v/>
      </c>
      <c r="AD64" s="50" t="str">
        <f t="shared" si="6"/>
        <v/>
      </c>
      <c r="AE64" s="50" t="str">
        <f t="shared" si="6"/>
        <v/>
      </c>
      <c r="AF64" s="50" t="str">
        <f t="shared" si="6"/>
        <v/>
      </c>
    </row>
    <row r="65" spans="1:32" s="49" customFormat="1" x14ac:dyDescent="0.25">
      <c r="A65" s="15" t="s">
        <v>8</v>
      </c>
      <c r="B65" s="16"/>
      <c r="C65" s="66" t="str">
        <f>IF(SUM(C22:C62),MAX(C22:C62),"")</f>
        <v/>
      </c>
      <c r="D65" s="17" t="str">
        <f>IF(C65&lt;&gt;"",HLOOKUP(C65,GradeTable,2),"")</f>
        <v/>
      </c>
      <c r="E65" s="71" t="str">
        <f t="shared" ref="E65:AF65" si="7">IF(SUM(E22:E62),MAX(E22:E62),"")</f>
        <v/>
      </c>
      <c r="F65" s="51" t="str">
        <f t="shared" si="7"/>
        <v/>
      </c>
      <c r="G65" s="51" t="str">
        <f t="shared" si="7"/>
        <v/>
      </c>
      <c r="H65" s="51" t="str">
        <f t="shared" si="7"/>
        <v/>
      </c>
      <c r="I65" s="51" t="str">
        <f t="shared" si="7"/>
        <v/>
      </c>
      <c r="J65" s="51" t="str">
        <f t="shared" si="7"/>
        <v/>
      </c>
      <c r="K65" s="51" t="str">
        <f t="shared" si="7"/>
        <v/>
      </c>
      <c r="L65" s="51" t="str">
        <f t="shared" si="7"/>
        <v/>
      </c>
      <c r="M65" s="51" t="str">
        <f t="shared" si="7"/>
        <v/>
      </c>
      <c r="N65" s="51" t="str">
        <f t="shared" si="7"/>
        <v/>
      </c>
      <c r="O65" s="51" t="str">
        <f t="shared" si="7"/>
        <v/>
      </c>
      <c r="P65" s="51" t="str">
        <f t="shared" si="7"/>
        <v/>
      </c>
      <c r="Q65" s="51" t="str">
        <f t="shared" si="7"/>
        <v/>
      </c>
      <c r="R65" s="51" t="str">
        <f t="shared" si="7"/>
        <v/>
      </c>
      <c r="S65" s="51" t="str">
        <f t="shared" si="7"/>
        <v/>
      </c>
      <c r="T65" s="51" t="str">
        <f t="shared" si="7"/>
        <v/>
      </c>
      <c r="U65" s="51" t="str">
        <f t="shared" si="7"/>
        <v/>
      </c>
      <c r="V65" s="51" t="str">
        <f t="shared" si="7"/>
        <v/>
      </c>
      <c r="W65" s="51" t="str">
        <f t="shared" si="7"/>
        <v/>
      </c>
      <c r="X65" s="51" t="str">
        <f t="shared" si="7"/>
        <v/>
      </c>
      <c r="Y65" s="51" t="str">
        <f t="shared" si="7"/>
        <v/>
      </c>
      <c r="Z65" s="51" t="str">
        <f t="shared" si="7"/>
        <v/>
      </c>
      <c r="AA65" s="51" t="str">
        <f t="shared" si="7"/>
        <v/>
      </c>
      <c r="AB65" s="51" t="str">
        <f t="shared" si="7"/>
        <v/>
      </c>
      <c r="AC65" s="51" t="str">
        <f t="shared" si="7"/>
        <v/>
      </c>
      <c r="AD65" s="51" t="str">
        <f t="shared" si="7"/>
        <v/>
      </c>
      <c r="AE65" s="51" t="str">
        <f t="shared" si="7"/>
        <v/>
      </c>
      <c r="AF65" s="51" t="str">
        <f t="shared" si="7"/>
        <v/>
      </c>
    </row>
    <row r="66" spans="1:32" s="49" customFormat="1" x14ac:dyDescent="0.25">
      <c r="A66" s="18" t="s">
        <v>9</v>
      </c>
      <c r="B66" s="19"/>
      <c r="C66" s="67" t="str">
        <f>IF(SUM(C22:C62),MIN(C22:C62),"")</f>
        <v/>
      </c>
      <c r="D66" s="20" t="str">
        <f>IF(C66&lt;&gt;"",HLOOKUP(C66,GradeTable,2),"")</f>
        <v/>
      </c>
      <c r="E66" s="72" t="str">
        <f t="shared" ref="E66:AF66" si="8">IF(SUM(E22:E62),MIN(E22:E62),"")</f>
        <v/>
      </c>
      <c r="F66" s="52" t="str">
        <f t="shared" si="8"/>
        <v/>
      </c>
      <c r="G66" s="52" t="str">
        <f t="shared" si="8"/>
        <v/>
      </c>
      <c r="H66" s="52" t="str">
        <f t="shared" si="8"/>
        <v/>
      </c>
      <c r="I66" s="52" t="str">
        <f t="shared" si="8"/>
        <v/>
      </c>
      <c r="J66" s="52" t="str">
        <f t="shared" si="8"/>
        <v/>
      </c>
      <c r="K66" s="52" t="str">
        <f t="shared" si="8"/>
        <v/>
      </c>
      <c r="L66" s="52" t="str">
        <f t="shared" si="8"/>
        <v/>
      </c>
      <c r="M66" s="52" t="str">
        <f t="shared" si="8"/>
        <v/>
      </c>
      <c r="N66" s="52" t="str">
        <f t="shared" si="8"/>
        <v/>
      </c>
      <c r="O66" s="52" t="str">
        <f t="shared" si="8"/>
        <v/>
      </c>
      <c r="P66" s="52" t="str">
        <f t="shared" si="8"/>
        <v/>
      </c>
      <c r="Q66" s="52" t="str">
        <f t="shared" si="8"/>
        <v/>
      </c>
      <c r="R66" s="52" t="str">
        <f t="shared" si="8"/>
        <v/>
      </c>
      <c r="S66" s="52" t="str">
        <f t="shared" si="8"/>
        <v/>
      </c>
      <c r="T66" s="52" t="str">
        <f t="shared" si="8"/>
        <v/>
      </c>
      <c r="U66" s="52" t="str">
        <f t="shared" si="8"/>
        <v/>
      </c>
      <c r="V66" s="52" t="str">
        <f t="shared" si="8"/>
        <v/>
      </c>
      <c r="W66" s="52" t="str">
        <f t="shared" si="8"/>
        <v/>
      </c>
      <c r="X66" s="52" t="str">
        <f t="shared" si="8"/>
        <v/>
      </c>
      <c r="Y66" s="52" t="str">
        <f t="shared" si="8"/>
        <v/>
      </c>
      <c r="Z66" s="52" t="str">
        <f t="shared" si="8"/>
        <v/>
      </c>
      <c r="AA66" s="52" t="str">
        <f t="shared" si="8"/>
        <v/>
      </c>
      <c r="AB66" s="52" t="str">
        <f t="shared" si="8"/>
        <v/>
      </c>
      <c r="AC66" s="52" t="str">
        <f t="shared" si="8"/>
        <v/>
      </c>
      <c r="AD66" s="52" t="str">
        <f t="shared" si="8"/>
        <v/>
      </c>
      <c r="AE66" s="52" t="str">
        <f t="shared" si="8"/>
        <v/>
      </c>
      <c r="AF66" s="52" t="str">
        <f t="shared" si="8"/>
        <v/>
      </c>
    </row>
    <row r="67" spans="1:32" s="26" customFormat="1" ht="10" x14ac:dyDescent="0.2">
      <c r="A67" s="53"/>
      <c r="B67" s="53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</row>
  </sheetData>
  <mergeCells count="1">
    <mergeCell ref="C10:G10"/>
  </mergeCells>
  <phoneticPr fontId="0" type="noConversion"/>
  <pageMargins left="0.5" right="0.5" top="0.5" bottom="1" header="0.5" footer="0.5"/>
  <pageSetup orientation="portrait" r:id="rId1"/>
  <headerFooter alignWithMargins="0">
    <oddFooter>Page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67"/>
  <sheetViews>
    <sheetView showGridLines="0" topLeftCell="A8" zoomScaleNormal="100" workbookViewId="0">
      <selection activeCell="F22" sqref="F22:F25"/>
    </sheetView>
  </sheetViews>
  <sheetFormatPr defaultRowHeight="11.5" x14ac:dyDescent="0.25"/>
  <cols>
    <col min="1" max="1" width="32.3984375" customWidth="1"/>
    <col min="2" max="2" width="11.3984375" customWidth="1"/>
    <col min="3" max="3" width="9" customWidth="1"/>
    <col min="4" max="6" width="8.59765625" customWidth="1"/>
  </cols>
  <sheetData>
    <row r="1" spans="1:34" ht="15.5" x14ac:dyDescent="0.35">
      <c r="A1" s="10" t="s">
        <v>24</v>
      </c>
    </row>
    <row r="2" spans="1:34" s="26" customFormat="1" ht="10" x14ac:dyDescent="0.2">
      <c r="A2" s="25"/>
      <c r="B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spans="1:34" s="26" customFormat="1" ht="10" x14ac:dyDescent="0.2">
      <c r="A3" s="25"/>
      <c r="B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</row>
    <row r="4" spans="1:34" s="26" customFormat="1" ht="10" x14ac:dyDescent="0.2">
      <c r="A4" s="25"/>
      <c r="B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</row>
    <row r="5" spans="1:34" s="26" customFormat="1" ht="10" x14ac:dyDescent="0.2">
      <c r="A5" s="25"/>
      <c r="B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</row>
    <row r="6" spans="1:34" s="26" customFormat="1" ht="10" x14ac:dyDescent="0.2">
      <c r="A6" s="25"/>
      <c r="B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</row>
    <row r="7" spans="1:34" s="26" customFormat="1" ht="10" x14ac:dyDescent="0.2">
      <c r="A7" s="25"/>
      <c r="B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</row>
    <row r="8" spans="1:34" s="26" customFormat="1" ht="10" x14ac:dyDescent="0.2">
      <c r="A8" s="25"/>
      <c r="B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</row>
    <row r="9" spans="1:34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34" s="34" customFormat="1" x14ac:dyDescent="0.25">
      <c r="A10" s="33"/>
      <c r="B10" s="33"/>
      <c r="C10" s="92" t="s">
        <v>0</v>
      </c>
      <c r="D10" s="93"/>
      <c r="E10" s="93"/>
      <c r="F10" s="93"/>
      <c r="G10" s="94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34" s="26" customFormat="1" ht="10.5" x14ac:dyDescent="0.25">
      <c r="A11" s="25"/>
      <c r="B11" s="9" t="s">
        <v>10</v>
      </c>
      <c r="C11" s="27">
        <v>0</v>
      </c>
      <c r="D11" s="28">
        <v>0.6</v>
      </c>
      <c r="E11" s="28">
        <v>0.7</v>
      </c>
      <c r="F11" s="28">
        <v>0.8</v>
      </c>
      <c r="G11" s="28">
        <v>0.9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34" s="26" customFormat="1" ht="10.5" x14ac:dyDescent="0.25">
      <c r="A12" s="25"/>
      <c r="B12" s="9" t="s">
        <v>11</v>
      </c>
      <c r="C12" s="29" t="s">
        <v>1</v>
      </c>
      <c r="D12" s="30" t="s">
        <v>2</v>
      </c>
      <c r="E12" s="30" t="s">
        <v>3</v>
      </c>
      <c r="F12" s="30" t="s">
        <v>4</v>
      </c>
      <c r="G12" s="30" t="s">
        <v>5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34" s="26" customFormat="1" ht="10.5" x14ac:dyDescent="0.25">
      <c r="A13" s="25"/>
      <c r="B13" s="9" t="s">
        <v>12</v>
      </c>
      <c r="C13" s="31">
        <v>0</v>
      </c>
      <c r="D13" s="32">
        <v>1</v>
      </c>
      <c r="E13" s="32">
        <v>2</v>
      </c>
      <c r="F13" s="32">
        <v>3</v>
      </c>
      <c r="G13" s="32">
        <v>4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34" ht="45" x14ac:dyDescent="0.45">
      <c r="A14" s="73" t="s">
        <v>21</v>
      </c>
      <c r="B14" s="6"/>
      <c r="D14" s="2"/>
      <c r="E14" s="60"/>
      <c r="F14" s="2"/>
      <c r="G14" s="2"/>
      <c r="H14" s="2"/>
      <c r="I14" s="2"/>
      <c r="J14" s="2"/>
      <c r="K14" s="2"/>
      <c r="L14" s="2"/>
      <c r="M14" s="2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4" ht="13" x14ac:dyDescent="0.3">
      <c r="A15" s="5" t="s">
        <v>22</v>
      </c>
      <c r="C15" s="74"/>
      <c r="D15" s="75"/>
      <c r="E15" s="76" t="s">
        <v>25</v>
      </c>
      <c r="F15" s="82">
        <v>14</v>
      </c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1"/>
    </row>
    <row r="16" spans="1:34" ht="13" x14ac:dyDescent="0.3">
      <c r="A16" s="5" t="s">
        <v>14</v>
      </c>
      <c r="B16" s="7"/>
      <c r="C16" s="77"/>
      <c r="D16" s="78"/>
      <c r="E16" s="79" t="s">
        <v>26</v>
      </c>
      <c r="F16" s="81">
        <v>10</v>
      </c>
      <c r="G16" s="69"/>
      <c r="H16" s="84" t="s">
        <v>30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1"/>
    </row>
    <row r="17" spans="1:33" ht="13" x14ac:dyDescent="0.3">
      <c r="A17" s="5" t="s">
        <v>23</v>
      </c>
      <c r="AG17" s="1"/>
    </row>
    <row r="18" spans="1:33" s="56" customFormat="1" x14ac:dyDescent="0.25">
      <c r="A18" s="6"/>
      <c r="B18"/>
      <c r="C18"/>
      <c r="E18" s="58" t="s">
        <v>27</v>
      </c>
      <c r="F18" s="59">
        <f>COUNTA(F15:AF15)</f>
        <v>1</v>
      </c>
    </row>
    <row r="19" spans="1:33" s="56" customFormat="1" x14ac:dyDescent="0.25">
      <c r="A19" s="6"/>
      <c r="B19"/>
      <c r="C19"/>
      <c r="E19" s="57" t="s">
        <v>17</v>
      </c>
      <c r="F19" s="69">
        <f>F16</f>
        <v>10</v>
      </c>
      <c r="G19" s="83"/>
    </row>
    <row r="20" spans="1:33" x14ac:dyDescent="0.25">
      <c r="A20" s="3"/>
      <c r="B20" s="3"/>
      <c r="C20" s="3"/>
      <c r="D20" s="3"/>
      <c r="E20" s="3"/>
      <c r="F20" s="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3" s="55" customFormat="1" ht="10.5" x14ac:dyDescent="0.2">
      <c r="A21" s="11" t="s">
        <v>15</v>
      </c>
      <c r="B21" s="11" t="s">
        <v>13</v>
      </c>
      <c r="C21" s="11" t="s">
        <v>10</v>
      </c>
      <c r="D21" s="11" t="s">
        <v>11</v>
      </c>
      <c r="E21" s="11" t="s">
        <v>28</v>
      </c>
      <c r="F21" s="80">
        <f>IF(OR(F15,F15&gt;""),F15,"")</f>
        <v>14</v>
      </c>
      <c r="G21" s="80" t="str">
        <f t="shared" ref="G21:AF21" si="0">IF(OR(G15,G15&gt;""),G15,"")</f>
        <v/>
      </c>
      <c r="H21" s="80" t="str">
        <f t="shared" si="0"/>
        <v/>
      </c>
      <c r="I21" s="80" t="str">
        <f t="shared" si="0"/>
        <v/>
      </c>
      <c r="J21" s="80" t="str">
        <f t="shared" si="0"/>
        <v/>
      </c>
      <c r="K21" s="80" t="str">
        <f t="shared" si="0"/>
        <v/>
      </c>
      <c r="L21" s="80" t="str">
        <f t="shared" si="0"/>
        <v/>
      </c>
      <c r="M21" s="80" t="str">
        <f t="shared" si="0"/>
        <v/>
      </c>
      <c r="N21" s="80" t="str">
        <f t="shared" si="0"/>
        <v/>
      </c>
      <c r="O21" s="80" t="str">
        <f t="shared" si="0"/>
        <v/>
      </c>
      <c r="P21" s="80" t="str">
        <f t="shared" si="0"/>
        <v/>
      </c>
      <c r="Q21" s="80" t="str">
        <f t="shared" si="0"/>
        <v/>
      </c>
      <c r="R21" s="80" t="str">
        <f t="shared" si="0"/>
        <v/>
      </c>
      <c r="S21" s="80" t="str">
        <f t="shared" si="0"/>
        <v/>
      </c>
      <c r="T21" s="80" t="str">
        <f t="shared" si="0"/>
        <v/>
      </c>
      <c r="U21" s="80" t="str">
        <f t="shared" si="0"/>
        <v/>
      </c>
      <c r="V21" s="80" t="str">
        <f t="shared" si="0"/>
        <v/>
      </c>
      <c r="W21" s="80" t="str">
        <f t="shared" si="0"/>
        <v/>
      </c>
      <c r="X21" s="80" t="str">
        <f t="shared" si="0"/>
        <v/>
      </c>
      <c r="Y21" s="80" t="str">
        <f t="shared" si="0"/>
        <v/>
      </c>
      <c r="Z21" s="80" t="str">
        <f t="shared" si="0"/>
        <v/>
      </c>
      <c r="AA21" s="80" t="str">
        <f t="shared" si="0"/>
        <v/>
      </c>
      <c r="AB21" s="80" t="str">
        <f t="shared" si="0"/>
        <v/>
      </c>
      <c r="AC21" s="80" t="str">
        <f t="shared" si="0"/>
        <v/>
      </c>
      <c r="AD21" s="80" t="str">
        <f t="shared" si="0"/>
        <v/>
      </c>
      <c r="AE21" s="80" t="str">
        <f t="shared" si="0"/>
        <v/>
      </c>
      <c r="AF21" s="80" t="str">
        <f t="shared" si="0"/>
        <v/>
      </c>
    </row>
    <row r="22" spans="1:33" s="38" customFormat="1" x14ac:dyDescent="0.25">
      <c r="A22" s="35"/>
      <c r="B22" s="42"/>
      <c r="C22" s="61" t="str">
        <f>IF(SUM(F22:AF22)/$F$18,SUM(F22:AF22)/$F$18,"")</f>
        <v/>
      </c>
      <c r="D22" s="36" t="str">
        <f>IF(C22&lt;&gt;"",HLOOKUP(C22,GradeTable,2),"")</f>
        <v/>
      </c>
      <c r="E22" s="36" t="str">
        <f>IF(C22&lt;&gt;"",C22*$F$19,"")</f>
        <v/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</row>
    <row r="23" spans="1:33" s="38" customFormat="1" x14ac:dyDescent="0.25">
      <c r="A23" s="39"/>
      <c r="B23" s="40"/>
      <c r="C23" s="62" t="str">
        <f>IF(SUM(F23:AF23)/$F$18,SUM(F23:AF23)/$F$18,"")</f>
        <v/>
      </c>
      <c r="D23" s="40" t="str">
        <f t="shared" ref="D23:D61" si="1">IF(C23&lt;&gt;"",HLOOKUP(C23,GradeTable,2),"")</f>
        <v/>
      </c>
      <c r="E23" s="40" t="str">
        <f t="shared" ref="E23:E61" si="2">IF(C23&lt;&gt;"",C23*$F$19,"")</f>
        <v/>
      </c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</row>
    <row r="24" spans="1:33" s="38" customFormat="1" x14ac:dyDescent="0.25">
      <c r="A24" s="35"/>
      <c r="B24" s="42"/>
      <c r="C24" s="63" t="str">
        <f t="shared" ref="C24:C61" si="3">IF(SUM(F24:AF24)/$F$18,SUM(F24:AF24)/$F$18,"")</f>
        <v/>
      </c>
      <c r="D24" s="42" t="str">
        <f t="shared" si="1"/>
        <v/>
      </c>
      <c r="E24" s="42" t="str">
        <f t="shared" si="2"/>
        <v/>
      </c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pans="1:33" s="38" customFormat="1" x14ac:dyDescent="0.25">
      <c r="A25" s="39"/>
      <c r="B25" s="40"/>
      <c r="C25" s="62" t="str">
        <f t="shared" si="3"/>
        <v/>
      </c>
      <c r="D25" s="40" t="str">
        <f t="shared" si="1"/>
        <v/>
      </c>
      <c r="E25" s="40" t="str">
        <f t="shared" si="2"/>
        <v/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</row>
    <row r="26" spans="1:33" s="38" customFormat="1" x14ac:dyDescent="0.25">
      <c r="A26" s="35"/>
      <c r="B26" s="42"/>
      <c r="C26" s="63" t="str">
        <f t="shared" si="3"/>
        <v/>
      </c>
      <c r="D26" s="42" t="str">
        <f t="shared" si="1"/>
        <v/>
      </c>
      <c r="E26" s="42" t="str">
        <f t="shared" si="2"/>
        <v/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</row>
    <row r="27" spans="1:33" s="38" customFormat="1" x14ac:dyDescent="0.25">
      <c r="A27" s="39"/>
      <c r="B27" s="40"/>
      <c r="C27" s="62" t="str">
        <f t="shared" si="3"/>
        <v/>
      </c>
      <c r="D27" s="40" t="str">
        <f t="shared" si="1"/>
        <v/>
      </c>
      <c r="E27" s="40" t="str">
        <f t="shared" si="2"/>
        <v/>
      </c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</row>
    <row r="28" spans="1:33" s="38" customFormat="1" x14ac:dyDescent="0.25">
      <c r="A28" s="35"/>
      <c r="B28" s="42"/>
      <c r="C28" s="63" t="str">
        <f t="shared" si="3"/>
        <v/>
      </c>
      <c r="D28" s="42" t="str">
        <f t="shared" si="1"/>
        <v/>
      </c>
      <c r="E28" s="42" t="str">
        <f t="shared" si="2"/>
        <v/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</row>
    <row r="29" spans="1:33" s="38" customFormat="1" x14ac:dyDescent="0.25">
      <c r="A29" s="39"/>
      <c r="B29" s="40"/>
      <c r="C29" s="62" t="str">
        <f t="shared" si="3"/>
        <v/>
      </c>
      <c r="D29" s="40" t="str">
        <f t="shared" si="1"/>
        <v/>
      </c>
      <c r="E29" s="40" t="str">
        <f t="shared" si="2"/>
        <v/>
      </c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</row>
    <row r="30" spans="1:33" s="38" customFormat="1" x14ac:dyDescent="0.25">
      <c r="A30" s="35"/>
      <c r="B30" s="42"/>
      <c r="C30" s="63" t="str">
        <f t="shared" si="3"/>
        <v/>
      </c>
      <c r="D30" s="42" t="str">
        <f t="shared" si="1"/>
        <v/>
      </c>
      <c r="E30" s="42" t="str">
        <f t="shared" si="2"/>
        <v/>
      </c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</row>
    <row r="31" spans="1:33" s="38" customFormat="1" x14ac:dyDescent="0.25">
      <c r="A31" s="39"/>
      <c r="B31" s="40"/>
      <c r="C31" s="62" t="str">
        <f t="shared" si="3"/>
        <v/>
      </c>
      <c r="D31" s="40" t="str">
        <f t="shared" si="1"/>
        <v/>
      </c>
      <c r="E31" s="40" t="str">
        <f t="shared" si="2"/>
        <v/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</row>
    <row r="32" spans="1:33" s="38" customFormat="1" x14ac:dyDescent="0.25">
      <c r="A32" s="35"/>
      <c r="B32" s="42"/>
      <c r="C32" s="63" t="str">
        <f t="shared" si="3"/>
        <v/>
      </c>
      <c r="D32" s="42" t="str">
        <f t="shared" si="1"/>
        <v/>
      </c>
      <c r="E32" s="42" t="str">
        <f t="shared" si="2"/>
        <v/>
      </c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</row>
    <row r="33" spans="1:32" s="38" customFormat="1" x14ac:dyDescent="0.25">
      <c r="A33" s="39"/>
      <c r="B33" s="40"/>
      <c r="C33" s="62" t="str">
        <f t="shared" si="3"/>
        <v/>
      </c>
      <c r="D33" s="40" t="str">
        <f t="shared" si="1"/>
        <v/>
      </c>
      <c r="E33" s="40" t="str">
        <f t="shared" si="2"/>
        <v/>
      </c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</row>
    <row r="34" spans="1:32" s="38" customFormat="1" x14ac:dyDescent="0.25">
      <c r="A34" s="35"/>
      <c r="B34" s="42"/>
      <c r="C34" s="63" t="str">
        <f t="shared" si="3"/>
        <v/>
      </c>
      <c r="D34" s="42" t="str">
        <f t="shared" si="1"/>
        <v/>
      </c>
      <c r="E34" s="42" t="str">
        <f t="shared" si="2"/>
        <v/>
      </c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</row>
    <row r="35" spans="1:32" s="38" customFormat="1" x14ac:dyDescent="0.25">
      <c r="A35" s="39"/>
      <c r="B35" s="40"/>
      <c r="C35" s="62" t="str">
        <f t="shared" si="3"/>
        <v/>
      </c>
      <c r="D35" s="40" t="str">
        <f t="shared" si="1"/>
        <v/>
      </c>
      <c r="E35" s="40" t="str">
        <f t="shared" si="2"/>
        <v/>
      </c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</row>
    <row r="36" spans="1:32" s="38" customFormat="1" x14ac:dyDescent="0.25">
      <c r="A36" s="35"/>
      <c r="B36" s="42"/>
      <c r="C36" s="63" t="str">
        <f t="shared" si="3"/>
        <v/>
      </c>
      <c r="D36" s="42" t="str">
        <f t="shared" si="1"/>
        <v/>
      </c>
      <c r="E36" s="42" t="str">
        <f t="shared" si="2"/>
        <v/>
      </c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pans="1:32" s="38" customFormat="1" x14ac:dyDescent="0.25">
      <c r="A37" s="39"/>
      <c r="B37" s="40"/>
      <c r="C37" s="62" t="str">
        <f t="shared" si="3"/>
        <v/>
      </c>
      <c r="D37" s="40" t="str">
        <f t="shared" si="1"/>
        <v/>
      </c>
      <c r="E37" s="40" t="str">
        <f t="shared" si="2"/>
        <v/>
      </c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</row>
    <row r="38" spans="1:32" s="38" customFormat="1" x14ac:dyDescent="0.25">
      <c r="A38" s="35"/>
      <c r="B38" s="42"/>
      <c r="C38" s="63" t="str">
        <f t="shared" si="3"/>
        <v/>
      </c>
      <c r="D38" s="42" t="str">
        <f t="shared" si="1"/>
        <v/>
      </c>
      <c r="E38" s="42" t="str">
        <f t="shared" si="2"/>
        <v/>
      </c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</row>
    <row r="39" spans="1:32" s="38" customFormat="1" x14ac:dyDescent="0.25">
      <c r="A39" s="39"/>
      <c r="B39" s="40"/>
      <c r="C39" s="62" t="str">
        <f t="shared" si="3"/>
        <v/>
      </c>
      <c r="D39" s="40" t="str">
        <f t="shared" si="1"/>
        <v/>
      </c>
      <c r="E39" s="40" t="str">
        <f t="shared" si="2"/>
        <v/>
      </c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</row>
    <row r="40" spans="1:32" s="38" customFormat="1" x14ac:dyDescent="0.25">
      <c r="A40" s="35"/>
      <c r="B40" s="42"/>
      <c r="C40" s="63" t="str">
        <f t="shared" si="3"/>
        <v/>
      </c>
      <c r="D40" s="42" t="str">
        <f t="shared" si="1"/>
        <v/>
      </c>
      <c r="E40" s="42" t="str">
        <f t="shared" si="2"/>
        <v/>
      </c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</row>
    <row r="41" spans="1:32" s="38" customFormat="1" x14ac:dyDescent="0.25">
      <c r="A41" s="39"/>
      <c r="B41" s="40"/>
      <c r="C41" s="62" t="str">
        <f t="shared" si="3"/>
        <v/>
      </c>
      <c r="D41" s="40" t="str">
        <f t="shared" si="1"/>
        <v/>
      </c>
      <c r="E41" s="40" t="str">
        <f t="shared" si="2"/>
        <v/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</row>
    <row r="42" spans="1:32" s="38" customFormat="1" x14ac:dyDescent="0.25">
      <c r="A42" s="35"/>
      <c r="B42" s="42"/>
      <c r="C42" s="63" t="str">
        <f t="shared" si="3"/>
        <v/>
      </c>
      <c r="D42" s="42" t="str">
        <f t="shared" si="1"/>
        <v/>
      </c>
      <c r="E42" s="42" t="str">
        <f t="shared" si="2"/>
        <v/>
      </c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</row>
    <row r="43" spans="1:32" s="38" customFormat="1" x14ac:dyDescent="0.25">
      <c r="A43" s="39"/>
      <c r="B43" s="40"/>
      <c r="C43" s="62" t="str">
        <f t="shared" si="3"/>
        <v/>
      </c>
      <c r="D43" s="40" t="str">
        <f t="shared" si="1"/>
        <v/>
      </c>
      <c r="E43" s="40" t="str">
        <f t="shared" si="2"/>
        <v/>
      </c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</row>
    <row r="44" spans="1:32" s="38" customFormat="1" x14ac:dyDescent="0.25">
      <c r="A44" s="35"/>
      <c r="B44" s="42"/>
      <c r="C44" s="63" t="str">
        <f t="shared" si="3"/>
        <v/>
      </c>
      <c r="D44" s="42" t="str">
        <f t="shared" si="1"/>
        <v/>
      </c>
      <c r="E44" s="42" t="str">
        <f t="shared" si="2"/>
        <v/>
      </c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</row>
    <row r="45" spans="1:32" s="38" customFormat="1" x14ac:dyDescent="0.25">
      <c r="A45" s="39"/>
      <c r="B45" s="40"/>
      <c r="C45" s="62" t="str">
        <f t="shared" si="3"/>
        <v/>
      </c>
      <c r="D45" s="40" t="str">
        <f t="shared" si="1"/>
        <v/>
      </c>
      <c r="E45" s="40" t="str">
        <f t="shared" si="2"/>
        <v/>
      </c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</row>
    <row r="46" spans="1:32" s="38" customFormat="1" x14ac:dyDescent="0.25">
      <c r="A46" s="35"/>
      <c r="B46" s="42"/>
      <c r="C46" s="63" t="str">
        <f t="shared" si="3"/>
        <v/>
      </c>
      <c r="D46" s="42" t="str">
        <f t="shared" si="1"/>
        <v/>
      </c>
      <c r="E46" s="42" t="str">
        <f t="shared" si="2"/>
        <v/>
      </c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</row>
    <row r="47" spans="1:32" s="38" customFormat="1" x14ac:dyDescent="0.25">
      <c r="A47" s="39"/>
      <c r="B47" s="40"/>
      <c r="C47" s="62" t="str">
        <f t="shared" si="3"/>
        <v/>
      </c>
      <c r="D47" s="40" t="str">
        <f t="shared" si="1"/>
        <v/>
      </c>
      <c r="E47" s="40" t="str">
        <f t="shared" si="2"/>
        <v/>
      </c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</row>
    <row r="48" spans="1:32" s="38" customFormat="1" x14ac:dyDescent="0.25">
      <c r="A48" s="35"/>
      <c r="B48" s="42"/>
      <c r="C48" s="63" t="str">
        <f t="shared" si="3"/>
        <v/>
      </c>
      <c r="D48" s="42" t="str">
        <f t="shared" si="1"/>
        <v/>
      </c>
      <c r="E48" s="42" t="str">
        <f t="shared" si="2"/>
        <v/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pans="1:32" s="38" customFormat="1" x14ac:dyDescent="0.25">
      <c r="A49" s="39"/>
      <c r="B49" s="40"/>
      <c r="C49" s="62" t="str">
        <f t="shared" si="3"/>
        <v/>
      </c>
      <c r="D49" s="40" t="str">
        <f t="shared" si="1"/>
        <v/>
      </c>
      <c r="E49" s="40" t="str">
        <f t="shared" si="2"/>
        <v/>
      </c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</row>
    <row r="50" spans="1:32" s="38" customFormat="1" x14ac:dyDescent="0.25">
      <c r="A50" s="35"/>
      <c r="B50" s="42"/>
      <c r="C50" s="63" t="str">
        <f t="shared" si="3"/>
        <v/>
      </c>
      <c r="D50" s="42" t="str">
        <f t="shared" si="1"/>
        <v/>
      </c>
      <c r="E50" s="42" t="str">
        <f t="shared" si="2"/>
        <v/>
      </c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</row>
    <row r="51" spans="1:32" s="38" customFormat="1" x14ac:dyDescent="0.25">
      <c r="A51" s="39"/>
      <c r="B51" s="40"/>
      <c r="C51" s="62" t="str">
        <f t="shared" si="3"/>
        <v/>
      </c>
      <c r="D51" s="40" t="str">
        <f t="shared" si="1"/>
        <v/>
      </c>
      <c r="E51" s="40" t="str">
        <f t="shared" si="2"/>
        <v/>
      </c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</row>
    <row r="52" spans="1:32" s="38" customFormat="1" x14ac:dyDescent="0.25">
      <c r="A52" s="35"/>
      <c r="B52" s="42"/>
      <c r="C52" s="63" t="str">
        <f t="shared" si="3"/>
        <v/>
      </c>
      <c r="D52" s="42" t="str">
        <f t="shared" si="1"/>
        <v/>
      </c>
      <c r="E52" s="42" t="str">
        <f t="shared" si="2"/>
        <v/>
      </c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</row>
    <row r="53" spans="1:32" s="38" customFormat="1" x14ac:dyDescent="0.25">
      <c r="A53" s="39"/>
      <c r="B53" s="40"/>
      <c r="C53" s="62" t="str">
        <f t="shared" si="3"/>
        <v/>
      </c>
      <c r="D53" s="40" t="str">
        <f t="shared" si="1"/>
        <v/>
      </c>
      <c r="E53" s="40" t="str">
        <f t="shared" si="2"/>
        <v/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</row>
    <row r="54" spans="1:32" s="38" customFormat="1" x14ac:dyDescent="0.25">
      <c r="A54" s="35"/>
      <c r="B54" s="42"/>
      <c r="C54" s="63" t="str">
        <f t="shared" si="3"/>
        <v/>
      </c>
      <c r="D54" s="42" t="str">
        <f t="shared" si="1"/>
        <v/>
      </c>
      <c r="E54" s="42" t="str">
        <f t="shared" si="2"/>
        <v/>
      </c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</row>
    <row r="55" spans="1:32" s="38" customFormat="1" x14ac:dyDescent="0.25">
      <c r="A55" s="39"/>
      <c r="B55" s="40"/>
      <c r="C55" s="62" t="str">
        <f t="shared" si="3"/>
        <v/>
      </c>
      <c r="D55" s="40" t="str">
        <f t="shared" si="1"/>
        <v/>
      </c>
      <c r="E55" s="40" t="str">
        <f t="shared" si="2"/>
        <v/>
      </c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</row>
    <row r="56" spans="1:32" s="38" customFormat="1" x14ac:dyDescent="0.25">
      <c r="A56" s="35"/>
      <c r="B56" s="42"/>
      <c r="C56" s="63" t="str">
        <f t="shared" si="3"/>
        <v/>
      </c>
      <c r="D56" s="42" t="str">
        <f t="shared" si="1"/>
        <v/>
      </c>
      <c r="E56" s="42" t="str">
        <f t="shared" si="2"/>
        <v/>
      </c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</row>
    <row r="57" spans="1:32" s="38" customFormat="1" x14ac:dyDescent="0.25">
      <c r="A57" s="39"/>
      <c r="B57" s="40"/>
      <c r="C57" s="62" t="str">
        <f t="shared" si="3"/>
        <v/>
      </c>
      <c r="D57" s="40" t="str">
        <f t="shared" si="1"/>
        <v/>
      </c>
      <c r="E57" s="40" t="str">
        <f t="shared" si="2"/>
        <v/>
      </c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</row>
    <row r="58" spans="1:32" s="38" customFormat="1" x14ac:dyDescent="0.25">
      <c r="A58" s="35"/>
      <c r="B58" s="42"/>
      <c r="C58" s="63" t="str">
        <f t="shared" si="3"/>
        <v/>
      </c>
      <c r="D58" s="42" t="str">
        <f t="shared" si="1"/>
        <v/>
      </c>
      <c r="E58" s="42" t="str">
        <f t="shared" si="2"/>
        <v/>
      </c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</row>
    <row r="59" spans="1:32" s="38" customFormat="1" x14ac:dyDescent="0.25">
      <c r="A59" s="39"/>
      <c r="B59" s="40"/>
      <c r="C59" s="62" t="str">
        <f t="shared" si="3"/>
        <v/>
      </c>
      <c r="D59" s="40" t="str">
        <f t="shared" si="1"/>
        <v/>
      </c>
      <c r="E59" s="40" t="str">
        <f t="shared" si="2"/>
        <v/>
      </c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</row>
    <row r="60" spans="1:32" s="38" customFormat="1" x14ac:dyDescent="0.25">
      <c r="A60" s="35"/>
      <c r="B60" s="42"/>
      <c r="C60" s="63" t="str">
        <f t="shared" si="3"/>
        <v/>
      </c>
      <c r="D60" s="42" t="str">
        <f t="shared" si="1"/>
        <v/>
      </c>
      <c r="E60" s="42" t="str">
        <f t="shared" si="2"/>
        <v/>
      </c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</row>
    <row r="61" spans="1:32" s="38" customFormat="1" x14ac:dyDescent="0.25">
      <c r="A61" s="43"/>
      <c r="B61" s="44"/>
      <c r="C61" s="64" t="str">
        <f t="shared" si="3"/>
        <v/>
      </c>
      <c r="D61" s="44" t="str">
        <f t="shared" si="1"/>
        <v/>
      </c>
      <c r="E61" s="44" t="str">
        <f t="shared" si="2"/>
        <v/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</row>
    <row r="62" spans="1:32" s="38" customFormat="1" x14ac:dyDescent="0.25">
      <c r="A62" s="46"/>
      <c r="B62" s="46"/>
      <c r="C62" s="47"/>
      <c r="D62" s="47"/>
      <c r="E62" s="47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</row>
    <row r="63" spans="1:32" s="34" customFormat="1" ht="10.5" x14ac:dyDescent="0.2">
      <c r="A63" s="23" t="s">
        <v>6</v>
      </c>
      <c r="B63" s="24"/>
      <c r="C63" s="21" t="str">
        <f t="shared" ref="C63:AF63" si="4">IF(OR(C21,C21&gt;""),C21,"")</f>
        <v>Average</v>
      </c>
      <c r="D63" s="21" t="str">
        <f t="shared" si="4"/>
        <v>Ltr Grade</v>
      </c>
      <c r="E63" s="21" t="str">
        <f t="shared" si="4"/>
        <v>Points</v>
      </c>
      <c r="F63" s="22">
        <f t="shared" si="4"/>
        <v>14</v>
      </c>
      <c r="G63" s="22" t="str">
        <f t="shared" si="4"/>
        <v/>
      </c>
      <c r="H63" s="22" t="str">
        <f t="shared" si="4"/>
        <v/>
      </c>
      <c r="I63" s="22" t="str">
        <f t="shared" si="4"/>
        <v/>
      </c>
      <c r="J63" s="22" t="str">
        <f t="shared" si="4"/>
        <v/>
      </c>
      <c r="K63" s="22" t="str">
        <f t="shared" si="4"/>
        <v/>
      </c>
      <c r="L63" s="22" t="str">
        <f t="shared" si="4"/>
        <v/>
      </c>
      <c r="M63" s="22" t="str">
        <f t="shared" si="4"/>
        <v/>
      </c>
      <c r="N63" s="22" t="str">
        <f t="shared" si="4"/>
        <v/>
      </c>
      <c r="O63" s="22" t="str">
        <f t="shared" si="4"/>
        <v/>
      </c>
      <c r="P63" s="22" t="str">
        <f t="shared" si="4"/>
        <v/>
      </c>
      <c r="Q63" s="22"/>
      <c r="R63" s="22"/>
      <c r="S63" s="22"/>
      <c r="T63" s="22"/>
      <c r="U63" s="22"/>
      <c r="V63" s="22"/>
      <c r="W63" s="22"/>
      <c r="X63" s="22"/>
      <c r="Y63" s="22" t="str">
        <f t="shared" si="4"/>
        <v/>
      </c>
      <c r="Z63" s="22" t="str">
        <f t="shared" si="4"/>
        <v/>
      </c>
      <c r="AA63" s="22" t="str">
        <f t="shared" si="4"/>
        <v/>
      </c>
      <c r="AB63" s="22" t="str">
        <f t="shared" si="4"/>
        <v/>
      </c>
      <c r="AC63" s="22" t="str">
        <f t="shared" si="4"/>
        <v/>
      </c>
      <c r="AD63" s="22" t="str">
        <f t="shared" si="4"/>
        <v/>
      </c>
      <c r="AE63" s="22" t="str">
        <f t="shared" si="4"/>
        <v/>
      </c>
      <c r="AF63" s="22" t="str">
        <f t="shared" si="4"/>
        <v/>
      </c>
    </row>
    <row r="64" spans="1:32" s="49" customFormat="1" x14ac:dyDescent="0.25">
      <c r="A64" s="12" t="s">
        <v>7</v>
      </c>
      <c r="B64" s="13"/>
      <c r="C64" s="65" t="str">
        <f>IF(SUM(C22:C62),AVERAGE(C22:C62),"")</f>
        <v/>
      </c>
      <c r="D64" s="14" t="str">
        <f>IF(C64&lt;&gt;"",HLOOKUP(C64,GradeTable,2),"")</f>
        <v/>
      </c>
      <c r="E64" s="70" t="str">
        <f>IF(SUM(E22:E62),AVERAGE(E22:E62),"")</f>
        <v/>
      </c>
      <c r="F64" s="50" t="str">
        <f>IF(SUM(F22:F62),AVERAGE(F22:F62),"")</f>
        <v/>
      </c>
      <c r="G64" s="50" t="str">
        <f>IF(SUM(G22:G62),AVERAGE(G22:G62),"")</f>
        <v/>
      </c>
      <c r="H64" s="50" t="str">
        <f>IF(SUM(H22:H62),AVERAGE(H22:H62),"")</f>
        <v/>
      </c>
      <c r="I64" s="50" t="str">
        <f>IF(SUM(I22:I62),AVERAGE(I22:I62),"")</f>
        <v/>
      </c>
      <c r="J64" s="50" t="str">
        <f t="shared" ref="J64:AF64" si="5">IF(SUM(J22:J62),AVERAGE(J22:J62),"")</f>
        <v/>
      </c>
      <c r="K64" s="50" t="str">
        <f t="shared" si="5"/>
        <v/>
      </c>
      <c r="L64" s="50" t="str">
        <f t="shared" si="5"/>
        <v/>
      </c>
      <c r="M64" s="50" t="str">
        <f t="shared" si="5"/>
        <v/>
      </c>
      <c r="N64" s="50" t="str">
        <f t="shared" si="5"/>
        <v/>
      </c>
      <c r="O64" s="50" t="str">
        <f t="shared" si="5"/>
        <v/>
      </c>
      <c r="P64" s="50" t="str">
        <f t="shared" si="5"/>
        <v/>
      </c>
      <c r="Q64" s="50" t="str">
        <f t="shared" si="5"/>
        <v/>
      </c>
      <c r="R64" s="50" t="str">
        <f t="shared" si="5"/>
        <v/>
      </c>
      <c r="S64" s="50" t="str">
        <f t="shared" si="5"/>
        <v/>
      </c>
      <c r="T64" s="50" t="str">
        <f t="shared" si="5"/>
        <v/>
      </c>
      <c r="U64" s="50" t="str">
        <f t="shared" si="5"/>
        <v/>
      </c>
      <c r="V64" s="50" t="str">
        <f t="shared" si="5"/>
        <v/>
      </c>
      <c r="W64" s="50" t="str">
        <f t="shared" si="5"/>
        <v/>
      </c>
      <c r="X64" s="50" t="str">
        <f t="shared" si="5"/>
        <v/>
      </c>
      <c r="Y64" s="50" t="str">
        <f t="shared" si="5"/>
        <v/>
      </c>
      <c r="Z64" s="50" t="str">
        <f t="shared" si="5"/>
        <v/>
      </c>
      <c r="AA64" s="50" t="str">
        <f t="shared" si="5"/>
        <v/>
      </c>
      <c r="AB64" s="50" t="str">
        <f t="shared" si="5"/>
        <v/>
      </c>
      <c r="AC64" s="50" t="str">
        <f t="shared" si="5"/>
        <v/>
      </c>
      <c r="AD64" s="50" t="str">
        <f t="shared" si="5"/>
        <v/>
      </c>
      <c r="AE64" s="50" t="str">
        <f t="shared" si="5"/>
        <v/>
      </c>
      <c r="AF64" s="50" t="str">
        <f t="shared" si="5"/>
        <v/>
      </c>
    </row>
    <row r="65" spans="1:32" s="49" customFormat="1" x14ac:dyDescent="0.25">
      <c r="A65" s="15" t="s">
        <v>8</v>
      </c>
      <c r="B65" s="16"/>
      <c r="C65" s="66" t="str">
        <f>IF(SUM(C22:C62),MAX(C22:C62),"")</f>
        <v/>
      </c>
      <c r="D65" s="17" t="str">
        <f>IF(C65&lt;&gt;"",HLOOKUP(C65,GradeTable,2),"")</f>
        <v/>
      </c>
      <c r="E65" s="71" t="str">
        <f>IF(SUM(E22:E62),MAX(E22:E62),"")</f>
        <v/>
      </c>
      <c r="F65" s="51" t="str">
        <f>IF(SUM(F22:F62),MAX(F22:F62),"")</f>
        <v/>
      </c>
      <c r="G65" s="51" t="str">
        <f>IF(SUM(G22:G62),MAX(G22:G62),"")</f>
        <v/>
      </c>
      <c r="H65" s="51" t="str">
        <f>IF(SUM(H22:H62),MAX(H22:H62),"")</f>
        <v/>
      </c>
      <c r="I65" s="51" t="str">
        <f>IF(SUM(I22:I62),MAX(I22:I62),"")</f>
        <v/>
      </c>
      <c r="J65" s="51" t="str">
        <f t="shared" ref="J65:AF65" si="6">IF(SUM(J22:J62),MAX(J22:J62),"")</f>
        <v/>
      </c>
      <c r="K65" s="51" t="str">
        <f t="shared" si="6"/>
        <v/>
      </c>
      <c r="L65" s="51" t="str">
        <f t="shared" si="6"/>
        <v/>
      </c>
      <c r="M65" s="51" t="str">
        <f t="shared" si="6"/>
        <v/>
      </c>
      <c r="N65" s="51" t="str">
        <f t="shared" si="6"/>
        <v/>
      </c>
      <c r="O65" s="51" t="str">
        <f t="shared" si="6"/>
        <v/>
      </c>
      <c r="P65" s="51" t="str">
        <f t="shared" si="6"/>
        <v/>
      </c>
      <c r="Q65" s="51" t="str">
        <f t="shared" si="6"/>
        <v/>
      </c>
      <c r="R65" s="51" t="str">
        <f t="shared" si="6"/>
        <v/>
      </c>
      <c r="S65" s="51" t="str">
        <f t="shared" si="6"/>
        <v/>
      </c>
      <c r="T65" s="51" t="str">
        <f t="shared" si="6"/>
        <v/>
      </c>
      <c r="U65" s="51" t="str">
        <f t="shared" si="6"/>
        <v/>
      </c>
      <c r="V65" s="51" t="str">
        <f t="shared" si="6"/>
        <v/>
      </c>
      <c r="W65" s="51" t="str">
        <f t="shared" si="6"/>
        <v/>
      </c>
      <c r="X65" s="51" t="str">
        <f t="shared" si="6"/>
        <v/>
      </c>
      <c r="Y65" s="51" t="str">
        <f t="shared" si="6"/>
        <v/>
      </c>
      <c r="Z65" s="51" t="str">
        <f t="shared" si="6"/>
        <v/>
      </c>
      <c r="AA65" s="51" t="str">
        <f t="shared" si="6"/>
        <v/>
      </c>
      <c r="AB65" s="51" t="str">
        <f t="shared" si="6"/>
        <v/>
      </c>
      <c r="AC65" s="51" t="str">
        <f t="shared" si="6"/>
        <v/>
      </c>
      <c r="AD65" s="51" t="str">
        <f t="shared" si="6"/>
        <v/>
      </c>
      <c r="AE65" s="51" t="str">
        <f t="shared" si="6"/>
        <v/>
      </c>
      <c r="AF65" s="51" t="str">
        <f t="shared" si="6"/>
        <v/>
      </c>
    </row>
    <row r="66" spans="1:32" s="49" customFormat="1" x14ac:dyDescent="0.25">
      <c r="A66" s="18" t="s">
        <v>9</v>
      </c>
      <c r="B66" s="19"/>
      <c r="C66" s="67" t="str">
        <f>IF(SUM(C22:C62),MIN(C22:C62),"")</f>
        <v/>
      </c>
      <c r="D66" s="20" t="str">
        <f>IF(C66&lt;&gt;"",HLOOKUP(C66,GradeTable,2),"")</f>
        <v/>
      </c>
      <c r="E66" s="72" t="str">
        <f>IF(SUM(E22:E62),MIN(E22:E62),"")</f>
        <v/>
      </c>
      <c r="F66" s="52" t="str">
        <f>IF(SUM(F22:F62),MIN(F22:F62),"")</f>
        <v/>
      </c>
      <c r="G66" s="52" t="str">
        <f>IF(SUM(G22:G62),MIN(G22:G62),"")</f>
        <v/>
      </c>
      <c r="H66" s="52" t="str">
        <f>IF(SUM(H22:H62),MIN(H22:H62),"")</f>
        <v/>
      </c>
      <c r="I66" s="52" t="str">
        <f>IF(SUM(I22:I62),MIN(I22:I62),"")</f>
        <v/>
      </c>
      <c r="J66" s="52" t="str">
        <f t="shared" ref="J66:AF66" si="7">IF(SUM(J22:J62),MIN(J22:J62),"")</f>
        <v/>
      </c>
      <c r="K66" s="52" t="str">
        <f t="shared" si="7"/>
        <v/>
      </c>
      <c r="L66" s="52" t="str">
        <f t="shared" si="7"/>
        <v/>
      </c>
      <c r="M66" s="52" t="str">
        <f t="shared" si="7"/>
        <v/>
      </c>
      <c r="N66" s="52" t="str">
        <f t="shared" si="7"/>
        <v/>
      </c>
      <c r="O66" s="52" t="str">
        <f t="shared" si="7"/>
        <v/>
      </c>
      <c r="P66" s="52" t="str">
        <f t="shared" si="7"/>
        <v/>
      </c>
      <c r="Q66" s="52" t="str">
        <f t="shared" si="7"/>
        <v/>
      </c>
      <c r="R66" s="52" t="str">
        <f t="shared" si="7"/>
        <v/>
      </c>
      <c r="S66" s="52" t="str">
        <f t="shared" si="7"/>
        <v/>
      </c>
      <c r="T66" s="52" t="str">
        <f t="shared" si="7"/>
        <v/>
      </c>
      <c r="U66" s="52" t="str">
        <f t="shared" si="7"/>
        <v/>
      </c>
      <c r="V66" s="52" t="str">
        <f t="shared" si="7"/>
        <v/>
      </c>
      <c r="W66" s="52" t="str">
        <f t="shared" si="7"/>
        <v/>
      </c>
      <c r="X66" s="52" t="str">
        <f t="shared" si="7"/>
        <v/>
      </c>
      <c r="Y66" s="52" t="str">
        <f t="shared" si="7"/>
        <v/>
      </c>
      <c r="Z66" s="52" t="str">
        <f t="shared" si="7"/>
        <v/>
      </c>
      <c r="AA66" s="52" t="str">
        <f t="shared" si="7"/>
        <v/>
      </c>
      <c r="AB66" s="52" t="str">
        <f t="shared" si="7"/>
        <v/>
      </c>
      <c r="AC66" s="52" t="str">
        <f t="shared" si="7"/>
        <v/>
      </c>
      <c r="AD66" s="52" t="str">
        <f t="shared" si="7"/>
        <v/>
      </c>
      <c r="AE66" s="52" t="str">
        <f t="shared" si="7"/>
        <v/>
      </c>
      <c r="AF66" s="52" t="str">
        <f t="shared" si="7"/>
        <v/>
      </c>
    </row>
    <row r="67" spans="1:32" s="26" customFormat="1" ht="10" x14ac:dyDescent="0.2">
      <c r="A67" s="53"/>
      <c r="B67" s="53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</row>
  </sheetData>
  <mergeCells count="1">
    <mergeCell ref="C10:G10"/>
  </mergeCells>
  <phoneticPr fontId="0" type="noConversion"/>
  <pageMargins left="0.5" right="0.5" top="0.5" bottom="1" header="0.5" footer="0.5"/>
  <pageSetup orientation="landscape" cellComments="asDisplayed" horizontalDpi="360" verticalDpi="360" r:id="rId1"/>
  <headerFooter alignWithMargins="0">
    <oddFooter>Page &amp;P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Course (Grades)</vt:lpstr>
      <vt:lpstr>Course (Attend)</vt:lpstr>
      <vt:lpstr>'Course (Grades)'!Grades</vt:lpstr>
      <vt:lpstr>Grades</vt:lpstr>
      <vt:lpstr>'Course (Grades)'!GradeTable</vt:lpstr>
      <vt:lpstr>GradeTable</vt:lpstr>
      <vt:lpstr>'Course (Attend)'!Print_Area</vt:lpstr>
      <vt:lpstr>'Course (Attend)'!Print_Titles</vt:lpstr>
      <vt:lpstr>'Course (Grades)'!Print_Titles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Professional Development Network/TechConnect &amp; Microsoft</dc:creator>
  <cp:lastModifiedBy>Carina Negreanu</cp:lastModifiedBy>
  <cp:lastPrinted>2002-01-13T02:50:22Z</cp:lastPrinted>
  <dcterms:created xsi:type="dcterms:W3CDTF">2000-08-31T02:37:50Z</dcterms:created>
  <dcterms:modified xsi:type="dcterms:W3CDTF">2020-01-27T11:39:11Z</dcterms:modified>
</cp:coreProperties>
</file>