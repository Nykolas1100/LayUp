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D8CAD09-516A-4E7C-8D80-3CD1245EBACF}" xr6:coauthVersionLast="45" xr6:coauthVersionMax="45" xr10:uidLastSave="{00000000-0000-0000-0000-000000000000}"/>
  <bookViews>
    <workbookView xWindow="2280" yWindow="2280" windowWidth="28800" windowHeight="15460"/>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 i="1" l="1"/>
  <c r="C11" i="1"/>
  <c r="C12" i="1"/>
  <c r="C13" i="1"/>
  <c r="C16" i="1"/>
  <c r="C18" i="1"/>
  <c r="C19" i="1"/>
  <c r="C22" i="1"/>
  <c r="C23" i="1"/>
  <c r="C24" i="1"/>
  <c r="C27" i="1"/>
  <c r="C30" i="1"/>
  <c r="C31" i="1"/>
  <c r="C34" i="1"/>
  <c r="C36" i="1" s="1"/>
  <c r="C35" i="1"/>
  <c r="C43" i="1"/>
  <c r="C41" i="1" l="1"/>
  <c r="C42" i="1" s="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<sst xmlns="http://schemas.openxmlformats.org/spreadsheetml/2006/main" count="53" uniqueCount="50">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</sst>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12700</xdr:colOff>
      <xdr:row>33</xdr:row>
      <xdr:rowOff>0</xdr:rowOff>
    </xdr:from>
    <xdr:to>
      <xdr:col>7</xdr:col>
      <xdr:colOff>19050</xdr:colOff>
      <xdr:row>45</xdr:row>
      <xdr:rowOff>82550</xdr:rowOff>
    </xdr:to>
    <xdr:sp macro="" textlink="" fLocksText="0">
      <xdr:nvSpPr>
        <xdr:cNvPr id="2049" name="Text Box 1">
          <a:extLst>
            <a:ext uri="{FF2B5EF4-FFF2-40B4-BE49-F238E27FC236}">
              <a16:creationId xmlns:a16="http://schemas.microsoft.com/office/drawing/2014/main" id="{81E54766-21BF-44A4-8C77-1E7478D87E9D}"/>
            </a:ext>
          </a:extLst>
        </xdr:cNvPr>
        <xdr:cNvSpPr txBox="1">
          <a:spLocks noChangeArrowheads="1"/>
        </xdr:cNvSpPr>
      </xdr:nvSpPr>
      <xdr:spPr bwMode="auto">
        <a:xfrm>
          <a:off x="4959350" y="5365750"/>
          <a:ext cx="3467100" cy="2006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1</xdr:row>
      <xdr:rowOff>82550</xdr:rowOff>
    </xdr:from>
    <xdr:to>
      <xdr:col>10</xdr:col>
      <xdr:colOff>457200</xdr:colOff>
      <xdr:row>49</xdr:row>
      <xdr:rowOff>6350</xdr:rowOff>
    </xdr:to>
    <xdr:sp macro="" textlink="">
      <xdr:nvSpPr>
        <xdr:cNvPr id="1025" name="Text Box 1">
          <a:extLst>
            <a:ext uri="{FF2B5EF4-FFF2-40B4-BE49-F238E27FC236}">
              <a16:creationId xmlns:a16="http://schemas.microsoft.com/office/drawing/2014/main" id="{4A0B3EFF-C7EE-4FA3-8D56-E3A2E8DDDEE2}"/>
            </a:ext>
          </a:extLst>
        </xdr:cNvPr>
        <xdr:cNvSpPr txBox="1">
          <a:spLocks noChangeArrowheads="1"/>
        </xdr:cNvSpPr>
      </xdr:nvSpPr>
      <xdr:spPr bwMode="auto">
        <a:xfrm>
          <a:off x="241300" y="241300"/>
          <a:ext cx="6311900" cy="7543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en-GB"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en-GB"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en-GB"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en-GB"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en-GB"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en-GB"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en-GB" sz="1000" b="0" i="0" u="none" strike="noStrike" baseline="0">
              <a:solidFill>
                <a:srgbClr val="000000"/>
              </a:solidFill>
              <a:latin typeface="Arial"/>
              <a:cs typeface="Arial"/>
            </a:rPr>
            <a:t>[20.2.75.7 NMAC - Rp 20 NMAC 2.75.107, 03-02-01]</a:t>
          </a:r>
        </a:p>
        <a:p>
          <a:pPr algn="l" rtl="0">
            <a:defRPr sz="1000"/>
          </a:pPr>
          <a:endParaRPr lang="en-GB"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
  <sheetViews>
    <sheetView tabSelected="1" workbookViewId="0">
      <selection activeCell="B4" sqref="B4:D4"/>
    </sheetView>
  </sheetViews>
  <sheetFormatPr defaultRowHeight="12.5" x14ac:dyDescent="0.25"/>
  <cols>
    <col min="1" max="1" width="31.26953125" customWidth="1"/>
    <col min="2" max="2" width="18.453125" style="2" bestFit="1" customWidth="1"/>
    <col min="3" max="3" width="10.81640625" style="2" bestFit="1" customWidth="1"/>
    <col min="4" max="4" width="10.26953125" customWidth="1"/>
    <col min="5" max="5" width="17.453125" style="2" customWidth="1"/>
    <col min="6" max="6" width="12.81640625" style="2" customWidth="1"/>
    <col min="7" max="7" width="19.26953125" style="2" bestFit="1" customWidth="1"/>
    <col min="9" max="9" width="12.1796875" customWidth="1"/>
    <col min="10" max="10" width="10" customWidth="1"/>
    <col min="11" max="11" width="21" customWidth="1"/>
  </cols>
  <sheetData>
    <row r="1" spans="1:7" ht="15.5" x14ac:dyDescent="0.35">
      <c r="A1" s="1" t="s">
        <v>0</v>
      </c>
    </row>
    <row r="2" spans="1:7" x14ac:dyDescent="0.25">
      <c r="A2" t="s">
        <v>44</v>
      </c>
    </row>
    <row r="4" spans="1:7" ht="13" thickBot="1" x14ac:dyDescent="0.3">
      <c r="A4" t="s">
        <v>30</v>
      </c>
      <c r="B4" s="31"/>
      <c r="C4" s="31"/>
      <c r="D4" s="31"/>
    </row>
    <row r="5" spans="1:7" ht="13" thickBot="1" x14ac:dyDescent="0.3">
      <c r="B5" s="29" t="s">
        <v>43</v>
      </c>
      <c r="C5" s="5">
        <v>315</v>
      </c>
      <c r="D5" t="s">
        <v>1</v>
      </c>
      <c r="E5" s="26" t="s">
        <v>46</v>
      </c>
      <c r="F5" s="27">
        <f>IF(C43="N/A",C42,C43)</f>
        <v>0</v>
      </c>
    </row>
    <row r="6" spans="1:7" ht="13" thickBot="1" x14ac:dyDescent="0.3"/>
    <row r="7" spans="1:7" ht="13.5" thickBot="1" x14ac:dyDescent="0.35">
      <c r="A7" s="3" t="s">
        <v>31</v>
      </c>
      <c r="C7" s="2" t="s">
        <v>4</v>
      </c>
      <c r="D7" s="10"/>
      <c r="E7" s="32" t="s">
        <v>35</v>
      </c>
      <c r="F7" s="33"/>
      <c r="G7" s="34"/>
    </row>
    <row r="8" spans="1:7" ht="14" thickTop="1" thickBot="1" x14ac:dyDescent="0.35">
      <c r="A8" s="3" t="s">
        <v>2</v>
      </c>
      <c r="B8" s="2" t="s">
        <v>26</v>
      </c>
      <c r="D8" s="10"/>
      <c r="E8" s="12" t="s">
        <v>36</v>
      </c>
      <c r="F8" s="20" t="s">
        <v>33</v>
      </c>
      <c r="G8" s="16" t="s">
        <v>34</v>
      </c>
    </row>
    <row r="9" spans="1:7" ht="13" thickTop="1" x14ac:dyDescent="0.25">
      <c r="A9" t="s">
        <v>3</v>
      </c>
      <c r="B9" s="8"/>
      <c r="C9" s="2">
        <f>IF(B9&lt;&gt;"",IF(B9&lt;5,5,IF(B9&gt;15,15,B9)),0)</f>
        <v>0</v>
      </c>
      <c r="E9" s="24">
        <v>1</v>
      </c>
      <c r="F9" s="21" t="s">
        <v>37</v>
      </c>
      <c r="G9" s="17" t="s">
        <v>39</v>
      </c>
    </row>
    <row r="10" spans="1:7" x14ac:dyDescent="0.25">
      <c r="B10" s="9" t="s">
        <v>29</v>
      </c>
      <c r="E10" s="13">
        <v>2</v>
      </c>
      <c r="F10" s="22"/>
      <c r="G10" s="18" t="s">
        <v>40</v>
      </c>
    </row>
    <row r="11" spans="1:7" x14ac:dyDescent="0.25">
      <c r="A11" t="s">
        <v>5</v>
      </c>
      <c r="B11" s="8"/>
      <c r="C11" s="2">
        <f>IF(B11&lt;&gt;"",5,0)</f>
        <v>0</v>
      </c>
      <c r="E11" s="14">
        <v>3</v>
      </c>
      <c r="F11" s="22"/>
      <c r="G11" s="18" t="s">
        <v>38</v>
      </c>
    </row>
    <row r="12" spans="1:7" x14ac:dyDescent="0.25">
      <c r="A12" t="s">
        <v>6</v>
      </c>
      <c r="B12" s="8"/>
      <c r="C12" s="2">
        <f>IF(B12&lt;&gt;"",75,0)</f>
        <v>0</v>
      </c>
      <c r="E12" s="14">
        <v>5</v>
      </c>
      <c r="F12" s="22"/>
      <c r="G12" s="18"/>
    </row>
    <row r="13" spans="1:7" x14ac:dyDescent="0.25">
      <c r="A13" t="s">
        <v>7</v>
      </c>
      <c r="B13" s="8"/>
      <c r="C13" s="2">
        <f>IF(B13&lt;&gt;"",15,0)</f>
        <v>0</v>
      </c>
      <c r="E13" s="14">
        <v>7</v>
      </c>
      <c r="F13" s="22"/>
      <c r="G13" s="18"/>
    </row>
    <row r="14" spans="1:7" x14ac:dyDescent="0.25">
      <c r="E14" s="14">
        <v>8</v>
      </c>
      <c r="F14" s="22"/>
      <c r="G14" s="18"/>
    </row>
    <row r="15" spans="1:7" ht="13" x14ac:dyDescent="0.3">
      <c r="A15" s="3" t="s">
        <v>8</v>
      </c>
      <c r="B15" s="2" t="s">
        <v>29</v>
      </c>
      <c r="E15" s="14">
        <v>60</v>
      </c>
      <c r="F15" s="22"/>
      <c r="G15" s="18"/>
    </row>
    <row r="16" spans="1:7" x14ac:dyDescent="0.25">
      <c r="A16" t="s">
        <v>9</v>
      </c>
      <c r="B16" s="8"/>
      <c r="C16" s="2">
        <f>IF(B16&lt;&gt;"",8,0)</f>
        <v>0</v>
      </c>
      <c r="E16" s="14">
        <v>70</v>
      </c>
      <c r="F16" s="22"/>
      <c r="G16" s="18"/>
    </row>
    <row r="17" spans="1:7" x14ac:dyDescent="0.25">
      <c r="A17" s="6" t="s">
        <v>10</v>
      </c>
      <c r="E17" s="14">
        <v>71</v>
      </c>
      <c r="F17" s="22"/>
      <c r="G17" s="18"/>
    </row>
    <row r="18" spans="1:7" x14ac:dyDescent="0.25">
      <c r="A18" s="7" t="s">
        <v>11</v>
      </c>
      <c r="B18" s="8"/>
      <c r="C18" s="2">
        <f>IF(B18&lt;&gt;"",60,0)</f>
        <v>0</v>
      </c>
      <c r="E18" s="14">
        <v>72</v>
      </c>
      <c r="F18" s="22"/>
      <c r="G18" s="18"/>
    </row>
    <row r="19" spans="1:7" x14ac:dyDescent="0.25">
      <c r="A19" s="7" t="s">
        <v>12</v>
      </c>
      <c r="B19" s="8"/>
      <c r="C19" s="2">
        <f>IF(B19&lt;&gt;"",100,0)</f>
        <v>0</v>
      </c>
      <c r="E19" s="14">
        <v>73</v>
      </c>
      <c r="F19" s="22"/>
      <c r="G19" s="18"/>
    </row>
    <row r="20" spans="1:7" x14ac:dyDescent="0.25">
      <c r="E20" s="14">
        <v>74</v>
      </c>
      <c r="F20" s="22"/>
      <c r="G20" s="18"/>
    </row>
    <row r="21" spans="1:7" ht="13" x14ac:dyDescent="0.3">
      <c r="A21" s="3" t="s">
        <v>13</v>
      </c>
      <c r="B21" s="2" t="s">
        <v>28</v>
      </c>
      <c r="E21" s="14">
        <v>75</v>
      </c>
      <c r="F21" s="22"/>
      <c r="G21" s="18"/>
    </row>
    <row r="22" spans="1:7" x14ac:dyDescent="0.25">
      <c r="A22" t="s">
        <v>14</v>
      </c>
      <c r="B22" s="8"/>
      <c r="C22" s="2">
        <f>IF(B22&lt;&gt;"",(3*B22),0)</f>
        <v>0</v>
      </c>
      <c r="E22" s="14">
        <v>77</v>
      </c>
      <c r="F22" s="22"/>
      <c r="G22" s="18"/>
    </row>
    <row r="23" spans="1:7" x14ac:dyDescent="0.25">
      <c r="A23" t="s">
        <v>15</v>
      </c>
      <c r="B23" s="8"/>
      <c r="C23" s="2">
        <f>IF(B23&lt;&gt;"",(5*B23),0)</f>
        <v>0</v>
      </c>
      <c r="E23" s="14">
        <v>78</v>
      </c>
      <c r="F23" s="22"/>
      <c r="G23" s="18"/>
    </row>
    <row r="24" spans="1:7" x14ac:dyDescent="0.25">
      <c r="A24" t="s">
        <v>16</v>
      </c>
      <c r="B24" s="8"/>
      <c r="C24" s="2">
        <f>IF(B24&lt;&gt;"",(5*B24),0)</f>
        <v>0</v>
      </c>
      <c r="E24" s="14">
        <v>79</v>
      </c>
      <c r="F24" s="22"/>
      <c r="G24" s="18"/>
    </row>
    <row r="25" spans="1:7" x14ac:dyDescent="0.25">
      <c r="E25" s="14">
        <v>80</v>
      </c>
      <c r="F25" s="22"/>
      <c r="G25" s="18"/>
    </row>
    <row r="26" spans="1:7" ht="13" thickBot="1" x14ac:dyDescent="0.3">
      <c r="B26" s="2" t="s">
        <v>29</v>
      </c>
      <c r="E26" s="15">
        <v>82</v>
      </c>
      <c r="F26" s="23"/>
      <c r="G26" s="19"/>
    </row>
    <row r="27" spans="1:7" x14ac:dyDescent="0.25">
      <c r="A27" t="s">
        <v>17</v>
      </c>
      <c r="B27" s="8"/>
      <c r="C27" s="2">
        <f>IF(B27&lt;&gt;"",100,0)</f>
        <v>0</v>
      </c>
      <c r="E27"/>
      <c r="F27"/>
      <c r="G27"/>
    </row>
    <row r="28" spans="1:7" x14ac:dyDescent="0.25">
      <c r="E28" s="11" t="s">
        <v>41</v>
      </c>
      <c r="F28"/>
      <c r="G28"/>
    </row>
    <row r="29" spans="1:7" ht="13" x14ac:dyDescent="0.3">
      <c r="A29" s="3" t="s">
        <v>18</v>
      </c>
      <c r="E29" s="11" t="s">
        <v>42</v>
      </c>
      <c r="F29"/>
      <c r="G29"/>
    </row>
    <row r="30" spans="1:7" x14ac:dyDescent="0.25">
      <c r="A30" t="s">
        <v>19</v>
      </c>
      <c r="B30" s="8"/>
      <c r="C30" s="2">
        <f>IF(B31="",(IF(B30&lt;&gt;"",20,0)),"")</f>
        <v>0</v>
      </c>
    </row>
    <row r="31" spans="1:7" x14ac:dyDescent="0.25">
      <c r="A31" t="s">
        <v>20</v>
      </c>
      <c r="B31" s="8"/>
      <c r="C31" s="2">
        <f>IF(B31&lt;&gt;"",75,0)</f>
        <v>0</v>
      </c>
    </row>
    <row r="33" spans="1:5" ht="13" x14ac:dyDescent="0.3">
      <c r="A33" s="3" t="s">
        <v>21</v>
      </c>
    </row>
    <row r="34" spans="1:5" x14ac:dyDescent="0.25">
      <c r="A34" t="s">
        <v>22</v>
      </c>
      <c r="B34" s="8"/>
      <c r="C34" s="2">
        <f>IF(B35="",(IF(B34&lt;&gt;"",10,0)),"")</f>
        <v>0</v>
      </c>
      <c r="E34" s="30"/>
    </row>
    <row r="35" spans="1:5" x14ac:dyDescent="0.25">
      <c r="A35" t="s">
        <v>23</v>
      </c>
      <c r="B35" s="28"/>
      <c r="C35" s="2">
        <f>IF(B35&lt;&gt;"",(B35*10),0)</f>
        <v>0</v>
      </c>
    </row>
    <row r="36" spans="1:5" x14ac:dyDescent="0.25">
      <c r="A36" t="s">
        <v>27</v>
      </c>
      <c r="C36" s="2">
        <f>SUM(C34:C35)</f>
        <v>0</v>
      </c>
    </row>
    <row r="38" spans="1:5" x14ac:dyDescent="0.25">
      <c r="A38" t="s">
        <v>47</v>
      </c>
      <c r="B38" s="8"/>
    </row>
    <row r="39" spans="1:5" x14ac:dyDescent="0.25">
      <c r="A39" t="s">
        <v>48</v>
      </c>
    </row>
    <row r="41" spans="1:5" ht="13" x14ac:dyDescent="0.3">
      <c r="A41" s="3" t="s">
        <v>4</v>
      </c>
      <c r="C41" s="2">
        <f>IF(OR(C34&gt;0,C35&gt;0),C36,SUM(C9:C31))</f>
        <v>0</v>
      </c>
    </row>
    <row r="42" spans="1:5" ht="13" x14ac:dyDescent="0.3">
      <c r="A42" s="3" t="s">
        <v>24</v>
      </c>
      <c r="C42" s="4">
        <f>C41*C5</f>
        <v>0</v>
      </c>
    </row>
    <row r="43" spans="1:5" ht="13" x14ac:dyDescent="0.3">
      <c r="A43" s="3" t="s">
        <v>49</v>
      </c>
      <c r="C43" s="25" t="str">
        <f>IF(B34&lt;&gt;"","N/A",IF(B38&lt;&gt;"",C42/2,"N/A"))</f>
        <v>N/A</v>
      </c>
    </row>
    <row r="47" spans="1:5" x14ac:dyDescent="0.25">
      <c r="A47" t="s">
        <v>32</v>
      </c>
    </row>
    <row r="48" spans="1:5" x14ac:dyDescent="0.25">
      <c r="A48" t="s">
        <v>25</v>
      </c>
    </row>
    <row r="49" spans="1:1" x14ac:dyDescent="0.25">
      <c r="A49" t="s">
        <v>45</v>
      </c>
    </row>
  </sheetData>
  <sheetProtection password="CABF" sheet="1" objects="1" scenarios="1"/>
  <mergeCells count="2">
    <mergeCell ref="B4:D4"/>
    <mergeCell ref="E7:G7"/>
  </mergeCells>
  <phoneticPr fontId="0" type="noConversion"/>
  <printOptions horizontalCentered="1"/>
  <pageMargins left="0.75" right="0.75" top="1" bottom="1"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Calculations</vt:lpstr>
      <vt:lpstr>Definitions</vt:lpstr>
      <vt:lpstr>Calculations!Print_Area</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Carina Negreanu</cp:lastModifiedBy>
  <cp:lastPrinted>2001-02-23T21:27:12Z</cp:lastPrinted>
  <dcterms:created xsi:type="dcterms:W3CDTF">2000-09-25T14:22:34Z</dcterms:created>
  <dcterms:modified xsi:type="dcterms:W3CDTF">2020-01-27T11:55:46Z</dcterms:modified>
</cp:coreProperties>
</file>