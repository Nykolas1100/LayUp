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CC147F4-991A-48F1-8F98-8B2CC795E513}" xr6:coauthVersionLast="45" xr6:coauthVersionMax="45" xr10:uidLastSave="{00000000-0000-0000-0000-000000000000}"/>
  <bookViews>
    <workbookView xWindow="380" yWindow="380" windowWidth="28800" windowHeight="15460" tabRatio="954"/>
  </bookViews>
  <sheets>
    <sheet name="Names" sheetId="6" r:id="rId1"/>
    <sheet name="Progress Report" sheetId="1" r:id="rId2"/>
    <sheet name="Test Grade" sheetId="2" r:id="rId3"/>
    <sheet name="Quiz Grade" sheetId="3" r:id="rId4"/>
    <sheet name="Notebook Grade" sheetId="4" r:id="rId5"/>
    <sheet name="Homework Grade" sheetId="7" r:id="rId6"/>
    <sheet name="Participation Grade" sheetId="5" r:id="rId7"/>
    <sheet name="Seating Chart" sheetId="10" r:id="rId8"/>
    <sheet name="Attendance sheet" sheetId="9" r:id="rId9"/>
    <sheet name="Daily Grade" sheetId="8" r:id="rId10"/>
    <sheet name="Attendance Sheet 2" sheetId="11" r:id="rId11"/>
  </sheets>
  <definedNames>
    <definedName name="_xlnm._FilterDatabase" localSheetId="1" hidden="1">'Progress Report'!$A$5:$J$40</definedName>
    <definedName name="_xlnm.Print_Area" localSheetId="8">'Attendance sheet'!$A$1:$P$27</definedName>
    <definedName name="_xlnm.Print_Area" localSheetId="10">'Attendance Sheet 2'!$A$1:$BA$35</definedName>
    <definedName name="_xlnm.Print_Area" localSheetId="9">'Daily Grade'!$A$1:$L$39</definedName>
    <definedName name="_xlnm.Print_Area" localSheetId="5">'Homework Grade'!$A$1:$AX$28</definedName>
    <definedName name="_xlnm.Print_Area" localSheetId="0">Names!$A$1:$AC$40</definedName>
    <definedName name="_xlnm.Print_Area" localSheetId="4">'Notebook Grade'!$A$1:$F$28</definedName>
    <definedName name="_xlnm.Print_Area" localSheetId="6">'Participation Grade'!$A$1:$F$25</definedName>
    <definedName name="_xlnm.Print_Area" localSheetId="1">'Progress Report'!$A$1:$J$84</definedName>
    <definedName name="_xlnm.Print_Area" localSheetId="3">'Quiz Grade'!$A$1:$H$28</definedName>
    <definedName name="_xlnm.Print_Area" localSheetId="7">'Seating Chart'!$A$1:$N$9</definedName>
    <definedName name="_xlnm.Print_Area" localSheetId="2">'Test Grade'!$A$1:$N$34</definedName>
    <definedName name="_xlnm.Print_Titles" localSheetId="8">'Attendance sheet'!$A:$B</definedName>
    <definedName name="_xlnm.Print_Titles" localSheetId="10">'Attendance Sheet 2'!$A:$B</definedName>
    <definedName name="_xlnm.Print_Titles" localSheetId="9">'Daily Grade'!$A:$B</definedName>
    <definedName name="_xlnm.Print_Titles" localSheetId="5">'Homework Grade'!$A:$E</definedName>
    <definedName name="_xlnm.Print_Titles" localSheetId="0">Names!$A:$B</definedName>
    <definedName name="_xlnm.Print_Titles" localSheetId="4">'Notebook Grade'!$A:$B</definedName>
    <definedName name="_xlnm.Print_Titles" localSheetId="6">'Participation Grade'!$A:$B</definedName>
    <definedName name="_xlnm.Print_Titles" localSheetId="1">'Progress Report'!$A:$B</definedName>
    <definedName name="_xlnm.Print_Titles" localSheetId="3">'Quiz Grade'!$A:$B</definedName>
    <definedName name="_xlnm.Print_Titles" localSheetId="2">'Test Grade'!$A:$B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8" i="9" l="1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6" i="9"/>
  <c r="B7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B2" i="9"/>
  <c r="B5" i="9"/>
  <c r="B1" i="9"/>
  <c r="B40" i="11"/>
  <c r="A40" i="11"/>
  <c r="B39" i="11"/>
  <c r="A39" i="11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2" i="11"/>
  <c r="B1" i="11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6" i="8"/>
  <c r="B7" i="8"/>
  <c r="B8" i="8"/>
  <c r="B5" i="8"/>
  <c r="E5" i="7"/>
  <c r="E24" i="7" s="1"/>
  <c r="I24" i="1" s="1"/>
  <c r="E38" i="7"/>
  <c r="E37" i="7"/>
  <c r="E36" i="7"/>
  <c r="E35" i="7"/>
  <c r="E34" i="7"/>
  <c r="E33" i="7"/>
  <c r="E32" i="7"/>
  <c r="E31" i="7"/>
  <c r="E30" i="7"/>
  <c r="E29" i="7"/>
  <c r="I29" i="1" s="1"/>
  <c r="E28" i="7"/>
  <c r="I28" i="1" s="1"/>
  <c r="E27" i="7"/>
  <c r="I27" i="1" s="1"/>
  <c r="E26" i="7"/>
  <c r="I26" i="1" s="1"/>
  <c r="E25" i="7"/>
  <c r="I25" i="1" s="1"/>
  <c r="E21" i="7"/>
  <c r="E18" i="7"/>
  <c r="E17" i="7"/>
  <c r="E16" i="7"/>
  <c r="E15" i="7"/>
  <c r="E14" i="7"/>
  <c r="E13" i="7"/>
  <c r="E12" i="7"/>
  <c r="E11" i="7"/>
  <c r="E10" i="7"/>
  <c r="E9" i="7"/>
  <c r="I9" i="1" s="1"/>
  <c r="E8" i="7"/>
  <c r="E7" i="7"/>
  <c r="E6" i="7"/>
  <c r="I6" i="1" s="1"/>
  <c r="B3" i="7"/>
  <c r="D5" i="7"/>
  <c r="D40" i="7"/>
  <c r="D39" i="7"/>
  <c r="D38" i="7"/>
  <c r="C38" i="7" s="1"/>
  <c r="H38" i="1" s="1"/>
  <c r="D37" i="7"/>
  <c r="D36" i="7"/>
  <c r="D35" i="7"/>
  <c r="D34" i="7"/>
  <c r="D33" i="7"/>
  <c r="C33" i="7" s="1"/>
  <c r="H33" i="1" s="1"/>
  <c r="D32" i="7"/>
  <c r="C32" i="7" s="1"/>
  <c r="H32" i="1" s="1"/>
  <c r="D31" i="7"/>
  <c r="C31" i="7" s="1"/>
  <c r="H31" i="1" s="1"/>
  <c r="D30" i="7"/>
  <c r="C30" i="7" s="1"/>
  <c r="H30" i="1" s="1"/>
  <c r="D29" i="7"/>
  <c r="D28" i="7"/>
  <c r="D27" i="7"/>
  <c r="D26" i="7"/>
  <c r="C26" i="7" s="1"/>
  <c r="H26" i="1" s="1"/>
  <c r="D25" i="7"/>
  <c r="C25" i="7" s="1"/>
  <c r="H25" i="1" s="1"/>
  <c r="D24" i="7"/>
  <c r="C24" i="7" s="1"/>
  <c r="H24" i="1" s="1"/>
  <c r="D23" i="7"/>
  <c r="C23" i="7" s="1"/>
  <c r="H23" i="1" s="1"/>
  <c r="D22" i="7"/>
  <c r="C22" i="7" s="1"/>
  <c r="H22" i="1" s="1"/>
  <c r="D21" i="7"/>
  <c r="D20" i="7"/>
  <c r="D19" i="7"/>
  <c r="D18" i="7"/>
  <c r="C18" i="7" s="1"/>
  <c r="H18" i="1" s="1"/>
  <c r="D17" i="7"/>
  <c r="D16" i="7"/>
  <c r="D15" i="7"/>
  <c r="D14" i="7"/>
  <c r="D13" i="7"/>
  <c r="C13" i="7" s="1"/>
  <c r="H13" i="1" s="1"/>
  <c r="D12" i="7"/>
  <c r="C12" i="7" s="1"/>
  <c r="H12" i="1" s="1"/>
  <c r="D11" i="7"/>
  <c r="C11" i="7" s="1"/>
  <c r="H11" i="1" s="1"/>
  <c r="D10" i="7"/>
  <c r="C10" i="7" s="1"/>
  <c r="H10" i="1" s="1"/>
  <c r="D9" i="7"/>
  <c r="D8" i="7"/>
  <c r="D7" i="7"/>
  <c r="D6" i="7"/>
  <c r="C6" i="7" s="1"/>
  <c r="H6" i="1" s="1"/>
  <c r="C3" i="7"/>
  <c r="B2" i="7"/>
  <c r="B1" i="7"/>
  <c r="C40" i="7"/>
  <c r="H40" i="1" s="1"/>
  <c r="B40" i="7"/>
  <c r="A40" i="7"/>
  <c r="C39" i="7"/>
  <c r="B39" i="7"/>
  <c r="A39" i="7"/>
  <c r="B38" i="7"/>
  <c r="A38" i="7"/>
  <c r="C37" i="7"/>
  <c r="B37" i="7"/>
  <c r="A37" i="7"/>
  <c r="C36" i="7"/>
  <c r="B36" i="7"/>
  <c r="A36" i="7"/>
  <c r="C35" i="7"/>
  <c r="B35" i="7"/>
  <c r="A35" i="7"/>
  <c r="C34" i="7"/>
  <c r="B34" i="7"/>
  <c r="A34" i="7"/>
  <c r="B33" i="7"/>
  <c r="A33" i="7"/>
  <c r="B32" i="7"/>
  <c r="A32" i="7"/>
  <c r="B31" i="7"/>
  <c r="A31" i="7"/>
  <c r="B30" i="7"/>
  <c r="A30" i="7"/>
  <c r="C29" i="7"/>
  <c r="B29" i="7"/>
  <c r="A29" i="7"/>
  <c r="C28" i="7"/>
  <c r="H28" i="1" s="1"/>
  <c r="B28" i="7"/>
  <c r="A28" i="7"/>
  <c r="C27" i="7"/>
  <c r="H27" i="1" s="1"/>
  <c r="B27" i="7"/>
  <c r="A27" i="7"/>
  <c r="B26" i="7"/>
  <c r="A26" i="7"/>
  <c r="B25" i="7"/>
  <c r="A25" i="7"/>
  <c r="B24" i="7"/>
  <c r="A24" i="7"/>
  <c r="B23" i="7"/>
  <c r="A23" i="7"/>
  <c r="B22" i="7"/>
  <c r="A22" i="7"/>
  <c r="C21" i="7"/>
  <c r="H21" i="1" s="1"/>
  <c r="B21" i="7"/>
  <c r="A21" i="7"/>
  <c r="C20" i="7"/>
  <c r="H20" i="1" s="1"/>
  <c r="B20" i="7"/>
  <c r="A20" i="7"/>
  <c r="C19" i="7"/>
  <c r="B19" i="7"/>
  <c r="A19" i="7"/>
  <c r="B18" i="7"/>
  <c r="A18" i="7"/>
  <c r="C17" i="7"/>
  <c r="B17" i="7"/>
  <c r="A17" i="7"/>
  <c r="C16" i="7"/>
  <c r="B16" i="7"/>
  <c r="A16" i="7"/>
  <c r="C15" i="7"/>
  <c r="B15" i="7"/>
  <c r="A15" i="7"/>
  <c r="C14" i="7"/>
  <c r="B14" i="7"/>
  <c r="A14" i="7"/>
  <c r="B13" i="7"/>
  <c r="A13" i="7"/>
  <c r="B12" i="7"/>
  <c r="A12" i="7"/>
  <c r="B11" i="7"/>
  <c r="A11" i="7"/>
  <c r="B10" i="7"/>
  <c r="A10" i="7"/>
  <c r="C9" i="7"/>
  <c r="B9" i="7"/>
  <c r="A9" i="7"/>
  <c r="C8" i="7"/>
  <c r="B8" i="7"/>
  <c r="A8" i="7"/>
  <c r="C7" i="7"/>
  <c r="H7" i="1" s="1"/>
  <c r="B7" i="7"/>
  <c r="A7" i="7"/>
  <c r="B6" i="7"/>
  <c r="A6" i="7"/>
  <c r="B5" i="7"/>
  <c r="A5" i="7"/>
  <c r="H2" i="6"/>
  <c r="B3" i="4"/>
  <c r="D5" i="4"/>
  <c r="C29" i="4" s="1"/>
  <c r="G29" i="1" s="1"/>
  <c r="D40" i="4"/>
  <c r="D39" i="4"/>
  <c r="D38" i="4"/>
  <c r="D37" i="4"/>
  <c r="D36" i="4"/>
  <c r="D35" i="4"/>
  <c r="C35" i="4" s="1"/>
  <c r="G35" i="1" s="1"/>
  <c r="D34" i="4"/>
  <c r="C34" i="4" s="1"/>
  <c r="G34" i="1" s="1"/>
  <c r="D33" i="4"/>
  <c r="C33" i="4" s="1"/>
  <c r="G33" i="1" s="1"/>
  <c r="D32" i="4"/>
  <c r="C32" i="4" s="1"/>
  <c r="G32" i="1" s="1"/>
  <c r="D31" i="4"/>
  <c r="C31" i="4" s="1"/>
  <c r="G31" i="1" s="1"/>
  <c r="D30" i="4"/>
  <c r="C30" i="4" s="1"/>
  <c r="G30" i="1" s="1"/>
  <c r="D29" i="4"/>
  <c r="D28" i="4"/>
  <c r="D27" i="4"/>
  <c r="D26" i="4"/>
  <c r="D25" i="4"/>
  <c r="D24" i="4"/>
  <c r="D23" i="4"/>
  <c r="D22" i="4"/>
  <c r="C22" i="4" s="1"/>
  <c r="G22" i="1" s="1"/>
  <c r="D21" i="4"/>
  <c r="C21" i="4" s="1"/>
  <c r="G21" i="1" s="1"/>
  <c r="D20" i="4"/>
  <c r="D19" i="4"/>
  <c r="D18" i="4"/>
  <c r="D17" i="4"/>
  <c r="D16" i="4"/>
  <c r="D15" i="4"/>
  <c r="C15" i="4" s="1"/>
  <c r="G15" i="1" s="1"/>
  <c r="D14" i="4"/>
  <c r="C14" i="4" s="1"/>
  <c r="G14" i="1" s="1"/>
  <c r="D13" i="4"/>
  <c r="C13" i="4" s="1"/>
  <c r="G13" i="1" s="1"/>
  <c r="D12" i="4"/>
  <c r="C12" i="4" s="1"/>
  <c r="G12" i="1" s="1"/>
  <c r="D11" i="4"/>
  <c r="C11" i="4" s="1"/>
  <c r="G11" i="1" s="1"/>
  <c r="D10" i="4"/>
  <c r="C10" i="4" s="1"/>
  <c r="G10" i="1" s="1"/>
  <c r="D9" i="4"/>
  <c r="D8" i="4"/>
  <c r="D7" i="4"/>
  <c r="D6" i="4"/>
  <c r="C3" i="4"/>
  <c r="B2" i="4"/>
  <c r="B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G36" i="1" s="1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C27" i="4"/>
  <c r="B27" i="4"/>
  <c r="A27" i="4"/>
  <c r="C26" i="4"/>
  <c r="B26" i="4"/>
  <c r="A26" i="4"/>
  <c r="C25" i="4"/>
  <c r="G25" i="1" s="1"/>
  <c r="B25" i="4"/>
  <c r="A25" i="4"/>
  <c r="C24" i="4"/>
  <c r="G24" i="1" s="1"/>
  <c r="B24" i="4"/>
  <c r="A24" i="4"/>
  <c r="C23" i="4"/>
  <c r="G23" i="1" s="1"/>
  <c r="B23" i="4"/>
  <c r="A23" i="4"/>
  <c r="B22" i="4"/>
  <c r="A22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A17" i="4"/>
  <c r="C16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C7" i="4"/>
  <c r="B7" i="4"/>
  <c r="A7" i="4"/>
  <c r="C6" i="4"/>
  <c r="B6" i="4"/>
  <c r="A6" i="4"/>
  <c r="B5" i="4"/>
  <c r="A5" i="4"/>
  <c r="C3" i="5"/>
  <c r="B3" i="5"/>
  <c r="D40" i="5"/>
  <c r="D5" i="5"/>
  <c r="C39" i="5" s="1"/>
  <c r="J39" i="1" s="1"/>
  <c r="C40" i="5"/>
  <c r="J40" i="1" s="1"/>
  <c r="B40" i="5"/>
  <c r="A40" i="5"/>
  <c r="D39" i="5"/>
  <c r="B39" i="5"/>
  <c r="A39" i="5"/>
  <c r="D38" i="5"/>
  <c r="B38" i="5"/>
  <c r="A38" i="5"/>
  <c r="D37" i="5"/>
  <c r="B37" i="5"/>
  <c r="A37" i="5"/>
  <c r="D36" i="5"/>
  <c r="C36" i="5" s="1"/>
  <c r="J36" i="1" s="1"/>
  <c r="B36" i="5"/>
  <c r="A36" i="5"/>
  <c r="D35" i="5"/>
  <c r="C35" i="5"/>
  <c r="J35" i="1" s="1"/>
  <c r="B35" i="5"/>
  <c r="A35" i="5"/>
  <c r="D34" i="5"/>
  <c r="B34" i="5"/>
  <c r="A34" i="5"/>
  <c r="D33" i="5"/>
  <c r="B33" i="5"/>
  <c r="A33" i="5"/>
  <c r="D32" i="5"/>
  <c r="B32" i="5"/>
  <c r="A32" i="5"/>
  <c r="D31" i="5"/>
  <c r="C31" i="5" s="1"/>
  <c r="J31" i="1" s="1"/>
  <c r="B31" i="5"/>
  <c r="A31" i="5"/>
  <c r="D30" i="5"/>
  <c r="C30" i="5"/>
  <c r="J30" i="1" s="1"/>
  <c r="B30" i="5"/>
  <c r="A30" i="5"/>
  <c r="D29" i="5"/>
  <c r="B29" i="5"/>
  <c r="A29" i="5"/>
  <c r="D28" i="5"/>
  <c r="B28" i="5"/>
  <c r="A28" i="5"/>
  <c r="D27" i="5"/>
  <c r="B27" i="5"/>
  <c r="A27" i="5"/>
  <c r="D26" i="5"/>
  <c r="C26" i="5" s="1"/>
  <c r="J26" i="1" s="1"/>
  <c r="B26" i="5"/>
  <c r="A26" i="5"/>
  <c r="D25" i="5"/>
  <c r="C25" i="5"/>
  <c r="J25" i="1" s="1"/>
  <c r="B25" i="5"/>
  <c r="A25" i="5"/>
  <c r="D24" i="5"/>
  <c r="B24" i="5"/>
  <c r="A24" i="5"/>
  <c r="D23" i="5"/>
  <c r="B23" i="5"/>
  <c r="A23" i="5"/>
  <c r="D22" i="5"/>
  <c r="B22" i="5"/>
  <c r="A22" i="5"/>
  <c r="D21" i="5"/>
  <c r="C21" i="5" s="1"/>
  <c r="J21" i="1" s="1"/>
  <c r="B21" i="5"/>
  <c r="A21" i="5"/>
  <c r="D20" i="5"/>
  <c r="C20" i="5"/>
  <c r="J20" i="1" s="1"/>
  <c r="B20" i="5"/>
  <c r="A20" i="5"/>
  <c r="D19" i="5"/>
  <c r="B19" i="5"/>
  <c r="A19" i="5"/>
  <c r="D18" i="5"/>
  <c r="B18" i="5"/>
  <c r="A18" i="5"/>
  <c r="D17" i="5"/>
  <c r="B17" i="5"/>
  <c r="A17" i="5"/>
  <c r="D16" i="5"/>
  <c r="C16" i="5" s="1"/>
  <c r="J16" i="1" s="1"/>
  <c r="B16" i="5"/>
  <c r="A16" i="5"/>
  <c r="D15" i="5"/>
  <c r="C15" i="5"/>
  <c r="B15" i="5"/>
  <c r="A15" i="5"/>
  <c r="D14" i="5"/>
  <c r="B14" i="5"/>
  <c r="A14" i="5"/>
  <c r="D13" i="5"/>
  <c r="B13" i="5"/>
  <c r="A13" i="5"/>
  <c r="D12" i="5"/>
  <c r="B12" i="5"/>
  <c r="A12" i="5"/>
  <c r="D11" i="5"/>
  <c r="C11" i="5" s="1"/>
  <c r="J11" i="1" s="1"/>
  <c r="B11" i="5"/>
  <c r="A11" i="5"/>
  <c r="D10" i="5"/>
  <c r="C10" i="5"/>
  <c r="J10" i="1" s="1"/>
  <c r="B10" i="5"/>
  <c r="A10" i="5"/>
  <c r="D9" i="5"/>
  <c r="B9" i="5"/>
  <c r="A9" i="5"/>
  <c r="D8" i="5"/>
  <c r="B8" i="5"/>
  <c r="A8" i="5"/>
  <c r="D7" i="5"/>
  <c r="B7" i="5"/>
  <c r="A7" i="5"/>
  <c r="D6" i="5"/>
  <c r="C6" i="5" s="1"/>
  <c r="J6" i="1" s="1"/>
  <c r="B6" i="5"/>
  <c r="A6" i="5"/>
  <c r="B5" i="5"/>
  <c r="A5" i="5"/>
  <c r="B2" i="5"/>
  <c r="B1" i="5"/>
  <c r="C45" i="1"/>
  <c r="C44" i="1"/>
  <c r="C76" i="1"/>
  <c r="C75" i="1"/>
  <c r="C7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H69" i="1"/>
  <c r="I69" i="1"/>
  <c r="J69" i="1"/>
  <c r="H70" i="1"/>
  <c r="I70" i="1"/>
  <c r="J70" i="1"/>
  <c r="H71" i="1"/>
  <c r="I71" i="1"/>
  <c r="J71" i="1"/>
  <c r="H72" i="1"/>
  <c r="I72" i="1"/>
  <c r="J72" i="1"/>
  <c r="H73" i="1"/>
  <c r="I73" i="1"/>
  <c r="J73" i="1"/>
  <c r="H74" i="1"/>
  <c r="I74" i="1"/>
  <c r="J74" i="1"/>
  <c r="H75" i="1"/>
  <c r="I75" i="1"/>
  <c r="J75" i="1"/>
  <c r="H76" i="1"/>
  <c r="I76" i="1"/>
  <c r="J76" i="1"/>
  <c r="H77" i="1"/>
  <c r="I77" i="1"/>
  <c r="J77" i="1"/>
  <c r="H78" i="1"/>
  <c r="I78" i="1"/>
  <c r="J78" i="1"/>
  <c r="H79" i="1"/>
  <c r="I79" i="1"/>
  <c r="J79" i="1"/>
  <c r="H80" i="1"/>
  <c r="I80" i="1"/>
  <c r="J80" i="1"/>
  <c r="G70" i="1"/>
  <c r="G71" i="1"/>
  <c r="G72" i="1"/>
  <c r="G73" i="1"/>
  <c r="G74" i="1"/>
  <c r="G75" i="1"/>
  <c r="G76" i="1"/>
  <c r="G77" i="1"/>
  <c r="G78" i="1"/>
  <c r="G79" i="1"/>
  <c r="G80" i="1"/>
  <c r="G69" i="1"/>
  <c r="E5" i="1"/>
  <c r="F5" i="1"/>
  <c r="G5" i="1"/>
  <c r="H5" i="1"/>
  <c r="J5" i="1"/>
  <c r="J4" i="1"/>
  <c r="H4" i="1"/>
  <c r="G4" i="1"/>
  <c r="F4" i="1"/>
  <c r="E4" i="1"/>
  <c r="B2" i="1"/>
  <c r="B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G37" i="1"/>
  <c r="G38" i="1"/>
  <c r="G39" i="1"/>
  <c r="G40" i="1"/>
  <c r="G19" i="1"/>
  <c r="G27" i="1"/>
  <c r="G26" i="1"/>
  <c r="G20" i="1"/>
  <c r="G18" i="1"/>
  <c r="G17" i="1"/>
  <c r="G16" i="1"/>
  <c r="G6" i="1"/>
  <c r="G7" i="1"/>
  <c r="H16" i="1"/>
  <c r="H15" i="1"/>
  <c r="H9" i="1"/>
  <c r="H14" i="1"/>
  <c r="H17" i="1"/>
  <c r="H29" i="1"/>
  <c r="H19" i="1"/>
  <c r="H39" i="1"/>
  <c r="H37" i="1"/>
  <c r="H36" i="1"/>
  <c r="H35" i="1"/>
  <c r="H34" i="1"/>
  <c r="I14" i="1"/>
  <c r="I13" i="1"/>
  <c r="I21" i="1"/>
  <c r="I18" i="1"/>
  <c r="I17" i="1"/>
  <c r="I5" i="1"/>
  <c r="I38" i="1"/>
  <c r="I37" i="1"/>
  <c r="I36" i="1"/>
  <c r="I35" i="1"/>
  <c r="I34" i="1"/>
  <c r="I33" i="1"/>
  <c r="I32" i="1"/>
  <c r="I31" i="1"/>
  <c r="I30" i="1"/>
  <c r="I10" i="1"/>
  <c r="I11" i="1"/>
  <c r="I12" i="1"/>
  <c r="I15" i="1"/>
  <c r="I16" i="1"/>
  <c r="I7" i="1"/>
  <c r="I8" i="1"/>
  <c r="H8" i="1"/>
  <c r="J15" i="1"/>
  <c r="D30" i="3"/>
  <c r="D5" i="3"/>
  <c r="C40" i="3" s="1"/>
  <c r="F40" i="1" s="1"/>
  <c r="C30" i="3"/>
  <c r="F30" i="1" s="1"/>
  <c r="D31" i="3"/>
  <c r="C31" i="3" s="1"/>
  <c r="F31" i="1" s="1"/>
  <c r="D32" i="3"/>
  <c r="C32" i="3"/>
  <c r="F32" i="1" s="1"/>
  <c r="D33" i="3"/>
  <c r="C33" i="3" s="1"/>
  <c r="F33" i="1" s="1"/>
  <c r="D34" i="3"/>
  <c r="D35" i="3"/>
  <c r="C35" i="3" s="1"/>
  <c r="F35" i="1" s="1"/>
  <c r="D36" i="3"/>
  <c r="C36" i="3" s="1"/>
  <c r="F36" i="1" s="1"/>
  <c r="D37" i="3"/>
  <c r="C37" i="3" s="1"/>
  <c r="F37" i="1" s="1"/>
  <c r="D38" i="3"/>
  <c r="C38" i="3"/>
  <c r="F38" i="1"/>
  <c r="D39" i="3"/>
  <c r="C39" i="3" s="1"/>
  <c r="F39" i="1" s="1"/>
  <c r="D40" i="3"/>
  <c r="D21" i="3"/>
  <c r="C21" i="3" s="1"/>
  <c r="F21" i="1" s="1"/>
  <c r="D19" i="3"/>
  <c r="D25" i="3"/>
  <c r="C25" i="3"/>
  <c r="F25" i="1"/>
  <c r="D29" i="3"/>
  <c r="C29" i="3"/>
  <c r="F29" i="1" s="1"/>
  <c r="D28" i="3"/>
  <c r="C28" i="3"/>
  <c r="F28" i="1"/>
  <c r="D27" i="3"/>
  <c r="C27" i="3" s="1"/>
  <c r="F27" i="1" s="1"/>
  <c r="D26" i="3"/>
  <c r="C26" i="3" s="1"/>
  <c r="F26" i="1" s="1"/>
  <c r="D24" i="3"/>
  <c r="D23" i="3"/>
  <c r="D22" i="3"/>
  <c r="C22" i="3"/>
  <c r="F22" i="1" s="1"/>
  <c r="D20" i="3"/>
  <c r="C20" i="3" s="1"/>
  <c r="F20" i="1" s="1"/>
  <c r="D18" i="3"/>
  <c r="C18" i="3"/>
  <c r="F18" i="1" s="1"/>
  <c r="D17" i="3"/>
  <c r="C17" i="3" s="1"/>
  <c r="F17" i="1" s="1"/>
  <c r="D14" i="3"/>
  <c r="D9" i="3"/>
  <c r="C9" i="3" s="1"/>
  <c r="F9" i="1" s="1"/>
  <c r="D11" i="3"/>
  <c r="C11" i="3" s="1"/>
  <c r="F11" i="1" s="1"/>
  <c r="D12" i="3"/>
  <c r="C12" i="3" s="1"/>
  <c r="F12" i="1" s="1"/>
  <c r="D15" i="3"/>
  <c r="C15" i="3"/>
  <c r="F15" i="1"/>
  <c r="D16" i="3"/>
  <c r="C16" i="3" s="1"/>
  <c r="F16" i="1" s="1"/>
  <c r="D10" i="3"/>
  <c r="C10" i="3" s="1"/>
  <c r="F10" i="1" s="1"/>
  <c r="D13" i="3"/>
  <c r="C13" i="3" s="1"/>
  <c r="F13" i="1" s="1"/>
  <c r="D6" i="3"/>
  <c r="D7" i="3"/>
  <c r="C7" i="3"/>
  <c r="F7" i="1"/>
  <c r="D8" i="3"/>
  <c r="C8" i="3"/>
  <c r="F8" i="1" s="1"/>
  <c r="D13" i="2"/>
  <c r="D5" i="2"/>
  <c r="C29" i="2" s="1"/>
  <c r="E29" i="1" s="1"/>
  <c r="C13" i="2"/>
  <c r="E13" i="1" s="1"/>
  <c r="D10" i="2"/>
  <c r="C10" i="2" s="1"/>
  <c r="E10" i="1" s="1"/>
  <c r="D16" i="2"/>
  <c r="C16" i="2" s="1"/>
  <c r="E16" i="1" s="1"/>
  <c r="D15" i="2"/>
  <c r="C15" i="2" s="1"/>
  <c r="E15" i="1" s="1"/>
  <c r="D12" i="2"/>
  <c r="C12" i="2"/>
  <c r="E12" i="1" s="1"/>
  <c r="D11" i="2"/>
  <c r="C11" i="2" s="1"/>
  <c r="E11" i="1" s="1"/>
  <c r="D9" i="2"/>
  <c r="D14" i="2"/>
  <c r="C14" i="2" s="1"/>
  <c r="E14" i="1" s="1"/>
  <c r="D17" i="2"/>
  <c r="C17" i="2"/>
  <c r="E17" i="1" s="1"/>
  <c r="D18" i="2"/>
  <c r="C18" i="2" s="1"/>
  <c r="E18" i="1" s="1"/>
  <c r="D20" i="2"/>
  <c r="D22" i="2"/>
  <c r="C22" i="2" s="1"/>
  <c r="E22" i="1" s="1"/>
  <c r="D23" i="2"/>
  <c r="C23" i="2"/>
  <c r="E23" i="1" s="1"/>
  <c r="D24" i="2"/>
  <c r="C24" i="2" s="1"/>
  <c r="E24" i="1" s="1"/>
  <c r="D26" i="2"/>
  <c r="D27" i="2"/>
  <c r="C27" i="2" s="1"/>
  <c r="E27" i="1" s="1"/>
  <c r="D28" i="2"/>
  <c r="C28" i="2"/>
  <c r="E28" i="1" s="1"/>
  <c r="D29" i="2"/>
  <c r="D25" i="2"/>
  <c r="D19" i="2"/>
  <c r="C19" i="2" s="1"/>
  <c r="E19" i="1" s="1"/>
  <c r="D21" i="2"/>
  <c r="C21" i="2"/>
  <c r="E21" i="1" s="1"/>
  <c r="D40" i="2"/>
  <c r="D39" i="2"/>
  <c r="D38" i="2"/>
  <c r="C38" i="2" s="1"/>
  <c r="E38" i="1" s="1"/>
  <c r="D37" i="2"/>
  <c r="C37" i="2"/>
  <c r="E37" i="1" s="1"/>
  <c r="D36" i="2"/>
  <c r="D35" i="2"/>
  <c r="D34" i="2"/>
  <c r="D33" i="2"/>
  <c r="C33" i="2"/>
  <c r="E33" i="1" s="1"/>
  <c r="D32" i="2"/>
  <c r="D31" i="2"/>
  <c r="D30" i="2"/>
  <c r="C30" i="2" s="1"/>
  <c r="E30" i="1" s="1"/>
  <c r="D6" i="2"/>
  <c r="C6" i="2"/>
  <c r="E6" i="1" s="1"/>
  <c r="D8" i="2"/>
  <c r="D7" i="2"/>
  <c r="B3" i="3"/>
  <c r="C3" i="3"/>
  <c r="B2" i="3"/>
  <c r="B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C3" i="2"/>
  <c r="B3" i="2"/>
  <c r="B2" i="2"/>
  <c r="B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C11" i="1" l="1"/>
  <c r="D11" i="1" s="1"/>
  <c r="C21" i="1"/>
  <c r="D21" i="1" s="1"/>
  <c r="C18" i="1"/>
  <c r="D18" i="1" s="1"/>
  <c r="C16" i="1"/>
  <c r="D16" i="1" s="1"/>
  <c r="C12" i="1"/>
  <c r="D12" i="1" s="1"/>
  <c r="C28" i="1"/>
  <c r="D28" i="1" s="1"/>
  <c r="C10" i="1"/>
  <c r="D10" i="1" s="1"/>
  <c r="C13" i="1"/>
  <c r="D13" i="1" s="1"/>
  <c r="C29" i="1"/>
  <c r="D29" i="1" s="1"/>
  <c r="C19" i="1"/>
  <c r="D19" i="1" s="1"/>
  <c r="C30" i="1"/>
  <c r="D30" i="1" s="1"/>
  <c r="C15" i="1"/>
  <c r="D15" i="1" s="1"/>
  <c r="C34" i="2"/>
  <c r="E34" i="1" s="1"/>
  <c r="C23" i="3"/>
  <c r="F23" i="1" s="1"/>
  <c r="C23" i="1" s="1"/>
  <c r="D23" i="1" s="1"/>
  <c r="C7" i="5"/>
  <c r="J7" i="1" s="1"/>
  <c r="C12" i="5"/>
  <c r="J12" i="1" s="1"/>
  <c r="C17" i="5"/>
  <c r="J17" i="1" s="1"/>
  <c r="C17" i="1" s="1"/>
  <c r="D17" i="1" s="1"/>
  <c r="C22" i="5"/>
  <c r="J22" i="1" s="1"/>
  <c r="C22" i="1" s="1"/>
  <c r="D22" i="1" s="1"/>
  <c r="C27" i="5"/>
  <c r="J27" i="1" s="1"/>
  <c r="C27" i="1" s="1"/>
  <c r="D27" i="1" s="1"/>
  <c r="C32" i="5"/>
  <c r="J32" i="1" s="1"/>
  <c r="C37" i="5"/>
  <c r="J37" i="1" s="1"/>
  <c r="C37" i="1" s="1"/>
  <c r="D37" i="1" s="1"/>
  <c r="C7" i="2"/>
  <c r="E7" i="1" s="1"/>
  <c r="C7" i="1" s="1"/>
  <c r="D7" i="1" s="1"/>
  <c r="C31" i="2"/>
  <c r="E31" i="1" s="1"/>
  <c r="C31" i="1" s="1"/>
  <c r="D31" i="1" s="1"/>
  <c r="C35" i="2"/>
  <c r="E35" i="1" s="1"/>
  <c r="C35" i="1" s="1"/>
  <c r="D35" i="1" s="1"/>
  <c r="C39" i="2"/>
  <c r="E39" i="1" s="1"/>
  <c r="C39" i="1" s="1"/>
  <c r="D39" i="1" s="1"/>
  <c r="C25" i="2"/>
  <c r="E25" i="1" s="1"/>
  <c r="C25" i="1" s="1"/>
  <c r="D25" i="1" s="1"/>
  <c r="C26" i="2"/>
  <c r="E26" i="1" s="1"/>
  <c r="C26" i="1" s="1"/>
  <c r="D26" i="1" s="1"/>
  <c r="C20" i="2"/>
  <c r="E20" i="1" s="1"/>
  <c r="C20" i="1" s="1"/>
  <c r="D20" i="1" s="1"/>
  <c r="C9" i="2"/>
  <c r="E9" i="1" s="1"/>
  <c r="C9" i="1" s="1"/>
  <c r="D9" i="1" s="1"/>
  <c r="C6" i="3"/>
  <c r="F6" i="1" s="1"/>
  <c r="C6" i="1" s="1"/>
  <c r="D6" i="1" s="1"/>
  <c r="C19" i="3"/>
  <c r="F19" i="1" s="1"/>
  <c r="C24" i="3"/>
  <c r="F24" i="1" s="1"/>
  <c r="C24" i="1" s="1"/>
  <c r="D24" i="1" s="1"/>
  <c r="C8" i="5"/>
  <c r="J8" i="1" s="1"/>
  <c r="C13" i="5"/>
  <c r="J13" i="1" s="1"/>
  <c r="C18" i="5"/>
  <c r="J18" i="1" s="1"/>
  <c r="C23" i="5"/>
  <c r="J23" i="1" s="1"/>
  <c r="C28" i="5"/>
  <c r="J28" i="1" s="1"/>
  <c r="C33" i="5"/>
  <c r="J33" i="1" s="1"/>
  <c r="C33" i="1" s="1"/>
  <c r="D33" i="1" s="1"/>
  <c r="C38" i="5"/>
  <c r="J38" i="1" s="1"/>
  <c r="C38" i="1" s="1"/>
  <c r="D38" i="1" s="1"/>
  <c r="C14" i="3"/>
  <c r="F14" i="1" s="1"/>
  <c r="C14" i="1" s="1"/>
  <c r="D14" i="1" s="1"/>
  <c r="C34" i="3"/>
  <c r="F34" i="1" s="1"/>
  <c r="E19" i="7"/>
  <c r="I19" i="1" s="1"/>
  <c r="E39" i="7"/>
  <c r="I39" i="1" s="1"/>
  <c r="C8" i="2"/>
  <c r="E8" i="1" s="1"/>
  <c r="C32" i="2"/>
  <c r="E32" i="1" s="1"/>
  <c r="C32" i="1" s="1"/>
  <c r="D32" i="1" s="1"/>
  <c r="C36" i="2"/>
  <c r="E36" i="1" s="1"/>
  <c r="C36" i="1" s="1"/>
  <c r="D36" i="1" s="1"/>
  <c r="C40" i="2"/>
  <c r="E40" i="1" s="1"/>
  <c r="C40" i="1" s="1"/>
  <c r="D40" i="1" s="1"/>
  <c r="E20" i="7"/>
  <c r="I20" i="1" s="1"/>
  <c r="E40" i="7"/>
  <c r="I40" i="1" s="1"/>
  <c r="C8" i="4"/>
  <c r="G8" i="1" s="1"/>
  <c r="C28" i="4"/>
  <c r="G28" i="1" s="1"/>
  <c r="C9" i="5"/>
  <c r="J9" i="1" s="1"/>
  <c r="C14" i="5"/>
  <c r="J14" i="1" s="1"/>
  <c r="C19" i="5"/>
  <c r="J19" i="1" s="1"/>
  <c r="C24" i="5"/>
  <c r="J24" i="1" s="1"/>
  <c r="C29" i="5"/>
  <c r="J29" i="1" s="1"/>
  <c r="C34" i="5"/>
  <c r="J34" i="1" s="1"/>
  <c r="E22" i="7"/>
  <c r="I22" i="1" s="1"/>
  <c r="E23" i="7"/>
  <c r="I23" i="1" s="1"/>
  <c r="C9" i="4"/>
  <c r="G9" i="1" s="1"/>
  <c r="C8" i="1" l="1"/>
  <c r="D8" i="1" s="1"/>
  <c r="C34" i="1"/>
  <c r="D34" i="1" s="1"/>
</calcChain>
</file>

<file path=xl/sharedStrings.xml><?xml version="1.0" encoding="utf-8"?>
<sst xmlns="http://schemas.openxmlformats.org/spreadsheetml/2006/main" count="255" uniqueCount="118">
  <si>
    <t>#</t>
  </si>
  <si>
    <t>Name</t>
  </si>
  <si>
    <t>Final Grade</t>
  </si>
  <si>
    <t>Total</t>
  </si>
  <si>
    <t>Phone #</t>
  </si>
  <si>
    <t>Parent Name</t>
  </si>
  <si>
    <t>Date</t>
  </si>
  <si>
    <t>E-Mail</t>
  </si>
  <si>
    <t>Date Called</t>
  </si>
  <si>
    <t>Monday</t>
  </si>
  <si>
    <t>Tuesday</t>
  </si>
  <si>
    <t>Wednesday</t>
  </si>
  <si>
    <t>Thursday</t>
  </si>
  <si>
    <t>Friday</t>
  </si>
  <si>
    <t>Letter Grade</t>
  </si>
  <si>
    <t>A+</t>
  </si>
  <si>
    <t>A-</t>
  </si>
  <si>
    <t>A</t>
  </si>
  <si>
    <t>B+</t>
  </si>
  <si>
    <t>B</t>
  </si>
  <si>
    <t>B-</t>
  </si>
  <si>
    <t>C+</t>
  </si>
  <si>
    <t>C</t>
  </si>
  <si>
    <t>C-</t>
  </si>
  <si>
    <t>D+</t>
  </si>
  <si>
    <t>D</t>
  </si>
  <si>
    <t>F</t>
  </si>
  <si>
    <t>to</t>
  </si>
  <si>
    <t>Percent</t>
  </si>
  <si>
    <t># of missing assignments</t>
  </si>
  <si>
    <t>Total points</t>
  </si>
  <si>
    <t>Grade Scale</t>
  </si>
  <si>
    <t>Parent: ________________________________</t>
  </si>
  <si>
    <t>Student: _______________________________</t>
  </si>
  <si>
    <t>Comments:</t>
  </si>
  <si>
    <t>If you have any questions or comments or would</t>
  </si>
  <si>
    <t>like to schedule a meeting, please feel free to</t>
  </si>
  <si>
    <t>contact me.</t>
  </si>
  <si>
    <t>prog report 1</t>
  </si>
  <si>
    <t>Week ___</t>
  </si>
  <si>
    <t>t - tardy</t>
  </si>
  <si>
    <t>np - not prepared</t>
  </si>
  <si>
    <t>a - absent</t>
  </si>
  <si>
    <t>nd - homework not done</t>
  </si>
  <si>
    <t>Report card</t>
  </si>
  <si>
    <t># of Missing Homework Assignments out of…</t>
  </si>
  <si>
    <t>Test Grade</t>
  </si>
  <si>
    <t>Quiz Grade</t>
  </si>
  <si>
    <t>Notebook Grade</t>
  </si>
  <si>
    <t>Homework Grade</t>
  </si>
  <si>
    <t>Participation Grade</t>
  </si>
  <si>
    <t>Help Class Times</t>
  </si>
  <si>
    <t>Day</t>
  </si>
  <si>
    <t>7:15am to</t>
  </si>
  <si>
    <t xml:space="preserve"> 7:45am</t>
  </si>
  <si>
    <t xml:space="preserve"> 4:00pm</t>
  </si>
  <si>
    <t>3:30pm to</t>
  </si>
  <si>
    <t>Time</t>
  </si>
  <si>
    <t>Room</t>
  </si>
  <si>
    <t>Subject</t>
  </si>
  <si>
    <t>Any Math</t>
  </si>
  <si>
    <t xml:space="preserve">I am always available for questions.  </t>
  </si>
  <si>
    <t>Quarter 1</t>
  </si>
  <si>
    <t>Class</t>
  </si>
  <si>
    <t>HLookup</t>
  </si>
  <si>
    <t>Enter the grade range here</t>
  </si>
  <si>
    <t>Enter The weights here</t>
  </si>
  <si>
    <t>Enter names here</t>
  </si>
  <si>
    <t>Notebook check one</t>
  </si>
  <si>
    <t>Notebook check two</t>
  </si>
  <si>
    <t>m</t>
  </si>
  <si>
    <t>t</t>
  </si>
  <si>
    <t>w</t>
  </si>
  <si>
    <t>th</t>
  </si>
  <si>
    <t>f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</si>
  <si>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</si>
  <si>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</si>
  <si>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</si>
  <si>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</si>
  <si>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</si>
  <si>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</si>
  <si>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</si>
  <si>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</si>
  <si>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</si>
  <si>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extra</t>
  </si>
  <si>
    <t>Chalk Board</t>
  </si>
  <si>
    <t>White Board</t>
  </si>
  <si>
    <t>Closet</t>
  </si>
  <si>
    <t>Door</t>
  </si>
  <si>
    <t>Back Wall</t>
  </si>
  <si>
    <t>Lecturn</t>
  </si>
  <si>
    <t>Last Name, First Name</t>
  </si>
  <si>
    <t>Voice Mail:</t>
  </si>
  <si>
    <t>E-Mail:</t>
  </si>
  <si>
    <t>Home Phone:</t>
  </si>
  <si>
    <t>447-2727 ext. 127</t>
  </si>
  <si>
    <t>mharmless@fcslafayette.org</t>
  </si>
  <si>
    <t>742-8189</t>
  </si>
  <si>
    <t>Enter your personal information here.</t>
  </si>
  <si>
    <t>Percentage</t>
  </si>
  <si>
    <t>Adams, Bob</t>
  </si>
  <si>
    <t>Jones, George</t>
  </si>
  <si>
    <t>Smith, Ralph</t>
  </si>
  <si>
    <t>Great job so far!</t>
  </si>
  <si>
    <t>Keep up the good work</t>
  </si>
  <si>
    <t>Test 1</t>
  </si>
  <si>
    <t>test 2</t>
  </si>
  <si>
    <t>etc.</t>
  </si>
  <si>
    <t>quiz 1</t>
  </si>
  <si>
    <t>quiz 2</t>
  </si>
  <si>
    <t>assignment 1</t>
  </si>
  <si>
    <t>assignment 2</t>
  </si>
  <si>
    <t>assignment 3</t>
  </si>
  <si>
    <t>assignment 4</t>
  </si>
  <si>
    <t>assignment 5</t>
  </si>
  <si>
    <t xml:space="preserve">We have had </t>
  </si>
  <si>
    <t>tests so far this quarter</t>
  </si>
  <si>
    <t>quizzes so far this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</si>
</sst>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%"/>
    <numFmt numFmtId="173" formatCode="[&lt;=9999999]###\-####;\(###\)\ ###\-####"/>
  </numFmts>
  <fonts count="12" x14ac:knownFonts="1">
    <font>
      <sz val="10"/>
      <name val="Arial"/>
    </font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b/>
      <u/>
      <sz val="10"/>
      <name val="Arial"/>
      <family val="2"/>
    </font>
    <font>
      <i/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Comic Sans MS"/>
      <family val="4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30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0" xfId="0" applyBorder="1"/>
    <xf numFmtId="0" fontId="0" fillId="0" borderId="0" xfId="0" applyBorder="1" applyAlignment="1">
      <alignment textRotation="90"/>
    </xf>
    <xf numFmtId="16" fontId="0" fillId="0" borderId="0" xfId="0" applyNumberFormat="1" applyBorder="1" applyAlignment="1">
      <alignment textRotation="90"/>
    </xf>
    <xf numFmtId="0" fontId="0" fillId="0" borderId="3" xfId="0" applyBorder="1"/>
    <xf numFmtId="0" fontId="0" fillId="0" borderId="4" xfId="0" applyBorder="1"/>
    <xf numFmtId="16" fontId="0" fillId="0" borderId="0" xfId="0" applyNumberFormat="1" applyAlignment="1">
      <alignment textRotation="90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0" xfId="2" applyFont="1"/>
    <xf numFmtId="9" fontId="0" fillId="0" borderId="0" xfId="2" applyFont="1" applyBorder="1"/>
    <xf numFmtId="0" fontId="0" fillId="0" borderId="0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9" fontId="0" fillId="0" borderId="16" xfId="0" applyNumberForma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Fill="1" applyBorder="1"/>
    <xf numFmtId="0" fontId="0" fillId="0" borderId="18" xfId="0" applyBorder="1" applyAlignment="1">
      <alignment textRotation="90"/>
    </xf>
    <xf numFmtId="0" fontId="0" fillId="2" borderId="0" xfId="0" applyFill="1" applyBorder="1"/>
    <xf numFmtId="0" fontId="0" fillId="2" borderId="0" xfId="0" applyFill="1" applyBorder="1" applyAlignment="1">
      <alignment textRotation="90"/>
    </xf>
    <xf numFmtId="172" fontId="0" fillId="3" borderId="7" xfId="0" applyNumberFormat="1" applyFill="1" applyBorder="1" applyAlignment="1">
      <alignment horizontal="center"/>
    </xf>
    <xf numFmtId="0" fontId="0" fillId="3" borderId="0" xfId="0" applyFill="1" applyBorder="1"/>
    <xf numFmtId="0" fontId="3" fillId="3" borderId="0" xfId="0" applyFont="1" applyFill="1" applyBorder="1"/>
    <xf numFmtId="172" fontId="0" fillId="3" borderId="12" xfId="0" applyNumberFormat="1" applyFill="1" applyBorder="1" applyAlignment="1">
      <alignment horizontal="center"/>
    </xf>
    <xf numFmtId="0" fontId="0" fillId="0" borderId="4" xfId="0" applyBorder="1" applyAlignment="1">
      <alignment textRotation="90"/>
    </xf>
    <xf numFmtId="0" fontId="0" fillId="0" borderId="0" xfId="0" applyBorder="1" applyAlignment="1">
      <alignment shrinkToFit="1"/>
    </xf>
    <xf numFmtId="0" fontId="0" fillId="0" borderId="20" xfId="0" applyBorder="1"/>
    <xf numFmtId="0" fontId="0" fillId="2" borderId="21" xfId="0" applyFill="1" applyBorder="1" applyAlignment="1">
      <alignment horizontal="center" textRotation="90"/>
    </xf>
    <xf numFmtId="0" fontId="0" fillId="2" borderId="22" xfId="0" applyFill="1" applyBorder="1" applyAlignment="1">
      <alignment horizontal="center" textRotation="90"/>
    </xf>
    <xf numFmtId="0" fontId="0" fillId="2" borderId="23" xfId="0" applyFill="1" applyBorder="1" applyAlignment="1">
      <alignment horizontal="center" textRotation="90"/>
    </xf>
    <xf numFmtId="9" fontId="0" fillId="2" borderId="24" xfId="0" applyNumberFormat="1" applyFill="1" applyBorder="1" applyAlignment="1">
      <alignment horizontal="center" vertical="top" textRotation="90"/>
    </xf>
    <xf numFmtId="9" fontId="0" fillId="2" borderId="25" xfId="0" applyNumberFormat="1" applyFill="1" applyBorder="1" applyAlignment="1">
      <alignment horizontal="center" vertical="top" textRotation="90"/>
    </xf>
    <xf numFmtId="9" fontId="0" fillId="2" borderId="12" xfId="0" applyNumberFormat="1" applyFill="1" applyBorder="1" applyAlignment="1">
      <alignment horizontal="center" vertical="top" textRotation="90"/>
    </xf>
    <xf numFmtId="9" fontId="0" fillId="3" borderId="26" xfId="0" applyNumberFormat="1" applyFill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9" fontId="0" fillId="3" borderId="27" xfId="0" applyNumberFormat="1" applyFill="1" applyBorder="1" applyAlignment="1">
      <alignment horizontal="center"/>
    </xf>
    <xf numFmtId="0" fontId="0" fillId="2" borderId="25" xfId="0" applyNumberFormat="1" applyFill="1" applyBorder="1" applyAlignment="1">
      <alignment horizontal="center" vertical="top"/>
    </xf>
    <xf numFmtId="0" fontId="4" fillId="2" borderId="23" xfId="0" applyFont="1" applyFill="1" applyBorder="1" applyAlignment="1">
      <alignment horizontal="center" wrapText="1"/>
    </xf>
    <xf numFmtId="0" fontId="0" fillId="2" borderId="23" xfId="0" applyFill="1" applyBorder="1" applyAlignment="1">
      <alignment horizontal="center" textRotation="90" wrapText="1"/>
    </xf>
    <xf numFmtId="0" fontId="0" fillId="2" borderId="19" xfId="0" applyFill="1" applyBorder="1" applyAlignment="1">
      <alignment horizontal="center" textRotation="90" wrapText="1"/>
    </xf>
    <xf numFmtId="0" fontId="0" fillId="3" borderId="28" xfId="0" applyFill="1" applyBorder="1"/>
    <xf numFmtId="20" fontId="0" fillId="3" borderId="29" xfId="0" applyNumberFormat="1" applyFill="1" applyBorder="1"/>
    <xf numFmtId="0" fontId="0" fillId="3" borderId="29" xfId="0" applyFill="1" applyBorder="1" applyAlignment="1">
      <alignment horizontal="center"/>
    </xf>
    <xf numFmtId="9" fontId="0" fillId="2" borderId="27" xfId="0" applyNumberFormat="1" applyFill="1" applyBorder="1" applyAlignment="1">
      <alignment horizontal="center" vertical="top" textRotation="90"/>
    </xf>
    <xf numFmtId="0" fontId="3" fillId="3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4" borderId="0" xfId="0" applyFill="1"/>
    <xf numFmtId="16" fontId="0" fillId="4" borderId="0" xfId="0" applyNumberFormat="1" applyFill="1" applyAlignment="1">
      <alignment textRotation="90"/>
    </xf>
    <xf numFmtId="0" fontId="0" fillId="4" borderId="2" xfId="0" applyFill="1" applyBorder="1"/>
    <xf numFmtId="0" fontId="0" fillId="2" borderId="0" xfId="0" applyFill="1"/>
    <xf numFmtId="16" fontId="0" fillId="2" borderId="0" xfId="0" applyNumberFormat="1" applyFill="1" applyBorder="1" applyAlignment="1">
      <alignment textRotation="90"/>
    </xf>
    <xf numFmtId="9" fontId="3" fillId="0" borderId="0" xfId="2" applyFont="1" applyBorder="1" applyAlignment="1">
      <alignment horizontal="center"/>
    </xf>
    <xf numFmtId="9" fontId="3" fillId="0" borderId="30" xfId="2" applyFont="1" applyBorder="1" applyAlignment="1">
      <alignment horizontal="center"/>
    </xf>
    <xf numFmtId="9" fontId="3" fillId="0" borderId="1" xfId="2" applyFont="1" applyBorder="1" applyAlignment="1">
      <alignment horizontal="center"/>
    </xf>
    <xf numFmtId="9" fontId="3" fillId="0" borderId="31" xfId="2" applyFont="1" applyBorder="1" applyAlignment="1">
      <alignment horizontal="center"/>
    </xf>
    <xf numFmtId="9" fontId="3" fillId="0" borderId="32" xfId="2" applyFont="1" applyBorder="1" applyAlignment="1">
      <alignment horizontal="center"/>
    </xf>
    <xf numFmtId="9" fontId="3" fillId="0" borderId="33" xfId="2" applyFont="1" applyBorder="1" applyAlignment="1">
      <alignment horizontal="center"/>
    </xf>
    <xf numFmtId="9" fontId="3" fillId="0" borderId="16" xfId="2" applyFont="1" applyBorder="1" applyAlignment="1">
      <alignment horizontal="center"/>
    </xf>
    <xf numFmtId="9" fontId="8" fillId="0" borderId="34" xfId="2" applyFont="1" applyBorder="1" applyAlignment="1">
      <alignment horizontal="center"/>
    </xf>
    <xf numFmtId="9" fontId="8" fillId="0" borderId="35" xfId="2" applyFont="1" applyBorder="1" applyAlignment="1">
      <alignment horizontal="center"/>
    </xf>
    <xf numFmtId="9" fontId="8" fillId="0" borderId="9" xfId="2" applyFont="1" applyBorder="1" applyAlignment="1">
      <alignment horizontal="center"/>
    </xf>
    <xf numFmtId="9" fontId="3" fillId="0" borderId="36" xfId="2" applyFont="1" applyBorder="1" applyAlignment="1">
      <alignment horizontal="center"/>
    </xf>
    <xf numFmtId="9" fontId="3" fillId="0" borderId="37" xfId="2" applyFont="1" applyBorder="1" applyAlignment="1">
      <alignment horizontal="center"/>
    </xf>
    <xf numFmtId="9" fontId="3" fillId="0" borderId="15" xfId="2" applyFont="1" applyBorder="1" applyAlignment="1">
      <alignment horizontal="center"/>
    </xf>
    <xf numFmtId="172" fontId="0" fillId="0" borderId="30" xfId="0" applyNumberFormat="1" applyBorder="1" applyAlignment="1">
      <alignment horizontal="center"/>
    </xf>
    <xf numFmtId="10" fontId="0" fillId="0" borderId="34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2" borderId="0" xfId="0" applyFill="1" applyBorder="1" applyAlignment="1">
      <alignment horizontal="center" textRotation="90" wrapText="1"/>
    </xf>
    <xf numFmtId="9" fontId="0" fillId="2" borderId="0" xfId="0" applyNumberFormat="1" applyFill="1" applyBorder="1" applyAlignment="1">
      <alignment horizontal="center" vertical="top" textRotation="90"/>
    </xf>
    <xf numFmtId="0" fontId="0" fillId="5" borderId="34" xfId="0" applyFill="1" applyBorder="1" applyAlignment="1">
      <alignment horizontal="center"/>
    </xf>
    <xf numFmtId="9" fontId="0" fillId="5" borderId="9" xfId="0" applyNumberFormat="1" applyFill="1" applyBorder="1"/>
    <xf numFmtId="16" fontId="7" fillId="3" borderId="0" xfId="0" applyNumberFormat="1" applyFont="1" applyFill="1" applyAlignment="1">
      <alignment vertical="center" wrapText="1"/>
    </xf>
    <xf numFmtId="9" fontId="7" fillId="6" borderId="30" xfId="2" applyFont="1" applyFill="1" applyBorder="1" applyAlignment="1">
      <alignment horizontal="center"/>
    </xf>
    <xf numFmtId="0" fontId="7" fillId="6" borderId="34" xfId="0" applyFont="1" applyFill="1" applyBorder="1" applyAlignment="1">
      <alignment horizontal="center"/>
    </xf>
    <xf numFmtId="9" fontId="7" fillId="6" borderId="1" xfId="2" applyFont="1" applyFill="1" applyBorder="1" applyAlignment="1">
      <alignment horizontal="center"/>
    </xf>
    <xf numFmtId="0" fontId="7" fillId="6" borderId="36" xfId="0" applyFont="1" applyFill="1" applyBorder="1" applyAlignment="1">
      <alignment horizontal="center"/>
    </xf>
    <xf numFmtId="9" fontId="7" fillId="6" borderId="31" xfId="2" applyFont="1" applyFill="1" applyBorder="1" applyAlignment="1">
      <alignment horizontal="center"/>
    </xf>
    <xf numFmtId="0" fontId="7" fillId="6" borderId="35" xfId="0" applyFont="1" applyFill="1" applyBorder="1" applyAlignment="1">
      <alignment horizontal="center"/>
    </xf>
    <xf numFmtId="9" fontId="7" fillId="6" borderId="32" xfId="2" applyFont="1" applyFill="1" applyBorder="1" applyAlignment="1">
      <alignment horizontal="center"/>
    </xf>
    <xf numFmtId="0" fontId="7" fillId="6" borderId="37" xfId="0" applyFont="1" applyFill="1" applyBorder="1" applyAlignment="1">
      <alignment horizontal="center"/>
    </xf>
    <xf numFmtId="9" fontId="7" fillId="6" borderId="33" xfId="2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9" fontId="7" fillId="6" borderId="16" xfId="2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0" fontId="0" fillId="5" borderId="38" xfId="0" applyFill="1" applyBorder="1" applyAlignment="1">
      <alignment horizontal="center"/>
    </xf>
    <xf numFmtId="9" fontId="0" fillId="5" borderId="39" xfId="0" applyNumberFormat="1" applyFill="1" applyBorder="1"/>
    <xf numFmtId="0" fontId="0" fillId="2" borderId="0" xfId="0" applyFill="1" applyBorder="1" applyAlignment="1">
      <alignment horizontal="center"/>
    </xf>
    <xf numFmtId="0" fontId="0" fillId="0" borderId="4" xfId="0" applyFill="1" applyBorder="1"/>
    <xf numFmtId="0" fontId="0" fillId="0" borderId="6" xfId="0" applyFill="1" applyBorder="1"/>
    <xf numFmtId="0" fontId="0" fillId="0" borderId="7" xfId="0" applyFill="1" applyBorder="1"/>
    <xf numFmtId="0" fontId="0" fillId="2" borderId="17" xfId="0" applyFill="1" applyBorder="1"/>
    <xf numFmtId="0" fontId="0" fillId="2" borderId="6" xfId="0" applyFill="1" applyBorder="1"/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6" xfId="0" applyFill="1" applyBorder="1" applyAlignment="1">
      <alignment horizontal="center" shrinkToFit="1"/>
    </xf>
    <xf numFmtId="0" fontId="0" fillId="0" borderId="0" xfId="0" applyFill="1" applyBorder="1" applyAlignment="1">
      <alignment horizontal="center" shrinkToFit="1"/>
    </xf>
    <xf numFmtId="0" fontId="0" fillId="0" borderId="7" xfId="0" applyFill="1" applyBorder="1" applyAlignment="1">
      <alignment horizontal="center" shrinkToFit="1"/>
    </xf>
    <xf numFmtId="0" fontId="0" fillId="0" borderId="17" xfId="0" applyFill="1" applyBorder="1" applyAlignment="1">
      <alignment horizontal="center" shrinkToFit="1"/>
    </xf>
    <xf numFmtId="0" fontId="0" fillId="0" borderId="18" xfId="0" applyFill="1" applyBorder="1" applyAlignment="1">
      <alignment horizontal="center" shrinkToFit="1"/>
    </xf>
    <xf numFmtId="16" fontId="0" fillId="2" borderId="0" xfId="0" applyNumberFormat="1" applyFill="1" applyAlignment="1">
      <alignment textRotation="90"/>
    </xf>
    <xf numFmtId="0" fontId="0" fillId="0" borderId="19" xfId="0" applyFill="1" applyBorder="1" applyAlignment="1">
      <alignment horizontal="center" shrinkToFit="1"/>
    </xf>
    <xf numFmtId="0" fontId="0" fillId="0" borderId="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10" xfId="0" applyFill="1" applyBorder="1" applyAlignment="1">
      <alignment horizontal="center" shrinkToFit="1"/>
    </xf>
    <xf numFmtId="0" fontId="0" fillId="0" borderId="11" xfId="0" applyFill="1" applyBorder="1" applyAlignment="1">
      <alignment horizontal="center" shrinkToFit="1"/>
    </xf>
    <xf numFmtId="0" fontId="0" fillId="0" borderId="12" xfId="0" applyFill="1" applyBorder="1" applyAlignment="1">
      <alignment horizontal="center" shrinkToFit="1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3" fillId="0" borderId="0" xfId="0" applyFont="1" applyFill="1" applyBorder="1" applyAlignment="1">
      <alignment horizontal="center" textRotation="90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8" fillId="0" borderId="0" xfId="0" applyFont="1" applyFill="1"/>
    <xf numFmtId="0" fontId="8" fillId="0" borderId="6" xfId="0" applyFont="1" applyFill="1" applyBorder="1"/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textRotation="90"/>
    </xf>
    <xf numFmtId="0" fontId="8" fillId="0" borderId="40" xfId="0" applyFont="1" applyFill="1" applyBorder="1" applyAlignment="1">
      <alignment horizontal="center" vertical="center" wrapText="1"/>
    </xf>
    <xf numFmtId="16" fontId="0" fillId="0" borderId="6" xfId="0" applyNumberFormat="1" applyBorder="1" applyAlignment="1">
      <alignment textRotation="90"/>
    </xf>
    <xf numFmtId="16" fontId="0" fillId="0" borderId="7" xfId="0" applyNumberFormat="1" applyBorder="1" applyAlignment="1">
      <alignment textRotation="90"/>
    </xf>
    <xf numFmtId="0" fontId="0" fillId="0" borderId="3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41" xfId="0" applyNumberFormat="1" applyFill="1" applyBorder="1" applyAlignment="1">
      <alignment horizontal="center"/>
    </xf>
    <xf numFmtId="0" fontId="0" fillId="3" borderId="42" xfId="0" applyNumberFormat="1" applyFill="1" applyBorder="1" applyAlignment="1">
      <alignment horizontal="center"/>
    </xf>
    <xf numFmtId="0" fontId="0" fillId="3" borderId="43" xfId="0" applyNumberFormat="1" applyFill="1" applyBorder="1" applyAlignment="1">
      <alignment horizontal="center"/>
    </xf>
    <xf numFmtId="20" fontId="0" fillId="3" borderId="0" xfId="0" applyNumberFormat="1" applyFill="1" applyBorder="1"/>
    <xf numFmtId="0" fontId="0" fillId="3" borderId="0" xfId="0" applyFill="1" applyBorder="1" applyAlignment="1">
      <alignment horizontal="right"/>
    </xf>
    <xf numFmtId="0" fontId="0" fillId="3" borderId="30" xfId="0" applyFill="1" applyBorder="1" applyAlignment="1">
      <alignment horizontal="right"/>
    </xf>
    <xf numFmtId="0" fontId="0" fillId="3" borderId="31" xfId="0" applyFill="1" applyBorder="1" applyAlignment="1">
      <alignment horizontal="right"/>
    </xf>
    <xf numFmtId="0" fontId="0" fillId="3" borderId="33" xfId="0" applyFill="1" applyBorder="1" applyAlignment="1">
      <alignment horizontal="right"/>
    </xf>
    <xf numFmtId="0" fontId="0" fillId="6" borderId="21" xfId="0" applyFill="1" applyBorder="1" applyAlignment="1">
      <alignment horizontal="center" textRotation="90"/>
    </xf>
    <xf numFmtId="0" fontId="0" fillId="6" borderId="44" xfId="0" applyFill="1" applyBorder="1" applyAlignment="1">
      <alignment horizontal="center" textRotation="90"/>
    </xf>
    <xf numFmtId="1" fontId="0" fillId="6" borderId="45" xfId="0" applyNumberFormat="1" applyFill="1" applyBorder="1" applyAlignment="1">
      <alignment horizontal="center"/>
    </xf>
    <xf numFmtId="1" fontId="0" fillId="6" borderId="46" xfId="0" applyNumberFormat="1" applyFill="1" applyBorder="1" applyAlignment="1">
      <alignment horizontal="center"/>
    </xf>
    <xf numFmtId="1" fontId="0" fillId="6" borderId="32" xfId="0" applyNumberFormat="1" applyFill="1" applyBorder="1" applyAlignment="1">
      <alignment horizontal="center"/>
    </xf>
    <xf numFmtId="1" fontId="0" fillId="6" borderId="16" xfId="0" applyNumberFormat="1" applyFill="1" applyBorder="1" applyAlignment="1">
      <alignment horizontal="center"/>
    </xf>
    <xf numFmtId="0" fontId="0" fillId="0" borderId="0" xfId="0" applyBorder="1" applyAlignment="1">
      <alignment horizontal="center" textRotation="90"/>
    </xf>
    <xf numFmtId="1" fontId="0" fillId="6" borderId="35" xfId="0" applyNumberFormat="1" applyFill="1" applyBorder="1" applyAlignment="1">
      <alignment horizontal="center"/>
    </xf>
    <xf numFmtId="1" fontId="0" fillId="6" borderId="47" xfId="0" applyNumberFormat="1" applyFill="1" applyBorder="1" applyAlignment="1">
      <alignment horizontal="center"/>
    </xf>
    <xf numFmtId="1" fontId="0" fillId="6" borderId="9" xfId="0" applyNumberFormat="1" applyFill="1" applyBorder="1" applyAlignment="1">
      <alignment horizontal="center"/>
    </xf>
    <xf numFmtId="0" fontId="0" fillId="6" borderId="23" xfId="0" applyFill="1" applyBorder="1" applyAlignment="1">
      <alignment horizontal="center" textRotation="90"/>
    </xf>
    <xf numFmtId="1" fontId="0" fillId="6" borderId="48" xfId="0" applyNumberFormat="1" applyFill="1" applyBorder="1" applyAlignment="1">
      <alignment horizontal="center"/>
    </xf>
    <xf numFmtId="172" fontId="0" fillId="0" borderId="0" xfId="0" applyNumberFormat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3" xfId="0" applyBorder="1" applyAlignment="1">
      <alignment vertical="center"/>
    </xf>
    <xf numFmtId="0" fontId="3" fillId="3" borderId="50" xfId="0" applyFont="1" applyFill="1" applyBorder="1" applyAlignment="1">
      <alignment horizontal="center"/>
    </xf>
    <xf numFmtId="0" fontId="3" fillId="3" borderId="51" xfId="0" applyFont="1" applyFill="1" applyBorder="1" applyAlignment="1">
      <alignment horizontal="center"/>
    </xf>
    <xf numFmtId="0" fontId="0" fillId="3" borderId="5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9" xfId="0" applyFill="1" applyBorder="1"/>
    <xf numFmtId="20" fontId="0" fillId="3" borderId="9" xfId="0" applyNumberFormat="1" applyFill="1" applyBorder="1"/>
    <xf numFmtId="0" fontId="0" fillId="3" borderId="9" xfId="0" applyFill="1" applyBorder="1" applyAlignment="1">
      <alignment horizontal="center"/>
    </xf>
    <xf numFmtId="9" fontId="0" fillId="6" borderId="13" xfId="0" applyNumberFormat="1" applyFill="1" applyBorder="1" applyAlignment="1">
      <alignment horizontal="center"/>
    </xf>
    <xf numFmtId="172" fontId="0" fillId="6" borderId="29" xfId="0" applyNumberFormat="1" applyFill="1" applyBorder="1" applyAlignment="1">
      <alignment horizontal="center"/>
    </xf>
    <xf numFmtId="172" fontId="0" fillId="6" borderId="53" xfId="0" applyNumberFormat="1" applyFill="1" applyBorder="1" applyAlignment="1">
      <alignment horizontal="center"/>
    </xf>
    <xf numFmtId="172" fontId="0" fillId="6" borderId="39" xfId="0" applyNumberFormat="1" applyFill="1" applyBorder="1" applyAlignment="1">
      <alignment horizontal="center"/>
    </xf>
    <xf numFmtId="0" fontId="0" fillId="5" borderId="31" xfId="0" applyFill="1" applyBorder="1"/>
    <xf numFmtId="0" fontId="0" fillId="5" borderId="32" xfId="0" applyFill="1" applyBorder="1" applyAlignment="1">
      <alignment horizontal="center"/>
    </xf>
    <xf numFmtId="0" fontId="0" fillId="5" borderId="33" xfId="0" applyFill="1" applyBorder="1"/>
    <xf numFmtId="0" fontId="0" fillId="5" borderId="16" xfId="0" applyFill="1" applyBorder="1" applyAlignment="1">
      <alignment horizontal="center"/>
    </xf>
    <xf numFmtId="0" fontId="0" fillId="5" borderId="52" xfId="0" applyFill="1" applyBorder="1"/>
    <xf numFmtId="0" fontId="0" fillId="5" borderId="46" xfId="0" applyFill="1" applyBorder="1" applyAlignment="1">
      <alignment horizontal="center"/>
    </xf>
    <xf numFmtId="0" fontId="0" fillId="5" borderId="54" xfId="0" applyFill="1" applyBorder="1"/>
    <xf numFmtId="0" fontId="0" fillId="5" borderId="45" xfId="0" applyFill="1" applyBorder="1" applyAlignment="1">
      <alignment horizontal="center"/>
    </xf>
    <xf numFmtId="0" fontId="0" fillId="0" borderId="10" xfId="0" applyBorder="1" applyAlignment="1">
      <alignment textRotation="90"/>
    </xf>
    <xf numFmtId="14" fontId="0" fillId="0" borderId="11" xfId="0" applyNumberFormat="1" applyBorder="1" applyAlignment="1">
      <alignment textRotation="90"/>
    </xf>
    <xf numFmtId="0" fontId="0" fillId="0" borderId="11" xfId="0" applyBorder="1" applyAlignment="1">
      <alignment textRotation="90"/>
    </xf>
    <xf numFmtId="0" fontId="0" fillId="0" borderId="12" xfId="0" applyBorder="1" applyAlignment="1">
      <alignment textRotation="90"/>
    </xf>
    <xf numFmtId="0" fontId="0" fillId="0" borderId="8" xfId="0" applyFill="1" applyBorder="1"/>
    <xf numFmtId="0" fontId="0" fillId="5" borderId="55" xfId="0" applyFill="1" applyBorder="1" applyAlignment="1">
      <alignment horizontal="center"/>
    </xf>
    <xf numFmtId="0" fontId="0" fillId="5" borderId="43" xfId="0" applyFill="1" applyBorder="1" applyAlignment="1">
      <alignment horizontal="center"/>
    </xf>
    <xf numFmtId="0" fontId="0" fillId="0" borderId="56" xfId="0" applyBorder="1"/>
    <xf numFmtId="0" fontId="3" fillId="5" borderId="54" xfId="0" applyFont="1" applyFill="1" applyBorder="1" applyAlignment="1">
      <alignment horizontal="center"/>
    </xf>
    <xf numFmtId="0" fontId="3" fillId="5" borderId="45" xfId="0" applyFont="1" applyFill="1" applyBorder="1" applyAlignment="1">
      <alignment horizontal="center" shrinkToFit="1"/>
    </xf>
    <xf numFmtId="0" fontId="0" fillId="2" borderId="55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8" fillId="5" borderId="55" xfId="0" applyFont="1" applyFill="1" applyBorder="1" applyAlignment="1">
      <alignment horizontal="center" vertical="center" wrapText="1"/>
    </xf>
    <xf numFmtId="0" fontId="8" fillId="5" borderId="42" xfId="0" applyFont="1" applyFill="1" applyBorder="1" applyAlignment="1">
      <alignment horizontal="center" vertical="center" wrapText="1"/>
    </xf>
    <xf numFmtId="0" fontId="8" fillId="5" borderId="57" xfId="0" applyFont="1" applyFill="1" applyBorder="1" applyAlignment="1">
      <alignment horizontal="center" vertical="center" wrapText="1"/>
    </xf>
    <xf numFmtId="0" fontId="8" fillId="5" borderId="58" xfId="0" applyFont="1" applyFill="1" applyBorder="1" applyAlignment="1">
      <alignment horizontal="center" vertical="center" wrapText="1"/>
    </xf>
    <xf numFmtId="0" fontId="8" fillId="5" borderId="40" xfId="0" applyFont="1" applyFill="1" applyBorder="1" applyAlignment="1">
      <alignment horizontal="center" vertical="center" wrapText="1"/>
    </xf>
    <xf numFmtId="0" fontId="8" fillId="5" borderId="41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/>
    <xf numFmtId="0" fontId="8" fillId="8" borderId="4" xfId="0" applyFont="1" applyFill="1" applyBorder="1" applyAlignment="1"/>
    <xf numFmtId="0" fontId="8" fillId="8" borderId="4" xfId="0" applyFont="1" applyFill="1" applyBorder="1" applyAlignment="1">
      <alignment horizontal="center"/>
    </xf>
    <xf numFmtId="0" fontId="8" fillId="8" borderId="8" xfId="0" applyFont="1" applyFill="1" applyBorder="1"/>
    <xf numFmtId="0" fontId="8" fillId="8" borderId="58" xfId="0" applyFont="1" applyFill="1" applyBorder="1" applyAlignment="1">
      <alignment horizontal="center" vertical="center" textRotation="90"/>
    </xf>
    <xf numFmtId="0" fontId="8" fillId="8" borderId="59" xfId="0" applyFont="1" applyFill="1" applyBorder="1" applyAlignment="1">
      <alignment horizontal="center" vertical="center" textRotation="90"/>
    </xf>
    <xf numFmtId="0" fontId="8" fillId="8" borderId="60" xfId="0" applyFont="1" applyFill="1" applyBorder="1" applyAlignment="1">
      <alignment horizontal="center" vertical="center" textRotation="90"/>
    </xf>
    <xf numFmtId="0" fontId="8" fillId="8" borderId="3" xfId="0" applyFont="1" applyFill="1" applyBorder="1"/>
    <xf numFmtId="0" fontId="0" fillId="2" borderId="42" xfId="0" applyFill="1" applyBorder="1" applyAlignment="1">
      <alignment horizontal="center"/>
    </xf>
    <xf numFmtId="0" fontId="0" fillId="3" borderId="61" xfId="0" applyFill="1" applyBorder="1" applyAlignment="1">
      <alignment horizontal="center" textRotation="90"/>
    </xf>
    <xf numFmtId="1" fontId="0" fillId="3" borderId="45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" fontId="0" fillId="3" borderId="32" xfId="0" applyNumberFormat="1" applyFill="1" applyBorder="1" applyAlignment="1">
      <alignment horizontal="center"/>
    </xf>
    <xf numFmtId="1" fontId="0" fillId="3" borderId="16" xfId="0" applyNumberFormat="1" applyFill="1" applyBorder="1" applyAlignment="1">
      <alignment horizontal="center"/>
    </xf>
    <xf numFmtId="0" fontId="0" fillId="3" borderId="4" xfId="0" applyFill="1" applyBorder="1" applyAlignment="1"/>
    <xf numFmtId="0" fontId="0" fillId="3" borderId="8" xfId="0" applyFill="1" applyBorder="1" applyAlignment="1"/>
    <xf numFmtId="0" fontId="0" fillId="3" borderId="3" xfId="0" applyFill="1" applyBorder="1" applyAlignment="1"/>
    <xf numFmtId="0" fontId="3" fillId="3" borderId="4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textRotation="90"/>
    </xf>
    <xf numFmtId="0" fontId="3" fillId="3" borderId="4" xfId="0" applyFont="1" applyFill="1" applyBorder="1" applyAlignment="1">
      <alignment horizontal="center" textRotation="90"/>
    </xf>
    <xf numFmtId="0" fontId="3" fillId="3" borderId="8" xfId="0" applyFont="1" applyFill="1" applyBorder="1" applyAlignment="1">
      <alignment horizontal="center" textRotation="90"/>
    </xf>
    <xf numFmtId="0" fontId="0" fillId="2" borderId="0" xfId="0" applyFill="1" applyBorder="1" applyAlignment="1"/>
    <xf numFmtId="0" fontId="3" fillId="2" borderId="0" xfId="0" applyFont="1" applyFill="1" applyBorder="1" applyAlignment="1">
      <alignment horizontal="right"/>
    </xf>
    <xf numFmtId="0" fontId="3" fillId="2" borderId="28" xfId="0" applyFont="1" applyFill="1" applyBorder="1" applyAlignment="1">
      <alignment horizontal="center"/>
    </xf>
    <xf numFmtId="0" fontId="3" fillId="2" borderId="63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9" fillId="3" borderId="17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3" borderId="34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8" fillId="3" borderId="35" xfId="1" applyNumberFormat="1" applyFont="1" applyFill="1" applyBorder="1" applyAlignment="1" applyProtection="1">
      <alignment horizontal="left"/>
    </xf>
    <xf numFmtId="0" fontId="8" fillId="3" borderId="35" xfId="0" applyNumberFormat="1" applyFont="1" applyFill="1" applyBorder="1" applyAlignment="1">
      <alignment horizontal="left"/>
    </xf>
    <xf numFmtId="0" fontId="8" fillId="3" borderId="32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173" fontId="0" fillId="0" borderId="0" xfId="0" applyNumberFormat="1" applyAlignment="1">
      <alignment horizontal="center"/>
    </xf>
    <xf numFmtId="0" fontId="0" fillId="6" borderId="11" xfId="0" applyFill="1" applyBorder="1" applyAlignment="1">
      <alignment horizontal="center"/>
    </xf>
    <xf numFmtId="0" fontId="9" fillId="6" borderId="17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16" fontId="7" fillId="5" borderId="0" xfId="0" applyNumberFormat="1" applyFont="1" applyFill="1" applyBorder="1" applyAlignment="1">
      <alignment horizontal="center" vertical="center" wrapText="1"/>
    </xf>
    <xf numFmtId="173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3" fillId="2" borderId="0" xfId="0" applyFont="1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8" fillId="3" borderId="0" xfId="1" applyFont="1" applyFill="1" applyBorder="1" applyAlignment="1" applyProtection="1">
      <alignment horizontal="left"/>
    </xf>
    <xf numFmtId="0" fontId="8" fillId="3" borderId="0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44" xfId="0" applyFill="1" applyBorder="1" applyAlignment="1">
      <alignment horizontal="center" vertical="center" textRotation="90"/>
    </xf>
    <xf numFmtId="0" fontId="0" fillId="2" borderId="64" xfId="0" applyFill="1" applyBorder="1" applyAlignment="1">
      <alignment horizontal="center" vertical="center" textRotation="90"/>
    </xf>
    <xf numFmtId="0" fontId="3" fillId="0" borderId="0" xfId="0" applyFont="1" applyAlignment="1">
      <alignment horizontal="center"/>
    </xf>
    <xf numFmtId="0" fontId="3" fillId="3" borderId="51" xfId="0" applyFont="1" applyFill="1" applyBorder="1" applyAlignment="1">
      <alignment horizontal="center"/>
    </xf>
    <xf numFmtId="0" fontId="3" fillId="3" borderId="62" xfId="0" applyFont="1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8" borderId="8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393700</xdr:colOff>
      <xdr:row>5</xdr:row>
      <xdr:rowOff>38100</xdr:rowOff>
    </xdr:from>
    <xdr:to>
      <xdr:col>22</xdr:col>
      <xdr:colOff>393700</xdr:colOff>
      <xdr:row>8</xdr:row>
      <xdr:rowOff>139700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1FEA2372-A0F5-44DC-8F0F-EC8E1FABFE0B}"/>
            </a:ext>
          </a:extLst>
        </xdr:cNvPr>
        <xdr:cNvSpPr>
          <a:spLocks noChangeShapeType="1"/>
        </xdr:cNvSpPr>
      </xdr:nvSpPr>
      <xdr:spPr bwMode="auto">
        <a:xfrm>
          <a:off x="13671550" y="1593850"/>
          <a:ext cx="0" cy="863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914400</xdr:colOff>
      <xdr:row>2</xdr:row>
      <xdr:rowOff>139700</xdr:rowOff>
    </xdr:from>
    <xdr:to>
      <xdr:col>6</xdr:col>
      <xdr:colOff>228600</xdr:colOff>
      <xdr:row>2</xdr:row>
      <xdr:rowOff>368300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8B248731-00F8-4451-8C54-170C5B8D89AC}"/>
            </a:ext>
          </a:extLst>
        </xdr:cNvPr>
        <xdr:cNvSpPr>
          <a:spLocks noChangeShapeType="1"/>
        </xdr:cNvSpPr>
      </xdr:nvSpPr>
      <xdr:spPr bwMode="auto">
        <a:xfrm flipV="1">
          <a:off x="5302250" y="463550"/>
          <a:ext cx="349250" cy="228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425450</xdr:colOff>
      <xdr:row>2</xdr:row>
      <xdr:rowOff>44450</xdr:rowOff>
    </xdr:from>
    <xdr:to>
      <xdr:col>5</xdr:col>
      <xdr:colOff>552450</xdr:colOff>
      <xdr:row>2</xdr:row>
      <xdr:rowOff>304800</xdr:rowOff>
    </xdr:to>
    <xdr:sp macro="" textlink="">
      <xdr:nvSpPr>
        <xdr:cNvPr id="2051" name="Line 3">
          <a:extLst>
            <a:ext uri="{FF2B5EF4-FFF2-40B4-BE49-F238E27FC236}">
              <a16:creationId xmlns:a16="http://schemas.microsoft.com/office/drawing/2014/main" id="{E53AFA9A-D65D-4B32-A82D-0304D95CEE22}"/>
            </a:ext>
          </a:extLst>
        </xdr:cNvPr>
        <xdr:cNvSpPr>
          <a:spLocks noChangeShapeType="1"/>
        </xdr:cNvSpPr>
      </xdr:nvSpPr>
      <xdr:spPr bwMode="auto">
        <a:xfrm flipV="1">
          <a:off x="4813300" y="368300"/>
          <a:ext cx="127000" cy="260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590550</xdr:colOff>
      <xdr:row>2</xdr:row>
      <xdr:rowOff>44450</xdr:rowOff>
    </xdr:from>
    <xdr:to>
      <xdr:col>4</xdr:col>
      <xdr:colOff>590550</xdr:colOff>
      <xdr:row>2</xdr:row>
      <xdr:rowOff>304800</xdr:rowOff>
    </xdr:to>
    <xdr:sp macro="" textlink="">
      <xdr:nvSpPr>
        <xdr:cNvPr id="2052" name="Line 4">
          <a:extLst>
            <a:ext uri="{FF2B5EF4-FFF2-40B4-BE49-F238E27FC236}">
              <a16:creationId xmlns:a16="http://schemas.microsoft.com/office/drawing/2014/main" id="{62FF0393-3A98-421F-A7CC-4551DFBCD701}"/>
            </a:ext>
          </a:extLst>
        </xdr:cNvPr>
        <xdr:cNvSpPr>
          <a:spLocks noChangeShapeType="1"/>
        </xdr:cNvSpPr>
      </xdr:nvSpPr>
      <xdr:spPr bwMode="auto">
        <a:xfrm flipV="1">
          <a:off x="3962400" y="368300"/>
          <a:ext cx="0" cy="260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476250</xdr:colOff>
      <xdr:row>2</xdr:row>
      <xdr:rowOff>69850</xdr:rowOff>
    </xdr:from>
    <xdr:to>
      <xdr:col>3</xdr:col>
      <xdr:colOff>717550</xdr:colOff>
      <xdr:row>2</xdr:row>
      <xdr:rowOff>260350</xdr:rowOff>
    </xdr:to>
    <xdr:sp macro="" textlink="">
      <xdr:nvSpPr>
        <xdr:cNvPr id="2053" name="Line 5">
          <a:extLst>
            <a:ext uri="{FF2B5EF4-FFF2-40B4-BE49-F238E27FC236}">
              <a16:creationId xmlns:a16="http://schemas.microsoft.com/office/drawing/2014/main" id="{17494AAC-A531-4C1E-87D8-1E7004AF43F8}"/>
            </a:ext>
          </a:extLst>
        </xdr:cNvPr>
        <xdr:cNvSpPr>
          <a:spLocks noChangeShapeType="1"/>
        </xdr:cNvSpPr>
      </xdr:nvSpPr>
      <xdr:spPr bwMode="auto">
        <a:xfrm flipH="1" flipV="1">
          <a:off x="3098800" y="393700"/>
          <a:ext cx="241300" cy="190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596900</xdr:colOff>
      <xdr:row>2</xdr:row>
      <xdr:rowOff>76200</xdr:rowOff>
    </xdr:from>
    <xdr:to>
      <xdr:col>3</xdr:col>
      <xdr:colOff>590550</xdr:colOff>
      <xdr:row>2</xdr:row>
      <xdr:rowOff>450850</xdr:rowOff>
    </xdr:to>
    <xdr:sp macro="" textlink="">
      <xdr:nvSpPr>
        <xdr:cNvPr id="2054" name="Line 6">
          <a:extLst>
            <a:ext uri="{FF2B5EF4-FFF2-40B4-BE49-F238E27FC236}">
              <a16:creationId xmlns:a16="http://schemas.microsoft.com/office/drawing/2014/main" id="{BE86C532-5CDE-4B6C-B065-C6DE64972A59}"/>
            </a:ext>
          </a:extLst>
        </xdr:cNvPr>
        <xdr:cNvSpPr>
          <a:spLocks noChangeShapeType="1"/>
        </xdr:cNvSpPr>
      </xdr:nvSpPr>
      <xdr:spPr bwMode="auto">
        <a:xfrm flipH="1" flipV="1">
          <a:off x="2470150" y="400050"/>
          <a:ext cx="742950" cy="374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679450</xdr:colOff>
      <xdr:row>2</xdr:row>
      <xdr:rowOff>603250</xdr:rowOff>
    </xdr:from>
    <xdr:to>
      <xdr:col>1</xdr:col>
      <xdr:colOff>679450</xdr:colOff>
      <xdr:row>3</xdr:row>
      <xdr:rowOff>120650</xdr:rowOff>
    </xdr:to>
    <xdr:sp macro="" textlink="">
      <xdr:nvSpPr>
        <xdr:cNvPr id="2055" name="Line 7">
          <a:extLst>
            <a:ext uri="{FF2B5EF4-FFF2-40B4-BE49-F238E27FC236}">
              <a16:creationId xmlns:a16="http://schemas.microsoft.com/office/drawing/2014/main" id="{2E5AB07E-8B24-449C-B24B-48869A5B3FDD}"/>
            </a:ext>
          </a:extLst>
        </xdr:cNvPr>
        <xdr:cNvSpPr>
          <a:spLocks noChangeShapeType="1"/>
        </xdr:cNvSpPr>
      </xdr:nvSpPr>
      <xdr:spPr bwMode="auto">
        <a:xfrm>
          <a:off x="977900" y="927100"/>
          <a:ext cx="0" cy="419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641350</xdr:colOff>
      <xdr:row>8</xdr:row>
      <xdr:rowOff>234950</xdr:rowOff>
    </xdr:from>
    <xdr:to>
      <xdr:col>6</xdr:col>
      <xdr:colOff>190500</xdr:colOff>
      <xdr:row>18</xdr:row>
      <xdr:rowOff>152400</xdr:rowOff>
    </xdr:to>
    <xdr:sp macro="" textlink="">
      <xdr:nvSpPr>
        <xdr:cNvPr id="2056" name="AutoShape 8">
          <a:extLst>
            <a:ext uri="{FF2B5EF4-FFF2-40B4-BE49-F238E27FC236}">
              <a16:creationId xmlns:a16="http://schemas.microsoft.com/office/drawing/2014/main" id="{F3F2E2E9-8398-4CDA-ACA5-3086F769DC75}"/>
            </a:ext>
          </a:extLst>
        </xdr:cNvPr>
        <xdr:cNvSpPr>
          <a:spLocks noChangeArrowheads="1"/>
        </xdr:cNvSpPr>
      </xdr:nvSpPr>
      <xdr:spPr bwMode="auto">
        <a:xfrm>
          <a:off x="2514600" y="2552700"/>
          <a:ext cx="3098800" cy="2457450"/>
        </a:xfrm>
        <a:prstGeom prst="foldedCorner">
          <a:avLst>
            <a:gd name="adj" fmla="val 10301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45720" rIns="54864" bIns="0" anchor="t" upright="1"/>
        <a:lstStyle/>
        <a:p>
          <a:pPr algn="ctr" rtl="0">
            <a:defRPr sz="1000"/>
          </a:pPr>
          <a:r>
            <a:rPr lang="en-GB" sz="1800" b="0" i="0" u="none" strike="noStrike" baseline="0">
              <a:solidFill>
                <a:srgbClr val="000000"/>
              </a:solidFill>
              <a:latin typeface="Arial"/>
              <a:cs typeface="Arial"/>
            </a:rPr>
            <a:t>Most Information is entered on this page, and it is automatically transferred to the other pages.  If you are going to make a change, you probably need to make it on this page.</a:t>
          </a:r>
        </a:p>
        <a:p>
          <a:pPr algn="ctr" rtl="0">
            <a:defRPr sz="1000"/>
          </a:pPr>
          <a:endParaRPr lang="en-GB" sz="18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27</xdr:col>
      <xdr:colOff>247650</xdr:colOff>
      <xdr:row>20</xdr:row>
      <xdr:rowOff>101600</xdr:rowOff>
    </xdr:from>
    <xdr:to>
      <xdr:col>27</xdr:col>
      <xdr:colOff>247650</xdr:colOff>
      <xdr:row>23</xdr:row>
      <xdr:rowOff>114300</xdr:rowOff>
    </xdr:to>
    <xdr:sp macro="" textlink="">
      <xdr:nvSpPr>
        <xdr:cNvPr id="2057" name="Line 9">
          <a:extLst>
            <a:ext uri="{FF2B5EF4-FFF2-40B4-BE49-F238E27FC236}">
              <a16:creationId xmlns:a16="http://schemas.microsoft.com/office/drawing/2014/main" id="{E6284A24-4A84-4544-8679-680EF6C160F8}"/>
            </a:ext>
          </a:extLst>
        </xdr:cNvPr>
        <xdr:cNvSpPr>
          <a:spLocks noChangeShapeType="1"/>
        </xdr:cNvSpPr>
      </xdr:nvSpPr>
      <xdr:spPr bwMode="auto">
        <a:xfrm>
          <a:off x="16427450" y="5467350"/>
          <a:ext cx="0" cy="774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127000</xdr:colOff>
      <xdr:row>48</xdr:row>
      <xdr:rowOff>25400</xdr:rowOff>
    </xdr:from>
    <xdr:to>
      <xdr:col>12</xdr:col>
      <xdr:colOff>520700</xdr:colOff>
      <xdr:row>48</xdr:row>
      <xdr:rowOff>95250</xdr:rowOff>
    </xdr:to>
    <xdr:cxnSp macro="">
      <xdr:nvCxnSpPr>
        <xdr:cNvPr id="1037" name="AutoShape 13">
          <a:extLst>
            <a:ext uri="{FF2B5EF4-FFF2-40B4-BE49-F238E27FC236}">
              <a16:creationId xmlns:a16="http://schemas.microsoft.com/office/drawing/2014/main" id="{1726B323-B953-4A99-8C94-9B262436F74D}"/>
            </a:ext>
          </a:extLst>
        </xdr:cNvPr>
        <xdr:cNvCxnSpPr>
          <a:cxnSpLocks noChangeShapeType="1"/>
        </xdr:cNvCxnSpPr>
      </xdr:nvCxnSpPr>
      <xdr:spPr bwMode="auto">
        <a:xfrm flipH="1" flipV="1">
          <a:off x="6578600" y="3219450"/>
          <a:ext cx="1612900" cy="698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152400</xdr:colOff>
      <xdr:row>51</xdr:row>
      <xdr:rowOff>107950</xdr:rowOff>
    </xdr:from>
    <xdr:to>
      <xdr:col>14</xdr:col>
      <xdr:colOff>381000</xdr:colOff>
      <xdr:row>54</xdr:row>
      <xdr:rowOff>12700</xdr:rowOff>
    </xdr:to>
    <xdr:cxnSp macro="">
      <xdr:nvCxnSpPr>
        <xdr:cNvPr id="1038" name="AutoShape 14">
          <a:extLst>
            <a:ext uri="{FF2B5EF4-FFF2-40B4-BE49-F238E27FC236}">
              <a16:creationId xmlns:a16="http://schemas.microsoft.com/office/drawing/2014/main" id="{4E7C9118-234F-4892-A0E6-29E60CD512C2}"/>
            </a:ext>
          </a:extLst>
        </xdr:cNvPr>
        <xdr:cNvCxnSpPr>
          <a:cxnSpLocks noChangeShapeType="1"/>
        </xdr:cNvCxnSpPr>
      </xdr:nvCxnSpPr>
      <xdr:spPr bwMode="auto">
        <a:xfrm rot="5400000">
          <a:off x="7737475" y="2644775"/>
          <a:ext cx="400050" cy="2667000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387350</xdr:colOff>
      <xdr:row>24</xdr:row>
      <xdr:rowOff>120650</xdr:rowOff>
    </xdr:from>
    <xdr:to>
      <xdr:col>16</xdr:col>
      <xdr:colOff>31750</xdr:colOff>
      <xdr:row>33</xdr:row>
      <xdr:rowOff>76200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A537B595-759A-4B89-A1D6-481316F6EE98}"/>
            </a:ext>
          </a:extLst>
        </xdr:cNvPr>
        <xdr:cNvSpPr>
          <a:spLocks noChangeArrowheads="1"/>
        </xdr:cNvSpPr>
      </xdr:nvSpPr>
      <xdr:spPr bwMode="auto">
        <a:xfrm>
          <a:off x="7448550" y="1905000"/>
          <a:ext cx="2692400" cy="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64008" tIns="82296" rIns="64008" bIns="0" anchor="t" upright="1"/>
        <a:lstStyle/>
        <a:p>
          <a:pPr algn="ctr" rtl="0">
            <a:defRPr sz="1000"/>
          </a:pPr>
          <a:r>
            <a:rPr lang="en-GB" sz="2000" b="0" i="0" u="none" strike="noStrike" baseline="0">
              <a:solidFill>
                <a:srgbClr val="000000"/>
              </a:solidFill>
              <a:latin typeface="Comic Sans MS"/>
            </a:rPr>
            <a:t>Use the pull-down arrow to select individual students.</a:t>
          </a:r>
        </a:p>
      </xdr:txBody>
    </xdr:sp>
    <xdr:clientData/>
  </xdr:twoCellAnchor>
  <xdr:twoCellAnchor>
    <xdr:from>
      <xdr:col>11</xdr:col>
      <xdr:colOff>368300</xdr:colOff>
      <xdr:row>17</xdr:row>
      <xdr:rowOff>63500</xdr:rowOff>
    </xdr:from>
    <xdr:to>
      <xdr:col>15</xdr:col>
      <xdr:colOff>596900</xdr:colOff>
      <xdr:row>23</xdr:row>
      <xdr:rowOff>6350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C44E6BBB-357A-4E6A-B75E-5F0D5F1B0C75}"/>
            </a:ext>
          </a:extLst>
        </xdr:cNvPr>
        <xdr:cNvSpPr>
          <a:spLocks noChangeArrowheads="1"/>
        </xdr:cNvSpPr>
      </xdr:nvSpPr>
      <xdr:spPr bwMode="auto">
        <a:xfrm>
          <a:off x="7429500" y="1905000"/>
          <a:ext cx="2667000" cy="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n-GB" sz="2000" b="0" i="0" u="none" strike="noStrike" baseline="0">
              <a:solidFill>
                <a:srgbClr val="000000"/>
              </a:solidFill>
              <a:latin typeface="Comic Sans MS"/>
            </a:rPr>
            <a:t>Don't mess with this information!</a:t>
          </a:r>
        </a:p>
      </xdr:txBody>
    </xdr:sp>
    <xdr:clientData/>
  </xdr:twoCellAnchor>
  <xdr:twoCellAnchor>
    <xdr:from>
      <xdr:col>16</xdr:col>
      <xdr:colOff>50800</xdr:colOff>
      <xdr:row>20</xdr:row>
      <xdr:rowOff>44450</xdr:rowOff>
    </xdr:from>
    <xdr:to>
      <xdr:col>24</xdr:col>
      <xdr:colOff>38100</xdr:colOff>
      <xdr:row>22</xdr:row>
      <xdr:rowOff>38100</xdr:rowOff>
    </xdr:to>
    <xdr:sp macro="" textlink="">
      <xdr:nvSpPr>
        <xdr:cNvPr id="1048" name="Line 24">
          <a:extLst>
            <a:ext uri="{FF2B5EF4-FFF2-40B4-BE49-F238E27FC236}">
              <a16:creationId xmlns:a16="http://schemas.microsoft.com/office/drawing/2014/main" id="{CD39A426-0645-47DE-86F4-5C9A68B1F6B1}"/>
            </a:ext>
          </a:extLst>
        </xdr:cNvPr>
        <xdr:cNvSpPr>
          <a:spLocks noChangeShapeType="1"/>
        </xdr:cNvSpPr>
      </xdr:nvSpPr>
      <xdr:spPr bwMode="auto">
        <a:xfrm>
          <a:off x="10160000" y="1905000"/>
          <a:ext cx="4724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488950</xdr:colOff>
      <xdr:row>43</xdr:row>
      <xdr:rowOff>0</xdr:rowOff>
    </xdr:from>
    <xdr:to>
      <xdr:col>16</xdr:col>
      <xdr:colOff>412750</xdr:colOff>
      <xdr:row>51</xdr:row>
      <xdr:rowOff>88900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19A0302A-B5D5-4AA7-A07B-BBDC2DFD9887}"/>
            </a:ext>
          </a:extLst>
        </xdr:cNvPr>
        <xdr:cNvSpPr>
          <a:spLocks noChangeArrowheads="1"/>
        </xdr:cNvSpPr>
      </xdr:nvSpPr>
      <xdr:spPr bwMode="auto">
        <a:xfrm>
          <a:off x="8159750" y="2381250"/>
          <a:ext cx="2362200" cy="13779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n-GB" sz="2000" b="0" i="0" u="none" strike="noStrike" baseline="0">
              <a:solidFill>
                <a:srgbClr val="000000"/>
              </a:solidFill>
              <a:latin typeface="Comic Sans MS"/>
            </a:rPr>
            <a:t>Type your comments in these cells.</a:t>
          </a:r>
        </a:p>
      </xdr:txBody>
    </xdr:sp>
    <xdr:clientData/>
  </xdr:twoCellAnchor>
  <xdr:twoCellAnchor>
    <xdr:from>
      <xdr:col>11</xdr:col>
      <xdr:colOff>311150</xdr:colOff>
      <xdr:row>68</xdr:row>
      <xdr:rowOff>69850</xdr:rowOff>
    </xdr:from>
    <xdr:to>
      <xdr:col>15</xdr:col>
      <xdr:colOff>571500</xdr:colOff>
      <xdr:row>80</xdr:row>
      <xdr:rowOff>101600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51AEFA5C-5B3B-4784-8B3C-9DF2C8D3AA6D}"/>
            </a:ext>
          </a:extLst>
        </xdr:cNvPr>
        <xdr:cNvSpPr>
          <a:spLocks noChangeArrowheads="1"/>
        </xdr:cNvSpPr>
      </xdr:nvSpPr>
      <xdr:spPr bwMode="auto">
        <a:xfrm>
          <a:off x="7372350" y="6508750"/>
          <a:ext cx="2698750" cy="201930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n-GB" sz="2000" b="0" i="0" u="none" strike="noStrike" baseline="0">
              <a:solidFill>
                <a:srgbClr val="000000"/>
              </a:solidFill>
              <a:latin typeface="Comic Sans MS"/>
            </a:rPr>
            <a:t>Don't change the grade scale  or your personal information from this page</a:t>
          </a:r>
        </a:p>
      </xdr:txBody>
    </xdr:sp>
    <xdr:clientData/>
  </xdr:twoCellAnchor>
  <xdr:twoCellAnchor>
    <xdr:from>
      <xdr:col>11</xdr:col>
      <xdr:colOff>317500</xdr:colOff>
      <xdr:row>0</xdr:row>
      <xdr:rowOff>38100</xdr:rowOff>
    </xdr:from>
    <xdr:to>
      <xdr:col>19</xdr:col>
      <xdr:colOff>38100</xdr:colOff>
      <xdr:row>3</xdr:row>
      <xdr:rowOff>723900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DBF6B811-3184-4E22-BF73-D82FFFF78FD9}"/>
            </a:ext>
          </a:extLst>
        </xdr:cNvPr>
        <xdr:cNvSpPr>
          <a:spLocks noChangeArrowheads="1"/>
        </xdr:cNvSpPr>
      </xdr:nvSpPr>
      <xdr:spPr bwMode="auto">
        <a:xfrm>
          <a:off x="7378700" y="38100"/>
          <a:ext cx="4597400" cy="123825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n-GB" sz="2000" b="0" i="0" u="none" strike="noStrike" baseline="0">
              <a:solidFill>
                <a:srgbClr val="000000"/>
              </a:solidFill>
              <a:latin typeface="Comic Sans MS"/>
            </a:rPr>
            <a:t>Any information that needs to be changed can probably be done from a different page.</a:t>
          </a:r>
        </a:p>
      </xdr:txBody>
    </xdr:sp>
    <xdr:clientData/>
  </xdr:twoCellAnchor>
  <xdr:twoCellAnchor>
    <xdr:from>
      <xdr:col>12</xdr:col>
      <xdr:colOff>241300</xdr:colOff>
      <xdr:row>56</xdr:row>
      <xdr:rowOff>69850</xdr:rowOff>
    </xdr:from>
    <xdr:to>
      <xdr:col>16</xdr:col>
      <xdr:colOff>387350</xdr:colOff>
      <xdr:row>65</xdr:row>
      <xdr:rowOff>0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1F326649-C10F-4F03-B045-DA0FCBB2B72B}"/>
            </a:ext>
          </a:extLst>
        </xdr:cNvPr>
        <xdr:cNvSpPr>
          <a:spLocks noChangeArrowheads="1"/>
        </xdr:cNvSpPr>
      </xdr:nvSpPr>
      <xdr:spPr bwMode="auto">
        <a:xfrm>
          <a:off x="7912100" y="4572000"/>
          <a:ext cx="2584450" cy="1384300"/>
        </a:xfrm>
        <a:prstGeom prst="foldedCorner">
          <a:avLst>
            <a:gd name="adj" fmla="val 1250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64008" rIns="54864" bIns="0" anchor="t" upright="1"/>
        <a:lstStyle/>
        <a:p>
          <a:pPr algn="ctr" rtl="0">
            <a:defRPr sz="1000"/>
          </a:pPr>
          <a:r>
            <a:rPr lang="en-GB" sz="2000" b="0" i="0" u="none" strike="noStrike" baseline="0">
              <a:solidFill>
                <a:srgbClr val="000000"/>
              </a:solidFill>
              <a:latin typeface="Comic Sans MS"/>
            </a:rPr>
            <a:t>Help class times need to be changed on this page.</a:t>
          </a:r>
        </a:p>
      </xdr:txBody>
    </xdr:sp>
    <xdr:clientData/>
  </xdr:twoCellAnchor>
  <xdr:twoCellAnchor>
    <xdr:from>
      <xdr:col>10</xdr:col>
      <xdr:colOff>209550</xdr:colOff>
      <xdr:row>60</xdr:row>
      <xdr:rowOff>6350</xdr:rowOff>
    </xdr:from>
    <xdr:to>
      <xdr:col>12</xdr:col>
      <xdr:colOff>241300</xdr:colOff>
      <xdr:row>61</xdr:row>
      <xdr:rowOff>6350</xdr:rowOff>
    </xdr:to>
    <xdr:sp macro="" textlink="">
      <xdr:nvSpPr>
        <xdr:cNvPr id="1053" name="Line 29">
          <a:extLst>
            <a:ext uri="{FF2B5EF4-FFF2-40B4-BE49-F238E27FC236}">
              <a16:creationId xmlns:a16="http://schemas.microsoft.com/office/drawing/2014/main" id="{F5E95F79-E617-438C-B24D-290B3EC0B4CD}"/>
            </a:ext>
          </a:extLst>
        </xdr:cNvPr>
        <xdr:cNvSpPr>
          <a:spLocks noChangeShapeType="1"/>
        </xdr:cNvSpPr>
      </xdr:nvSpPr>
      <xdr:spPr bwMode="auto">
        <a:xfrm flipH="1" flipV="1">
          <a:off x="6661150" y="5168900"/>
          <a:ext cx="1250950" cy="158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1225550</xdr:colOff>
      <xdr:row>2</xdr:row>
      <xdr:rowOff>171450</xdr:rowOff>
    </xdr:from>
    <xdr:to>
      <xdr:col>3</xdr:col>
      <xdr:colOff>381000</xdr:colOff>
      <xdr:row>2</xdr:row>
      <xdr:rowOff>361950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A382453A-D58E-44DE-BF9D-2CB1F0BD010A}"/>
            </a:ext>
          </a:extLst>
        </xdr:cNvPr>
        <xdr:cNvSpPr>
          <a:spLocks noChangeArrowheads="1"/>
        </xdr:cNvSpPr>
      </xdr:nvSpPr>
      <xdr:spPr bwMode="auto">
        <a:xfrm>
          <a:off x="1524000" y="488950"/>
          <a:ext cx="1327150" cy="190500"/>
        </a:xfrm>
        <a:prstGeom prst="rightArrowCallout">
          <a:avLst>
            <a:gd name="adj1" fmla="val 25000"/>
            <a:gd name="adj2" fmla="val 25000"/>
            <a:gd name="adj3" fmla="val 116111"/>
            <a:gd name="adj4" fmla="val 66667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Date here</a:t>
          </a:r>
        </a:p>
      </xdr:txBody>
    </xdr:sp>
    <xdr:clientData/>
  </xdr:twoCellAnchor>
  <xdr:twoCellAnchor>
    <xdr:from>
      <xdr:col>1</xdr:col>
      <xdr:colOff>1168400</xdr:colOff>
      <xdr:row>3</xdr:row>
      <xdr:rowOff>114300</xdr:rowOff>
    </xdr:from>
    <xdr:to>
      <xdr:col>3</xdr:col>
      <xdr:colOff>311150</xdr:colOff>
      <xdr:row>3</xdr:row>
      <xdr:rowOff>450850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96AA5FD7-E17F-4D3E-98B3-3A3423D5E73F}"/>
            </a:ext>
          </a:extLst>
        </xdr:cNvPr>
        <xdr:cNvSpPr>
          <a:spLocks noChangeArrowheads="1"/>
        </xdr:cNvSpPr>
      </xdr:nvSpPr>
      <xdr:spPr bwMode="auto">
        <a:xfrm>
          <a:off x="1466850" y="1041400"/>
          <a:ext cx="1314450" cy="336550"/>
        </a:xfrm>
        <a:prstGeom prst="rightArrowCallout">
          <a:avLst>
            <a:gd name="adj1" fmla="val 25000"/>
            <a:gd name="adj2" fmla="val 25000"/>
            <a:gd name="adj3" fmla="val 65094"/>
            <a:gd name="adj4" fmla="val 66667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Description here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1</xdr:row>
      <xdr:rowOff>76200</xdr:rowOff>
    </xdr:from>
    <xdr:to>
      <xdr:col>3</xdr:col>
      <xdr:colOff>419100</xdr:colOff>
      <xdr:row>2</xdr:row>
      <xdr:rowOff>260350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BB5D1532-6FD5-4E93-AC7C-13D9A028C48D}"/>
            </a:ext>
          </a:extLst>
        </xdr:cNvPr>
        <xdr:cNvSpPr>
          <a:spLocks noChangeArrowheads="1"/>
        </xdr:cNvSpPr>
      </xdr:nvSpPr>
      <xdr:spPr bwMode="auto">
        <a:xfrm>
          <a:off x="2286000" y="234950"/>
          <a:ext cx="558800" cy="342900"/>
        </a:xfrm>
        <a:prstGeom prst="rightArrowCallout">
          <a:avLst>
            <a:gd name="adj1" fmla="val 25000"/>
            <a:gd name="adj2" fmla="val 25000"/>
            <a:gd name="adj3" fmla="val 27160"/>
            <a:gd name="adj4" fmla="val 66667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here</a:t>
          </a:r>
        </a:p>
      </xdr:txBody>
    </xdr:sp>
    <xdr:clientData/>
  </xdr:twoCellAnchor>
  <xdr:twoCellAnchor>
    <xdr:from>
      <xdr:col>2</xdr:col>
      <xdr:colOff>0</xdr:colOff>
      <xdr:row>3</xdr:row>
      <xdr:rowOff>139700</xdr:rowOff>
    </xdr:from>
    <xdr:to>
      <xdr:col>4</xdr:col>
      <xdr:colOff>0</xdr:colOff>
      <xdr:row>3</xdr:row>
      <xdr:rowOff>495300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A5082539-40DC-4122-82C6-8CCFCF3D6694}"/>
            </a:ext>
          </a:extLst>
        </xdr:cNvPr>
        <xdr:cNvSpPr>
          <a:spLocks noChangeArrowheads="1"/>
        </xdr:cNvSpPr>
      </xdr:nvSpPr>
      <xdr:spPr bwMode="auto">
        <a:xfrm>
          <a:off x="1847850" y="1066800"/>
          <a:ext cx="1047750" cy="355600"/>
        </a:xfrm>
        <a:prstGeom prst="rightArrowCallout">
          <a:avLst>
            <a:gd name="adj1" fmla="val 25000"/>
            <a:gd name="adj2" fmla="val 25000"/>
            <a:gd name="adj3" fmla="val 49107"/>
            <a:gd name="adj4" fmla="val 66667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Description here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</xdr:row>
      <xdr:rowOff>12700</xdr:rowOff>
    </xdr:from>
    <xdr:to>
      <xdr:col>3</xdr:col>
      <xdr:colOff>247650</xdr:colOff>
      <xdr:row>2</xdr:row>
      <xdr:rowOff>355600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BE366F4C-A132-467C-B6C3-89235FA86A01}"/>
            </a:ext>
          </a:extLst>
        </xdr:cNvPr>
        <xdr:cNvSpPr>
          <a:spLocks noChangeArrowheads="1"/>
        </xdr:cNvSpPr>
      </xdr:nvSpPr>
      <xdr:spPr bwMode="auto">
        <a:xfrm>
          <a:off x="2311400" y="330200"/>
          <a:ext cx="558800" cy="342900"/>
        </a:xfrm>
        <a:prstGeom prst="rightArrowCallout">
          <a:avLst>
            <a:gd name="adj1" fmla="val 25000"/>
            <a:gd name="adj2" fmla="val 25000"/>
            <a:gd name="adj3" fmla="val 27160"/>
            <a:gd name="adj4" fmla="val 66667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here</a:t>
          </a:r>
        </a:p>
      </xdr:txBody>
    </xdr:sp>
    <xdr:clientData/>
  </xdr:twoCellAnchor>
  <xdr:twoCellAnchor>
    <xdr:from>
      <xdr:col>2</xdr:col>
      <xdr:colOff>0</xdr:colOff>
      <xdr:row>3</xdr:row>
      <xdr:rowOff>139700</xdr:rowOff>
    </xdr:from>
    <xdr:to>
      <xdr:col>3</xdr:col>
      <xdr:colOff>260350</xdr:colOff>
      <xdr:row>3</xdr:row>
      <xdr:rowOff>495300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E5C30FFB-51CF-4304-B89D-F3C8AC69E83A}"/>
            </a:ext>
          </a:extLst>
        </xdr:cNvPr>
        <xdr:cNvSpPr>
          <a:spLocks noChangeArrowheads="1"/>
        </xdr:cNvSpPr>
      </xdr:nvSpPr>
      <xdr:spPr bwMode="auto">
        <a:xfrm>
          <a:off x="1835150" y="1066800"/>
          <a:ext cx="1047750" cy="355600"/>
        </a:xfrm>
        <a:prstGeom prst="rightArrowCallout">
          <a:avLst>
            <a:gd name="adj1" fmla="val 25000"/>
            <a:gd name="adj2" fmla="val 25000"/>
            <a:gd name="adj3" fmla="val 49107"/>
            <a:gd name="adj4" fmla="val 66667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Description here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317500</xdr:colOff>
      <xdr:row>1</xdr:row>
      <xdr:rowOff>88900</xdr:rowOff>
    </xdr:from>
    <xdr:to>
      <xdr:col>4</xdr:col>
      <xdr:colOff>412750</xdr:colOff>
      <xdr:row>2</xdr:row>
      <xdr:rowOff>279400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0B69EADD-7B00-40C0-8FB7-D6BBEC54C8A4}"/>
            </a:ext>
          </a:extLst>
        </xdr:cNvPr>
        <xdr:cNvSpPr>
          <a:spLocks noChangeArrowheads="1"/>
        </xdr:cNvSpPr>
      </xdr:nvSpPr>
      <xdr:spPr bwMode="auto">
        <a:xfrm>
          <a:off x="2813050" y="254000"/>
          <a:ext cx="565150" cy="355600"/>
        </a:xfrm>
        <a:prstGeom prst="rightArrowCallout">
          <a:avLst>
            <a:gd name="adj1" fmla="val 25000"/>
            <a:gd name="adj2" fmla="val 25000"/>
            <a:gd name="adj3" fmla="val 26488"/>
            <a:gd name="adj4" fmla="val 66667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here</a:t>
          </a:r>
        </a:p>
      </xdr:txBody>
    </xdr:sp>
    <xdr:clientData/>
  </xdr:twoCellAnchor>
  <xdr:twoCellAnchor>
    <xdr:from>
      <xdr:col>1</xdr:col>
      <xdr:colOff>406400</xdr:colOff>
      <xdr:row>3</xdr:row>
      <xdr:rowOff>76200</xdr:rowOff>
    </xdr:from>
    <xdr:to>
      <xdr:col>4</xdr:col>
      <xdr:colOff>260350</xdr:colOff>
      <xdr:row>3</xdr:row>
      <xdr:rowOff>247650</xdr:rowOff>
    </xdr:to>
    <xdr:sp macro="" textlink="">
      <xdr:nvSpPr>
        <xdr:cNvPr id="6146" name="AutoShape 2">
          <a:extLst>
            <a:ext uri="{FF2B5EF4-FFF2-40B4-BE49-F238E27FC236}">
              <a16:creationId xmlns:a16="http://schemas.microsoft.com/office/drawing/2014/main" id="{C730FE4B-20F8-42EF-A75E-C8CF30A0C9DF}"/>
            </a:ext>
          </a:extLst>
        </xdr:cNvPr>
        <xdr:cNvSpPr>
          <a:spLocks noChangeArrowheads="1"/>
        </xdr:cNvSpPr>
      </xdr:nvSpPr>
      <xdr:spPr bwMode="auto">
        <a:xfrm>
          <a:off x="704850" y="965200"/>
          <a:ext cx="2520950" cy="171450"/>
        </a:xfrm>
        <a:prstGeom prst="rightArrowCallout">
          <a:avLst>
            <a:gd name="adj1" fmla="val 20833"/>
            <a:gd name="adj2" fmla="val 50000"/>
            <a:gd name="adj3" fmla="val 166438"/>
            <a:gd name="adj4" fmla="val 48426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Description here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704850</xdr:colOff>
      <xdr:row>1</xdr:row>
      <xdr:rowOff>101600</xdr:rowOff>
    </xdr:from>
    <xdr:to>
      <xdr:col>4</xdr:col>
      <xdr:colOff>12700</xdr:colOff>
      <xdr:row>2</xdr:row>
      <xdr:rowOff>285750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25C2F80C-531C-4A6D-890B-AB068CBCA8EC}"/>
            </a:ext>
          </a:extLst>
        </xdr:cNvPr>
        <xdr:cNvSpPr>
          <a:spLocks noChangeArrowheads="1"/>
        </xdr:cNvSpPr>
      </xdr:nvSpPr>
      <xdr:spPr bwMode="auto">
        <a:xfrm>
          <a:off x="2527300" y="260350"/>
          <a:ext cx="565150" cy="342900"/>
        </a:xfrm>
        <a:prstGeom prst="rightArrowCallout">
          <a:avLst>
            <a:gd name="adj1" fmla="val 25000"/>
            <a:gd name="adj2" fmla="val 25000"/>
            <a:gd name="adj3" fmla="val 27469"/>
            <a:gd name="adj4" fmla="val 66667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Date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here</a:t>
          </a:r>
        </a:p>
      </xdr:txBody>
    </xdr:sp>
    <xdr:clientData/>
  </xdr:twoCellAnchor>
  <xdr:twoCellAnchor>
    <xdr:from>
      <xdr:col>2</xdr:col>
      <xdr:colOff>0</xdr:colOff>
      <xdr:row>3</xdr:row>
      <xdr:rowOff>139700</xdr:rowOff>
    </xdr:from>
    <xdr:to>
      <xdr:col>3</xdr:col>
      <xdr:colOff>260350</xdr:colOff>
      <xdr:row>3</xdr:row>
      <xdr:rowOff>476250</xdr:rowOff>
    </xdr:to>
    <xdr:sp macro="" textlink="">
      <xdr:nvSpPr>
        <xdr:cNvPr id="7170" name="AutoShape 2">
          <a:extLst>
            <a:ext uri="{FF2B5EF4-FFF2-40B4-BE49-F238E27FC236}">
              <a16:creationId xmlns:a16="http://schemas.microsoft.com/office/drawing/2014/main" id="{E397EFC1-954A-486C-8758-3C675E1E96E5}"/>
            </a:ext>
          </a:extLst>
        </xdr:cNvPr>
        <xdr:cNvSpPr>
          <a:spLocks noChangeArrowheads="1"/>
        </xdr:cNvSpPr>
      </xdr:nvSpPr>
      <xdr:spPr bwMode="auto">
        <a:xfrm>
          <a:off x="1822450" y="1066800"/>
          <a:ext cx="1047750" cy="336550"/>
        </a:xfrm>
        <a:prstGeom prst="rightArrowCallout">
          <a:avLst>
            <a:gd name="adj1" fmla="val 25000"/>
            <a:gd name="adj2" fmla="val 25000"/>
            <a:gd name="adj3" fmla="val 51887"/>
            <a:gd name="adj4" fmla="val 66667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Description here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harmless@fcslafayette.or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harmless@fcslafayette.org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X40"/>
  <sheetViews>
    <sheetView tabSelected="1" view="pageBreakPreview" topLeftCell="G1" zoomScale="75" zoomScaleNormal="75" workbookViewId="0">
      <selection activeCell="AD25" sqref="AD25"/>
    </sheetView>
  </sheetViews>
  <sheetFormatPr defaultRowHeight="12.5" x14ac:dyDescent="0.25"/>
  <cols>
    <col min="1" max="1" width="4.26953125" customWidth="1"/>
    <col min="2" max="2" width="22.54296875" customWidth="1"/>
    <col min="3" max="4" width="10.7265625" customWidth="1"/>
    <col min="5" max="5" width="14.54296875" customWidth="1"/>
    <col min="6" max="6" width="14.81640625" customWidth="1"/>
    <col min="7" max="7" width="15.7265625" customWidth="1"/>
    <col min="9" max="9" width="21.7265625" customWidth="1"/>
    <col min="10" max="18" width="4.7265625" customWidth="1"/>
    <col min="19" max="19" width="4.7265625" style="60" customWidth="1"/>
    <col min="20" max="20" width="4.7265625" style="29" customWidth="1"/>
    <col min="21" max="21" width="8" style="29" customWidth="1"/>
    <col min="22" max="22" width="6.26953125" style="29" customWidth="1"/>
    <col min="23" max="23" width="7.1796875" style="29" customWidth="1"/>
    <col min="24" max="24" width="6.81640625" style="29" customWidth="1"/>
    <col min="25" max="25" width="4.7265625" style="29" customWidth="1"/>
    <col min="26" max="26" width="12" style="29" customWidth="1"/>
    <col min="27" max="27" width="10.81640625" style="3" customWidth="1"/>
    <col min="28" max="28" width="9.26953125" style="3" customWidth="1"/>
    <col min="29" max="29" width="10.453125" style="3" customWidth="1"/>
    <col min="30" max="79" width="4.7265625" style="3" customWidth="1"/>
    <col min="80" max="232" width="9.1796875" style="3" customWidth="1"/>
  </cols>
  <sheetData>
    <row r="1" spans="1:232" x14ac:dyDescent="0.25">
      <c r="B1" s="169" t="s">
        <v>62</v>
      </c>
      <c r="C1" s="100" t="s">
        <v>46</v>
      </c>
      <c r="D1" s="85" t="s">
        <v>47</v>
      </c>
      <c r="E1" s="85" t="s">
        <v>48</v>
      </c>
      <c r="F1" s="85" t="s">
        <v>49</v>
      </c>
      <c r="G1" s="85" t="s">
        <v>50</v>
      </c>
      <c r="H1" s="1" t="s">
        <v>3</v>
      </c>
      <c r="I1" s="63"/>
      <c r="J1" s="24"/>
      <c r="K1" s="25"/>
      <c r="L1" s="25"/>
      <c r="M1" s="25"/>
      <c r="N1" s="25"/>
      <c r="O1" s="25"/>
      <c r="P1" s="25"/>
      <c r="Q1" s="25"/>
      <c r="R1" s="26"/>
      <c r="AA1" s="29"/>
      <c r="AB1" s="29"/>
      <c r="AC1" s="29"/>
    </row>
    <row r="2" spans="1:232" ht="13" thickBot="1" x14ac:dyDescent="0.3">
      <c r="B2" s="170" t="s">
        <v>63</v>
      </c>
      <c r="C2" s="101">
        <v>0.5</v>
      </c>
      <c r="D2" s="86">
        <v>0.2</v>
      </c>
      <c r="E2" s="86">
        <v>0.1</v>
      </c>
      <c r="F2" s="86">
        <v>0.15</v>
      </c>
      <c r="G2" s="86">
        <v>0.05</v>
      </c>
      <c r="H2" s="23">
        <f>SUM(C2:G2)</f>
        <v>1</v>
      </c>
      <c r="I2" s="63"/>
      <c r="J2" s="10"/>
      <c r="K2" s="3"/>
      <c r="L2" s="3"/>
      <c r="M2" s="3"/>
      <c r="N2" s="3"/>
      <c r="O2" s="3"/>
      <c r="P2" s="3"/>
      <c r="Q2" s="3"/>
      <c r="R2" s="11"/>
      <c r="AA2" s="29"/>
      <c r="AB2" s="29"/>
      <c r="AC2" s="29"/>
    </row>
    <row r="3" spans="1:232" s="8" customFormat="1" ht="71.25" customHeight="1" thickBot="1" x14ac:dyDescent="0.3">
      <c r="B3" s="87" t="s">
        <v>67</v>
      </c>
      <c r="C3" s="267" t="s">
        <v>66</v>
      </c>
      <c r="D3" s="267"/>
      <c r="E3" s="267"/>
      <c r="F3" s="267"/>
      <c r="G3" s="267"/>
      <c r="I3" s="119" t="s">
        <v>8</v>
      </c>
      <c r="J3" s="144"/>
      <c r="K3" s="5"/>
      <c r="L3" s="5"/>
      <c r="M3" s="5"/>
      <c r="N3" s="5"/>
      <c r="O3" s="5"/>
      <c r="P3" s="5"/>
      <c r="Q3" s="5"/>
      <c r="R3" s="145"/>
      <c r="S3" s="61"/>
      <c r="T3" s="64"/>
      <c r="U3" s="64"/>
      <c r="V3" s="64"/>
      <c r="W3" s="64"/>
      <c r="X3" s="64"/>
      <c r="Y3" s="64"/>
      <c r="Z3" s="64"/>
      <c r="AA3" s="64"/>
      <c r="AB3" s="64"/>
      <c r="AC3" s="64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</row>
    <row r="4" spans="1:232" ht="13" thickBot="1" x14ac:dyDescent="0.3">
      <c r="A4" s="63"/>
      <c r="B4" s="63"/>
      <c r="C4" s="63"/>
      <c r="D4" s="63"/>
      <c r="E4" s="63"/>
      <c r="F4" s="63"/>
      <c r="G4" s="63"/>
      <c r="H4" s="63"/>
      <c r="I4" s="63"/>
      <c r="J4" s="10"/>
      <c r="K4" s="3"/>
      <c r="L4" s="3"/>
      <c r="M4" s="3"/>
      <c r="N4" s="3"/>
      <c r="O4" s="3"/>
      <c r="P4" s="3"/>
      <c r="Q4" s="3"/>
      <c r="R4" s="11"/>
      <c r="U4" s="258" t="s">
        <v>65</v>
      </c>
      <c r="V4" s="259"/>
      <c r="W4" s="259"/>
      <c r="X4" s="260"/>
      <c r="AA4" s="29"/>
      <c r="AB4" s="29"/>
      <c r="AC4" s="29"/>
    </row>
    <row r="5" spans="1:232" s="2" customFormat="1" ht="13" thickBot="1" x14ac:dyDescent="0.3">
      <c r="A5" s="6" t="s">
        <v>0</v>
      </c>
      <c r="B5" s="147" t="s">
        <v>91</v>
      </c>
      <c r="C5" s="249" t="s">
        <v>4</v>
      </c>
      <c r="D5" s="249"/>
      <c r="E5" s="249" t="s">
        <v>7</v>
      </c>
      <c r="F5" s="249"/>
      <c r="G5" s="249"/>
      <c r="H5" s="12"/>
      <c r="I5" s="146" t="s">
        <v>5</v>
      </c>
      <c r="J5" s="6" t="s">
        <v>0</v>
      </c>
      <c r="K5" s="7"/>
      <c r="L5" s="7"/>
      <c r="M5" s="7"/>
      <c r="N5" s="7"/>
      <c r="O5" s="7"/>
      <c r="P5" s="7"/>
      <c r="Q5" s="7"/>
      <c r="R5" s="12"/>
      <c r="S5" s="62"/>
      <c r="T5" s="29"/>
      <c r="U5" s="261"/>
      <c r="V5" s="262"/>
      <c r="W5" s="262"/>
      <c r="X5" s="263"/>
      <c r="Y5" s="29"/>
      <c r="Z5" s="29"/>
      <c r="AA5" s="29"/>
      <c r="AB5" s="29"/>
      <c r="AC5" s="29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</row>
    <row r="6" spans="1:232" ht="20.25" customHeight="1" thickBot="1" x14ac:dyDescent="0.3">
      <c r="A6">
        <v>1</v>
      </c>
      <c r="B6" s="148" t="s">
        <v>100</v>
      </c>
      <c r="C6" s="268"/>
      <c r="D6" s="268"/>
      <c r="E6" s="269"/>
      <c r="F6" s="269"/>
      <c r="G6" s="269"/>
      <c r="U6" s="264"/>
      <c r="V6" s="265"/>
      <c r="W6" s="265"/>
      <c r="X6" s="266"/>
      <c r="AA6" s="29"/>
      <c r="AB6" s="29"/>
      <c r="AC6" s="29"/>
    </row>
    <row r="7" spans="1:232" ht="20.25" customHeight="1" x14ac:dyDescent="0.25">
      <c r="A7">
        <v>2</v>
      </c>
      <c r="B7" s="149" t="s">
        <v>101</v>
      </c>
      <c r="C7" s="256"/>
      <c r="D7" s="256"/>
      <c r="E7" s="255"/>
      <c r="F7" s="255"/>
      <c r="G7" s="255"/>
      <c r="AA7" s="29"/>
      <c r="AB7" s="29"/>
      <c r="AC7" s="29"/>
    </row>
    <row r="8" spans="1:232" ht="20.25" customHeight="1" x14ac:dyDescent="0.25">
      <c r="A8">
        <v>3</v>
      </c>
      <c r="B8" s="149" t="s">
        <v>102</v>
      </c>
      <c r="C8" s="256"/>
      <c r="D8" s="256"/>
      <c r="E8" s="255"/>
      <c r="F8" s="255"/>
      <c r="G8" s="255"/>
      <c r="AA8" s="29"/>
      <c r="AB8" s="29"/>
      <c r="AC8" s="29"/>
    </row>
    <row r="9" spans="1:232" ht="20.25" customHeight="1" x14ac:dyDescent="0.25">
      <c r="A9">
        <v>4</v>
      </c>
      <c r="B9" s="149"/>
      <c r="C9" s="256"/>
      <c r="D9" s="256"/>
      <c r="E9" s="255"/>
      <c r="F9" s="255"/>
      <c r="G9" s="255"/>
      <c r="AA9" s="29"/>
      <c r="AB9" s="29"/>
      <c r="AC9" s="29"/>
    </row>
    <row r="10" spans="1:232" ht="20.25" customHeight="1" thickBot="1" x14ac:dyDescent="0.3">
      <c r="A10">
        <v>5</v>
      </c>
      <c r="B10" s="149"/>
      <c r="C10" s="256"/>
      <c r="D10" s="256"/>
      <c r="E10" s="255"/>
      <c r="F10" s="255"/>
      <c r="G10" s="255"/>
      <c r="U10" s="257" t="s">
        <v>31</v>
      </c>
      <c r="V10" s="257"/>
      <c r="W10" s="257"/>
      <c r="X10" s="257"/>
      <c r="AA10" s="29"/>
      <c r="AB10" s="29"/>
      <c r="AC10" s="29"/>
    </row>
    <row r="11" spans="1:232" ht="20.25" customHeight="1" x14ac:dyDescent="0.35">
      <c r="A11">
        <v>6</v>
      </c>
      <c r="B11" s="149"/>
      <c r="C11" s="256"/>
      <c r="D11" s="256"/>
      <c r="E11" s="255"/>
      <c r="F11" s="255"/>
      <c r="G11" s="255"/>
      <c r="U11" s="88">
        <v>1</v>
      </c>
      <c r="V11" s="89" t="s">
        <v>27</v>
      </c>
      <c r="W11" s="90">
        <v>0.99</v>
      </c>
      <c r="X11" s="91" t="s">
        <v>15</v>
      </c>
      <c r="AA11" s="29"/>
      <c r="AB11" s="29"/>
      <c r="AC11" s="29"/>
    </row>
    <row r="12" spans="1:232" ht="20.25" customHeight="1" x14ac:dyDescent="0.35">
      <c r="A12">
        <v>7</v>
      </c>
      <c r="B12" s="149"/>
      <c r="C12" s="256"/>
      <c r="D12" s="256"/>
      <c r="E12" s="255"/>
      <c r="F12" s="255"/>
      <c r="G12" s="255"/>
      <c r="U12" s="92">
        <v>0.98</v>
      </c>
      <c r="V12" s="93" t="s">
        <v>27</v>
      </c>
      <c r="W12" s="94">
        <v>0.95</v>
      </c>
      <c r="X12" s="95" t="s">
        <v>17</v>
      </c>
      <c r="AA12" s="29"/>
      <c r="AB12" s="29"/>
      <c r="AC12" s="29"/>
    </row>
    <row r="13" spans="1:232" ht="20.25" customHeight="1" x14ac:dyDescent="0.35">
      <c r="A13">
        <v>8</v>
      </c>
      <c r="B13" s="149"/>
      <c r="C13" s="256"/>
      <c r="D13" s="256"/>
      <c r="E13" s="255"/>
      <c r="F13" s="255"/>
      <c r="G13" s="255"/>
      <c r="U13" s="92">
        <v>0.94</v>
      </c>
      <c r="V13" s="93" t="s">
        <v>27</v>
      </c>
      <c r="W13" s="94">
        <v>0.93</v>
      </c>
      <c r="X13" s="95" t="s">
        <v>16</v>
      </c>
      <c r="AA13" s="29"/>
      <c r="AB13" s="29"/>
      <c r="AC13" s="29"/>
    </row>
    <row r="14" spans="1:232" ht="20.25" customHeight="1" x14ac:dyDescent="0.35">
      <c r="A14">
        <v>9</v>
      </c>
      <c r="B14" s="149"/>
      <c r="C14" s="256"/>
      <c r="D14" s="256"/>
      <c r="E14" s="255"/>
      <c r="F14" s="255"/>
      <c r="G14" s="255"/>
      <c r="U14" s="92">
        <v>0.92</v>
      </c>
      <c r="V14" s="93" t="s">
        <v>27</v>
      </c>
      <c r="W14" s="94">
        <v>0.91</v>
      </c>
      <c r="X14" s="95" t="s">
        <v>18</v>
      </c>
      <c r="AA14" s="29"/>
      <c r="AB14" s="29"/>
      <c r="AC14" s="29"/>
    </row>
    <row r="15" spans="1:232" ht="20.25" customHeight="1" x14ac:dyDescent="0.35">
      <c r="A15">
        <v>10</v>
      </c>
      <c r="B15" s="149"/>
      <c r="C15" s="256"/>
      <c r="D15" s="256"/>
      <c r="E15" s="255"/>
      <c r="F15" s="255"/>
      <c r="G15" s="255"/>
      <c r="U15" s="92">
        <v>0.9</v>
      </c>
      <c r="V15" s="93" t="s">
        <v>27</v>
      </c>
      <c r="W15" s="94">
        <v>0.87</v>
      </c>
      <c r="X15" s="95" t="s">
        <v>19</v>
      </c>
      <c r="AA15" s="29"/>
      <c r="AB15" s="29"/>
      <c r="AC15" s="29"/>
    </row>
    <row r="16" spans="1:232" ht="20.25" customHeight="1" x14ac:dyDescent="0.35">
      <c r="A16">
        <v>11</v>
      </c>
      <c r="B16" s="149"/>
      <c r="C16" s="256"/>
      <c r="D16" s="256"/>
      <c r="E16" s="255"/>
      <c r="F16" s="255"/>
      <c r="G16" s="255"/>
      <c r="U16" s="92">
        <v>0.86</v>
      </c>
      <c r="V16" s="93" t="s">
        <v>27</v>
      </c>
      <c r="W16" s="94">
        <v>0.85</v>
      </c>
      <c r="X16" s="95" t="s">
        <v>20</v>
      </c>
      <c r="AA16" s="29"/>
      <c r="AB16" s="29"/>
      <c r="AC16" s="29"/>
    </row>
    <row r="17" spans="1:29" ht="20.25" customHeight="1" x14ac:dyDescent="0.35">
      <c r="A17">
        <v>12</v>
      </c>
      <c r="B17" s="149"/>
      <c r="C17" s="256"/>
      <c r="D17" s="256"/>
      <c r="E17" s="255"/>
      <c r="F17" s="255"/>
      <c r="G17" s="255"/>
      <c r="U17" s="92">
        <v>0.84</v>
      </c>
      <c r="V17" s="93" t="s">
        <v>27</v>
      </c>
      <c r="W17" s="94">
        <v>0.83</v>
      </c>
      <c r="X17" s="95" t="s">
        <v>21</v>
      </c>
      <c r="AA17" s="29"/>
      <c r="AB17" s="29"/>
      <c r="AC17" s="29"/>
    </row>
    <row r="18" spans="1:29" ht="20.25" customHeight="1" thickBot="1" x14ac:dyDescent="0.4">
      <c r="A18">
        <v>13</v>
      </c>
      <c r="B18" s="149"/>
      <c r="C18" s="256"/>
      <c r="D18" s="256"/>
      <c r="E18" s="255"/>
      <c r="F18" s="255"/>
      <c r="G18" s="255"/>
      <c r="U18" s="92">
        <v>0.82</v>
      </c>
      <c r="V18" s="93" t="s">
        <v>27</v>
      </c>
      <c r="W18" s="94">
        <v>0.79</v>
      </c>
      <c r="X18" s="95" t="s">
        <v>22</v>
      </c>
      <c r="AA18" s="29"/>
      <c r="AB18" s="29"/>
      <c r="AC18" s="29"/>
    </row>
    <row r="19" spans="1:29" ht="20.25" customHeight="1" x14ac:dyDescent="0.35">
      <c r="A19">
        <v>14</v>
      </c>
      <c r="B19" s="149"/>
      <c r="C19" s="256"/>
      <c r="D19" s="256"/>
      <c r="E19" s="255"/>
      <c r="F19" s="255"/>
      <c r="G19" s="255"/>
      <c r="U19" s="92">
        <v>0.78</v>
      </c>
      <c r="V19" s="93" t="s">
        <v>27</v>
      </c>
      <c r="W19" s="94">
        <v>0.77</v>
      </c>
      <c r="X19" s="95" t="s">
        <v>23</v>
      </c>
      <c r="AA19" s="240" t="s">
        <v>98</v>
      </c>
      <c r="AB19" s="241"/>
      <c r="AC19" s="242"/>
    </row>
    <row r="20" spans="1:29" ht="20.25" customHeight="1" x14ac:dyDescent="0.35">
      <c r="A20">
        <v>15</v>
      </c>
      <c r="B20" s="149"/>
      <c r="C20" s="256"/>
      <c r="D20" s="256"/>
      <c r="E20" s="255"/>
      <c r="F20" s="255"/>
      <c r="G20" s="255"/>
      <c r="U20" s="92">
        <v>0.76</v>
      </c>
      <c r="V20" s="93" t="s">
        <v>27</v>
      </c>
      <c r="W20" s="94">
        <v>0.74</v>
      </c>
      <c r="X20" s="95" t="s">
        <v>24</v>
      </c>
      <c r="AA20" s="243"/>
      <c r="AB20" s="244"/>
      <c r="AC20" s="245"/>
    </row>
    <row r="21" spans="1:29" ht="20.25" customHeight="1" thickBot="1" x14ac:dyDescent="0.4">
      <c r="A21">
        <v>16</v>
      </c>
      <c r="B21" s="149"/>
      <c r="C21" s="256"/>
      <c r="D21" s="256"/>
      <c r="E21" s="255"/>
      <c r="F21" s="255"/>
      <c r="G21" s="255"/>
      <c r="U21" s="92">
        <v>0.73</v>
      </c>
      <c r="V21" s="93" t="s">
        <v>27</v>
      </c>
      <c r="W21" s="94">
        <v>0.7</v>
      </c>
      <c r="X21" s="95" t="s">
        <v>25</v>
      </c>
      <c r="AA21" s="246"/>
      <c r="AB21" s="247"/>
      <c r="AC21" s="248"/>
    </row>
    <row r="22" spans="1:29" ht="20.25" customHeight="1" thickBot="1" x14ac:dyDescent="0.4">
      <c r="A22">
        <v>17</v>
      </c>
      <c r="B22" s="149"/>
      <c r="C22" s="256"/>
      <c r="D22" s="256"/>
      <c r="E22" s="255"/>
      <c r="F22" s="255"/>
      <c r="G22" s="255"/>
      <c r="U22" s="96">
        <v>0.69</v>
      </c>
      <c r="V22" s="97" t="s">
        <v>27</v>
      </c>
      <c r="W22" s="98">
        <v>0</v>
      </c>
      <c r="X22" s="99" t="s">
        <v>26</v>
      </c>
      <c r="AA22" s="29"/>
      <c r="AB22" s="29"/>
      <c r="AC22" s="29"/>
    </row>
    <row r="23" spans="1:29" ht="20.25" customHeight="1" x14ac:dyDescent="0.25">
      <c r="A23">
        <v>18</v>
      </c>
      <c r="B23" s="149"/>
      <c r="C23" s="256"/>
      <c r="D23" s="256"/>
      <c r="E23" s="255"/>
      <c r="F23" s="255"/>
      <c r="G23" s="255"/>
      <c r="AA23" s="29"/>
      <c r="AB23" s="29"/>
      <c r="AC23" s="29"/>
    </row>
    <row r="24" spans="1:29" ht="20.25" customHeight="1" thickBot="1" x14ac:dyDescent="0.3">
      <c r="A24">
        <v>19</v>
      </c>
      <c r="B24" s="149"/>
      <c r="C24" s="256"/>
      <c r="D24" s="256"/>
      <c r="E24" s="255"/>
      <c r="F24" s="255"/>
      <c r="G24" s="255"/>
      <c r="AA24" s="29"/>
      <c r="AB24" s="29"/>
      <c r="AC24" s="29"/>
    </row>
    <row r="25" spans="1:29" ht="20.25" customHeight="1" x14ac:dyDescent="0.25">
      <c r="A25">
        <v>20</v>
      </c>
      <c r="B25" s="149"/>
      <c r="C25" s="256"/>
      <c r="D25" s="256"/>
      <c r="E25" s="255"/>
      <c r="F25" s="255"/>
      <c r="G25" s="255"/>
      <c r="Z25" s="153" t="s">
        <v>92</v>
      </c>
      <c r="AA25" s="250" t="s">
        <v>95</v>
      </c>
      <c r="AB25" s="250"/>
      <c r="AC25" s="251"/>
    </row>
    <row r="26" spans="1:29" ht="20.25" customHeight="1" x14ac:dyDescent="0.25">
      <c r="A26">
        <v>21</v>
      </c>
      <c r="B26" s="149"/>
      <c r="C26" s="256"/>
      <c r="D26" s="256"/>
      <c r="E26" s="255"/>
      <c r="F26" s="255"/>
      <c r="G26" s="255"/>
      <c r="Z26" s="154" t="s">
        <v>93</v>
      </c>
      <c r="AA26" s="252" t="s">
        <v>96</v>
      </c>
      <c r="AB26" s="253"/>
      <c r="AC26" s="254"/>
    </row>
    <row r="27" spans="1:29" ht="20.25" customHeight="1" thickBot="1" x14ac:dyDescent="0.3">
      <c r="A27">
        <v>22</v>
      </c>
      <c r="B27" s="149"/>
      <c r="C27" s="256"/>
      <c r="D27" s="256"/>
      <c r="E27" s="255"/>
      <c r="F27" s="255"/>
      <c r="G27" s="255"/>
      <c r="Z27" s="155" t="s">
        <v>94</v>
      </c>
      <c r="AA27" s="238" t="s">
        <v>97</v>
      </c>
      <c r="AB27" s="238"/>
      <c r="AC27" s="239"/>
    </row>
    <row r="28" spans="1:29" ht="20.25" customHeight="1" x14ac:dyDescent="0.25">
      <c r="A28">
        <v>23</v>
      </c>
      <c r="B28" s="149"/>
      <c r="C28" s="256"/>
      <c r="D28" s="256"/>
      <c r="E28" s="255"/>
      <c r="F28" s="255"/>
      <c r="G28" s="255"/>
      <c r="AA28" s="29"/>
      <c r="AB28" s="29"/>
      <c r="AC28" s="29"/>
    </row>
    <row r="29" spans="1:29" ht="20.25" customHeight="1" x14ac:dyDescent="0.25">
      <c r="A29">
        <v>24</v>
      </c>
      <c r="B29" s="149"/>
      <c r="C29" s="256"/>
      <c r="D29" s="256"/>
      <c r="E29" s="255"/>
      <c r="F29" s="255"/>
      <c r="G29" s="255"/>
      <c r="AA29" s="29"/>
      <c r="AB29" s="29"/>
      <c r="AC29" s="29"/>
    </row>
    <row r="30" spans="1:29" ht="20.25" customHeight="1" x14ac:dyDescent="0.25">
      <c r="A30">
        <v>25</v>
      </c>
      <c r="B30" s="149"/>
      <c r="C30" s="256"/>
      <c r="D30" s="256"/>
      <c r="E30" s="255"/>
      <c r="F30" s="255"/>
      <c r="G30" s="255"/>
      <c r="AA30" s="29"/>
      <c r="AB30" s="29"/>
      <c r="AC30" s="29"/>
    </row>
    <row r="31" spans="1:29" ht="20.25" customHeight="1" x14ac:dyDescent="0.25">
      <c r="A31">
        <v>26</v>
      </c>
      <c r="B31" s="149"/>
      <c r="C31" s="256"/>
      <c r="D31" s="256"/>
      <c r="E31" s="255"/>
      <c r="F31" s="255"/>
      <c r="G31" s="255"/>
      <c r="AA31" s="29"/>
      <c r="AB31" s="29"/>
      <c r="AC31" s="29"/>
    </row>
    <row r="32" spans="1:29" ht="20.25" customHeight="1" x14ac:dyDescent="0.25">
      <c r="A32">
        <v>27</v>
      </c>
      <c r="B32" s="149"/>
      <c r="C32" s="256"/>
      <c r="D32" s="256"/>
      <c r="E32" s="255"/>
      <c r="F32" s="255"/>
      <c r="G32" s="255"/>
      <c r="AA32" s="29"/>
      <c r="AB32" s="29"/>
      <c r="AC32" s="29"/>
    </row>
    <row r="33" spans="1:29" ht="20.25" customHeight="1" x14ac:dyDescent="0.25">
      <c r="A33">
        <v>28</v>
      </c>
      <c r="B33" s="149"/>
      <c r="C33" s="256"/>
      <c r="D33" s="256"/>
      <c r="E33" s="255"/>
      <c r="F33" s="255"/>
      <c r="G33" s="255"/>
      <c r="AA33" s="29"/>
      <c r="AB33" s="29"/>
      <c r="AC33" s="29"/>
    </row>
    <row r="34" spans="1:29" ht="20.25" customHeight="1" x14ac:dyDescent="0.25">
      <c r="A34">
        <v>29</v>
      </c>
      <c r="B34" s="149"/>
      <c r="C34" s="256"/>
      <c r="D34" s="256"/>
      <c r="E34" s="255"/>
      <c r="F34" s="255"/>
      <c r="G34" s="255"/>
      <c r="AA34" s="29"/>
      <c r="AB34" s="29"/>
      <c r="AC34" s="29"/>
    </row>
    <row r="35" spans="1:29" ht="20.25" customHeight="1" x14ac:dyDescent="0.25">
      <c r="A35">
        <v>30</v>
      </c>
      <c r="B35" s="149"/>
      <c r="C35" s="256"/>
      <c r="D35" s="256"/>
      <c r="E35" s="255"/>
      <c r="F35" s="255"/>
      <c r="G35" s="255"/>
      <c r="AA35" s="29"/>
      <c r="AB35" s="29"/>
      <c r="AC35" s="29"/>
    </row>
    <row r="36" spans="1:29" ht="20.25" customHeight="1" x14ac:dyDescent="0.25">
      <c r="A36">
        <v>31</v>
      </c>
      <c r="B36" s="149"/>
      <c r="C36" s="256"/>
      <c r="D36" s="256"/>
      <c r="E36" s="255"/>
      <c r="F36" s="255"/>
      <c r="G36" s="255"/>
      <c r="AA36" s="29"/>
      <c r="AB36" s="29"/>
      <c r="AC36" s="29"/>
    </row>
    <row r="37" spans="1:29" ht="20.25" customHeight="1" x14ac:dyDescent="0.25">
      <c r="A37">
        <v>32</v>
      </c>
      <c r="B37" s="149"/>
      <c r="C37" s="256"/>
      <c r="D37" s="256"/>
      <c r="E37" s="255"/>
      <c r="F37" s="255"/>
      <c r="G37" s="255"/>
      <c r="AA37" s="29"/>
      <c r="AB37" s="29"/>
      <c r="AC37" s="29"/>
    </row>
    <row r="38" spans="1:29" ht="20.25" customHeight="1" x14ac:dyDescent="0.25">
      <c r="A38">
        <v>33</v>
      </c>
      <c r="B38" s="149"/>
      <c r="C38" s="256"/>
      <c r="D38" s="256"/>
      <c r="E38" s="255"/>
      <c r="F38" s="255"/>
      <c r="G38" s="255"/>
      <c r="AA38" s="29"/>
      <c r="AB38" s="29"/>
      <c r="AC38" s="29"/>
    </row>
    <row r="39" spans="1:29" ht="20.25" customHeight="1" x14ac:dyDescent="0.25">
      <c r="A39">
        <v>34</v>
      </c>
      <c r="B39" s="149"/>
      <c r="C39" s="256"/>
      <c r="D39" s="256"/>
      <c r="E39" s="255"/>
      <c r="F39" s="255"/>
      <c r="G39" s="255"/>
      <c r="AA39" s="29"/>
      <c r="AB39" s="29"/>
      <c r="AC39" s="29"/>
    </row>
    <row r="40" spans="1:29" ht="20.25" customHeight="1" thickBot="1" x14ac:dyDescent="0.3">
      <c r="A40">
        <v>35</v>
      </c>
      <c r="B40" s="150"/>
      <c r="C40" s="256"/>
      <c r="D40" s="256"/>
      <c r="E40" s="255"/>
      <c r="F40" s="255"/>
      <c r="G40" s="255"/>
      <c r="AA40" s="29"/>
      <c r="AB40" s="29"/>
      <c r="AC40" s="29"/>
    </row>
  </sheetData>
  <mergeCells count="79">
    <mergeCell ref="U10:X10"/>
    <mergeCell ref="U4:X6"/>
    <mergeCell ref="C3:G3"/>
    <mergeCell ref="C6:D6"/>
    <mergeCell ref="C7:D7"/>
    <mergeCell ref="C8:D8"/>
    <mergeCell ref="C9:D9"/>
    <mergeCell ref="C10:D10"/>
    <mergeCell ref="E6:G6"/>
    <mergeCell ref="E7:G7"/>
    <mergeCell ref="C15:D15"/>
    <mergeCell ref="C16:D16"/>
    <mergeCell ref="C17:D17"/>
    <mergeCell ref="C18:D18"/>
    <mergeCell ref="C11:D11"/>
    <mergeCell ref="C12:D12"/>
    <mergeCell ref="C13:D13"/>
    <mergeCell ref="C14:D14"/>
    <mergeCell ref="C23:D23"/>
    <mergeCell ref="C24:D24"/>
    <mergeCell ref="C25:D25"/>
    <mergeCell ref="C26:D26"/>
    <mergeCell ref="C19:D19"/>
    <mergeCell ref="C20:D20"/>
    <mergeCell ref="C21:D21"/>
    <mergeCell ref="C22:D22"/>
    <mergeCell ref="C29:D29"/>
    <mergeCell ref="C40:D40"/>
    <mergeCell ref="C39:D39"/>
    <mergeCell ref="C38:D38"/>
    <mergeCell ref="C37:D37"/>
    <mergeCell ref="C36:D36"/>
    <mergeCell ref="C35:D35"/>
    <mergeCell ref="C34:D34"/>
    <mergeCell ref="E9:G9"/>
    <mergeCell ref="E8:G8"/>
    <mergeCell ref="E10:G10"/>
    <mergeCell ref="E11:G11"/>
    <mergeCell ref="C33:D33"/>
    <mergeCell ref="C32:D32"/>
    <mergeCell ref="C31:D31"/>
    <mergeCell ref="C30:D30"/>
    <mergeCell ref="C27:D27"/>
    <mergeCell ref="C28:D28"/>
    <mergeCell ref="E16:G16"/>
    <mergeCell ref="E17:G17"/>
    <mergeCell ref="E18:G18"/>
    <mergeCell ref="E19:G19"/>
    <mergeCell ref="E12:G12"/>
    <mergeCell ref="E13:G13"/>
    <mergeCell ref="E14:G14"/>
    <mergeCell ref="E15:G15"/>
    <mergeCell ref="E28:G28"/>
    <mergeCell ref="E29:G29"/>
    <mergeCell ref="E30:G30"/>
    <mergeCell ref="E31:G31"/>
    <mergeCell ref="E21:G21"/>
    <mergeCell ref="E20:G20"/>
    <mergeCell ref="E22:G22"/>
    <mergeCell ref="E23:G23"/>
    <mergeCell ref="E36:G36"/>
    <mergeCell ref="E40:G40"/>
    <mergeCell ref="E39:G39"/>
    <mergeCell ref="E38:G38"/>
    <mergeCell ref="E37:G37"/>
    <mergeCell ref="E32:G32"/>
    <mergeCell ref="E33:G33"/>
    <mergeCell ref="E34:G34"/>
    <mergeCell ref="E35:G35"/>
    <mergeCell ref="AA27:AC27"/>
    <mergeCell ref="AA19:AC21"/>
    <mergeCell ref="C5:D5"/>
    <mergeCell ref="E5:G5"/>
    <mergeCell ref="AA25:AC25"/>
    <mergeCell ref="AA26:AC26"/>
    <mergeCell ref="E24:G24"/>
    <mergeCell ref="E25:G25"/>
    <mergeCell ref="E26:G26"/>
    <mergeCell ref="E27:G27"/>
  </mergeCells>
  <phoneticPr fontId="0" type="noConversion"/>
  <hyperlinks>
    <hyperlink ref="AA26" r:id="rId1"/>
  </hyperlinks>
  <printOptions gridLines="1"/>
  <pageMargins left="0.75" right="0.75" top="1" bottom="1" header="0.5" footer="0.5"/>
  <pageSetup scale="70" pageOrder="overThenDown" orientation="portrait" horizontalDpi="300" r:id="rId2"/>
  <headerFooter alignWithMargins="0">
    <oddHeader>&amp;LHarmless&amp;RAs of &amp;T &amp;D</oddHeader>
    <oddFooter>&amp;L&amp;A&amp;C- &amp;P -&amp;R&amp;F</oddFooter>
  </headerFooter>
  <colBreaks count="2" manualBreakCount="2">
    <brk id="8" max="39" man="1"/>
    <brk id="19" max="39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K84"/>
  <sheetViews>
    <sheetView view="pageBreakPreview" zoomScale="75" zoomScaleNormal="75" workbookViewId="0">
      <selection activeCell="C45" sqref="C45"/>
    </sheetView>
  </sheetViews>
  <sheetFormatPr defaultColWidth="6.7265625" defaultRowHeight="12.5" x14ac:dyDescent="0.25"/>
  <cols>
    <col min="1" max="1" width="4.26953125" style="3" customWidth="1"/>
    <col min="2" max="2" width="18.26953125" style="3" customWidth="1"/>
    <col min="3" max="23" width="8.7265625" style="3" customWidth="1"/>
    <col min="24" max="25" width="6.7265625" style="3" customWidth="1"/>
    <col min="26" max="37" width="8.7265625" style="3" customWidth="1"/>
    <col min="38" max="16384" width="6.7265625" style="3"/>
  </cols>
  <sheetData>
    <row r="1" spans="1:32" x14ac:dyDescent="0.25">
      <c r="A1" s="29"/>
      <c r="B1" s="203" t="str">
        <f>Names!B1</f>
        <v>Quarter 1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32" x14ac:dyDescent="0.25">
      <c r="A2" s="29"/>
      <c r="B2" s="219" t="str">
        <f>Names!B2</f>
        <v>Class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</row>
    <row r="3" spans="1:32" ht="18.75" customHeight="1" thickBot="1" x14ac:dyDescent="0.3">
      <c r="A3" s="29"/>
      <c r="B3" s="204" t="s">
        <v>2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</row>
    <row r="4" spans="1:32" s="4" customFormat="1" ht="62.25" customHeight="1" thickBot="1" x14ac:dyDescent="0.25">
      <c r="A4" s="30"/>
      <c r="B4" s="30"/>
      <c r="C4" s="38" t="s">
        <v>2</v>
      </c>
      <c r="D4" s="280" t="s">
        <v>14</v>
      </c>
      <c r="E4" s="39" t="str">
        <f>Names!C1</f>
        <v>Test Grade</v>
      </c>
      <c r="F4" s="40" t="str">
        <f>Names!D1</f>
        <v>Quiz Grade</v>
      </c>
      <c r="G4" s="50" t="str">
        <f>Names!E1</f>
        <v>Notebook Grade</v>
      </c>
      <c r="H4" s="50" t="str">
        <f>Names!F1</f>
        <v>Homework Grade</v>
      </c>
      <c r="I4" s="49" t="s">
        <v>45</v>
      </c>
      <c r="J4" s="51" t="str">
        <f>Names!G1</f>
        <v>Participation Grade</v>
      </c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</row>
    <row r="5" spans="1:32" ht="32.25" customHeight="1" thickBot="1" x14ac:dyDescent="0.3">
      <c r="A5" s="173" t="str">
        <f>Names!$A:$A</f>
        <v>#</v>
      </c>
      <c r="B5" s="173" t="str">
        <f>Names!$B:$B</f>
        <v>Last Name, First Name</v>
      </c>
      <c r="C5" s="55">
        <v>1</v>
      </c>
      <c r="D5" s="281"/>
      <c r="E5" s="41">
        <f>Names!C2</f>
        <v>0.5</v>
      </c>
      <c r="F5" s="42">
        <f>Names!D2</f>
        <v>0.2</v>
      </c>
      <c r="G5" s="42">
        <f>Names!E2</f>
        <v>0.1</v>
      </c>
      <c r="H5" s="42">
        <f>Names!F2</f>
        <v>0.15</v>
      </c>
      <c r="I5" s="48">
        <f>'Homework Grade'!E5</f>
        <v>5</v>
      </c>
      <c r="J5" s="43">
        <f>Names!G2</f>
        <v>0.05</v>
      </c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Z5" s="269"/>
      <c r="AA5" s="269"/>
      <c r="AB5" s="269"/>
      <c r="AC5" s="269"/>
    </row>
    <row r="6" spans="1:32" x14ac:dyDescent="0.25">
      <c r="A6" s="3">
        <f>Names!$A:$A</f>
        <v>1</v>
      </c>
      <c r="B6" s="3" t="str">
        <f>Names!$B:$B</f>
        <v>Adams, Bob</v>
      </c>
      <c r="C6" s="44">
        <f>ROUND(((E6*E5)+(F6*F5)+(G6*G5)+(H6*H5)+(J6*J5)),2)</f>
        <v>0.94</v>
      </c>
      <c r="D6" s="31" t="str">
        <f>HLOOKUP(C6,$Z$24:$AK$25,2)</f>
        <v>A-</v>
      </c>
      <c r="E6" s="45">
        <f>'Test Grade'!C6</f>
        <v>0.96499517502412491</v>
      </c>
      <c r="F6" s="45">
        <f>'Quiz Grade'!C6</f>
        <v>0.92855816345480768</v>
      </c>
      <c r="G6" s="45">
        <f>'Notebook Grade'!C6</f>
        <v>0.94995250237488116</v>
      </c>
      <c r="H6" s="45">
        <f>'Homework Grade'!C6</f>
        <v>0.83330555648145055</v>
      </c>
      <c r="I6" s="46">
        <f>'Homework Grade'!E6</f>
        <v>1</v>
      </c>
      <c r="J6" s="45">
        <f>'Participation Grade'!C6</f>
        <v>0.99980003999200151</v>
      </c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</row>
    <row r="7" spans="1:32" hidden="1" x14ac:dyDescent="0.25">
      <c r="A7" s="3">
        <f>Names!$A:$A</f>
        <v>2</v>
      </c>
      <c r="B7" s="3" t="str">
        <f>Names!$B:$B</f>
        <v>Jones, George</v>
      </c>
      <c r="C7" s="44">
        <f>ROUND(((E7*E5)+(F7*F5)+(G7*G5)+(H7*H5)+(J7*J5)),2)</f>
        <v>0.89</v>
      </c>
      <c r="D7" s="31" t="str">
        <f t="shared" ref="D7:D40" si="0">HLOOKUP(C7,$Z$24:$AK$25,2)</f>
        <v>B</v>
      </c>
      <c r="E7" s="45">
        <f>'Test Grade'!C7</f>
        <v>0.9049954750226249</v>
      </c>
      <c r="F7" s="45">
        <f>'Quiz Grade'!C7</f>
        <v>0.97141469407579883</v>
      </c>
      <c r="G7" s="45">
        <f>'Notebook Grade'!C7</f>
        <v>0.99995000249987498</v>
      </c>
      <c r="H7" s="45">
        <f>'Homework Grade'!C7</f>
        <v>0.66664444518516042</v>
      </c>
      <c r="I7" s="46">
        <f>'Homework Grade'!E7</f>
        <v>2</v>
      </c>
      <c r="J7" s="45">
        <f>'Participation Grade'!C7</f>
        <v>0.79984003199360121</v>
      </c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Z7" s="14"/>
      <c r="AA7" s="58"/>
      <c r="AB7" s="14"/>
      <c r="AC7" s="58"/>
    </row>
    <row r="8" spans="1:32" hidden="1" x14ac:dyDescent="0.25">
      <c r="A8" s="3">
        <f>Names!$A:$A</f>
        <v>3</v>
      </c>
      <c r="B8" s="3" t="str">
        <f>Names!$B:$B</f>
        <v>Smith, Ralph</v>
      </c>
      <c r="C8" s="44">
        <f>ROUND(((E8*E5)+(F8*F5)+(G8*G5)+(H8*H5)+(J8*J5)),2)</f>
        <v>0.98</v>
      </c>
      <c r="D8" s="31" t="str">
        <f t="shared" si="0"/>
        <v>A</v>
      </c>
      <c r="E8" s="45">
        <f>'Test Grade'!C8</f>
        <v>0.96999515002424985</v>
      </c>
      <c r="F8" s="45">
        <f>'Quiz Grade'!C8</f>
        <v>0.97141469407579883</v>
      </c>
      <c r="G8" s="45">
        <f>'Notebook Grade'!C8</f>
        <v>0.99995000249987498</v>
      </c>
      <c r="H8" s="45">
        <f>'Homework Grade'!C8</f>
        <v>0.99996666777774068</v>
      </c>
      <c r="I8" s="46">
        <f>'Homework Grade'!E8</f>
        <v>0</v>
      </c>
      <c r="J8" s="45">
        <f>'Participation Grade'!C8</f>
        <v>0.99980003999200151</v>
      </c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Z8" s="14"/>
      <c r="AA8" s="58"/>
      <c r="AB8" s="14"/>
      <c r="AC8" s="58"/>
    </row>
    <row r="9" spans="1:32" hidden="1" x14ac:dyDescent="0.25">
      <c r="A9" s="3">
        <f>Names!$A:$A</f>
        <v>4</v>
      </c>
      <c r="B9" s="3">
        <f>Names!$B:$B</f>
        <v>0</v>
      </c>
      <c r="C9" s="44">
        <f>ROUND(((E9*E5)+(F9*F5)+(G9*G5)+(H9*H5)+(J9*J5)),2)</f>
        <v>0</v>
      </c>
      <c r="D9" s="31" t="str">
        <f t="shared" si="0"/>
        <v>F</v>
      </c>
      <c r="E9" s="45">
        <f>'Test Grade'!C9</f>
        <v>0</v>
      </c>
      <c r="F9" s="45">
        <f>'Quiz Grade'!C9</f>
        <v>0</v>
      </c>
      <c r="G9" s="45">
        <f>'Notebook Grade'!C9</f>
        <v>0</v>
      </c>
      <c r="H9" s="45">
        <f>'Homework Grade'!C9</f>
        <v>0</v>
      </c>
      <c r="I9" s="46">
        <f>'Homework Grade'!E9</f>
        <v>5</v>
      </c>
      <c r="J9" s="45">
        <f>'Participation Grade'!C9</f>
        <v>0</v>
      </c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Z9" s="14"/>
      <c r="AA9" s="58"/>
      <c r="AB9" s="14"/>
      <c r="AC9" s="58"/>
    </row>
    <row r="10" spans="1:32" hidden="1" x14ac:dyDescent="0.25">
      <c r="A10" s="3">
        <f>Names!$A:$A</f>
        <v>5</v>
      </c>
      <c r="B10" s="3">
        <f>Names!$B:$B</f>
        <v>0</v>
      </c>
      <c r="C10" s="44">
        <f>ROUND(((E10*E5)+(F10*F5)+(G10*G5)+(H10*H5)+(J10*J5)),2)</f>
        <v>0</v>
      </c>
      <c r="D10" s="31" t="str">
        <f t="shared" si="0"/>
        <v>F</v>
      </c>
      <c r="E10" s="45">
        <f>'Test Grade'!C10</f>
        <v>0</v>
      </c>
      <c r="F10" s="45">
        <f>'Quiz Grade'!C10</f>
        <v>0</v>
      </c>
      <c r="G10" s="45">
        <f>'Notebook Grade'!C10</f>
        <v>0</v>
      </c>
      <c r="H10" s="45">
        <f>'Homework Grade'!C10</f>
        <v>0</v>
      </c>
      <c r="I10" s="46">
        <f>'Homework Grade'!E10</f>
        <v>5</v>
      </c>
      <c r="J10" s="45">
        <f>'Participation Grade'!C10</f>
        <v>0</v>
      </c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Z10" s="14"/>
      <c r="AA10" s="58"/>
      <c r="AB10" s="14"/>
      <c r="AC10" s="58"/>
      <c r="AF10" s="15"/>
    </row>
    <row r="11" spans="1:32" hidden="1" x14ac:dyDescent="0.25">
      <c r="A11" s="3">
        <f>Names!$A:$A</f>
        <v>6</v>
      </c>
      <c r="B11" s="3">
        <f>Names!$B:$B</f>
        <v>0</v>
      </c>
      <c r="C11" s="44">
        <f>ROUND(((E11*E5)+(F11*F5)+(G11*G5)+(H11*H5)+(J11*J5)),2)</f>
        <v>0</v>
      </c>
      <c r="D11" s="31" t="str">
        <f t="shared" si="0"/>
        <v>F</v>
      </c>
      <c r="E11" s="45">
        <f>'Test Grade'!C11</f>
        <v>0</v>
      </c>
      <c r="F11" s="45">
        <f>'Quiz Grade'!C11</f>
        <v>0</v>
      </c>
      <c r="G11" s="45">
        <f>'Notebook Grade'!C11</f>
        <v>0</v>
      </c>
      <c r="H11" s="45">
        <f>'Homework Grade'!C11</f>
        <v>0</v>
      </c>
      <c r="I11" s="46">
        <f>'Homework Grade'!E11</f>
        <v>5</v>
      </c>
      <c r="J11" s="45">
        <f>'Participation Grade'!C11</f>
        <v>0</v>
      </c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Z11" s="14"/>
      <c r="AA11" s="58"/>
      <c r="AB11" s="14"/>
      <c r="AC11" s="58"/>
    </row>
    <row r="12" spans="1:32" hidden="1" x14ac:dyDescent="0.25">
      <c r="A12" s="3">
        <f>Names!$A:$A</f>
        <v>7</v>
      </c>
      <c r="B12" s="3">
        <f>Names!$B:$B</f>
        <v>0</v>
      </c>
      <c r="C12" s="44">
        <f>ROUND(((E12*E5)+(F12*F5)+(G12*G5)+(H12*H5)+(J12*J5)),2)</f>
        <v>0</v>
      </c>
      <c r="D12" s="31" t="str">
        <f t="shared" si="0"/>
        <v>F</v>
      </c>
      <c r="E12" s="45">
        <f>'Test Grade'!C12</f>
        <v>0</v>
      </c>
      <c r="F12" s="45">
        <f>'Quiz Grade'!C12</f>
        <v>0</v>
      </c>
      <c r="G12" s="45">
        <f>'Notebook Grade'!C12</f>
        <v>0</v>
      </c>
      <c r="H12" s="45">
        <f>'Homework Grade'!C12</f>
        <v>0</v>
      </c>
      <c r="I12" s="46">
        <f>'Homework Grade'!E12</f>
        <v>5</v>
      </c>
      <c r="J12" s="45">
        <f>'Participation Grade'!C12</f>
        <v>0</v>
      </c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Z12" s="14"/>
      <c r="AA12" s="58"/>
      <c r="AB12" s="14"/>
      <c r="AC12" s="58"/>
    </row>
    <row r="13" spans="1:32" hidden="1" x14ac:dyDescent="0.25">
      <c r="A13" s="3">
        <f>Names!$A:$A</f>
        <v>8</v>
      </c>
      <c r="B13" s="3">
        <f>Names!$B:$B</f>
        <v>0</v>
      </c>
      <c r="C13" s="44">
        <f>ROUND(((E13*E5)+(F13*F5)+(G13*G5)+(H13*H5)+(J13*J5)),2)</f>
        <v>0</v>
      </c>
      <c r="D13" s="31" t="str">
        <f t="shared" si="0"/>
        <v>F</v>
      </c>
      <c r="E13" s="45">
        <f>'Test Grade'!C13</f>
        <v>0</v>
      </c>
      <c r="F13" s="45">
        <f>'Quiz Grade'!C13</f>
        <v>0</v>
      </c>
      <c r="G13" s="45">
        <f>'Notebook Grade'!C13</f>
        <v>0</v>
      </c>
      <c r="H13" s="45">
        <f>'Homework Grade'!C13</f>
        <v>0</v>
      </c>
      <c r="I13" s="46">
        <f>'Homework Grade'!E13</f>
        <v>5</v>
      </c>
      <c r="J13" s="45">
        <f>'Participation Grade'!C13</f>
        <v>0</v>
      </c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Z13" s="14"/>
      <c r="AA13" s="58"/>
      <c r="AB13" s="14"/>
      <c r="AC13" s="58"/>
    </row>
    <row r="14" spans="1:32" hidden="1" x14ac:dyDescent="0.25">
      <c r="A14" s="3">
        <f>Names!$A:$A</f>
        <v>9</v>
      </c>
      <c r="B14" s="3">
        <f>Names!$B:$B</f>
        <v>0</v>
      </c>
      <c r="C14" s="44">
        <f>ROUND(((E14*E5)+(F14*F5)+(G14*G5)+(H14*H5)+(J14*J5)),2)</f>
        <v>0</v>
      </c>
      <c r="D14" s="31" t="str">
        <f t="shared" si="0"/>
        <v>F</v>
      </c>
      <c r="E14" s="45">
        <f>'Test Grade'!C14</f>
        <v>0</v>
      </c>
      <c r="F14" s="45">
        <f>'Quiz Grade'!C14</f>
        <v>0</v>
      </c>
      <c r="G14" s="45">
        <f>'Notebook Grade'!C14</f>
        <v>0</v>
      </c>
      <c r="H14" s="45">
        <f>'Homework Grade'!C14</f>
        <v>0</v>
      </c>
      <c r="I14" s="46">
        <f>'Homework Grade'!E14</f>
        <v>5</v>
      </c>
      <c r="J14" s="45">
        <f>'Participation Grade'!C14</f>
        <v>0</v>
      </c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Z14" s="14"/>
      <c r="AA14" s="58"/>
      <c r="AB14" s="14"/>
      <c r="AC14" s="58"/>
    </row>
    <row r="15" spans="1:32" hidden="1" x14ac:dyDescent="0.25">
      <c r="A15" s="3">
        <f>Names!$A:$A</f>
        <v>10</v>
      </c>
      <c r="B15" s="3">
        <f>Names!$B:$B</f>
        <v>0</v>
      </c>
      <c r="C15" s="44">
        <f>ROUND(((E15*E5)+(F15*F5)+(G15*G5)+(H15*H5)+(J15*J5)),2)</f>
        <v>0</v>
      </c>
      <c r="D15" s="31" t="str">
        <f t="shared" si="0"/>
        <v>F</v>
      </c>
      <c r="E15" s="45">
        <f>'Test Grade'!C15</f>
        <v>0</v>
      </c>
      <c r="F15" s="45">
        <f>'Quiz Grade'!C15</f>
        <v>0</v>
      </c>
      <c r="G15" s="45">
        <f>'Notebook Grade'!C15</f>
        <v>0</v>
      </c>
      <c r="H15" s="45">
        <f>'Homework Grade'!C15</f>
        <v>0</v>
      </c>
      <c r="I15" s="46">
        <f>'Homework Grade'!E15</f>
        <v>5</v>
      </c>
      <c r="J15" s="45">
        <f>'Participation Grade'!C15</f>
        <v>0</v>
      </c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Z15" s="14"/>
      <c r="AA15" s="58"/>
      <c r="AB15" s="14"/>
      <c r="AC15" s="58"/>
    </row>
    <row r="16" spans="1:32" hidden="1" x14ac:dyDescent="0.25">
      <c r="A16" s="3">
        <f>Names!$A:$A</f>
        <v>11</v>
      </c>
      <c r="B16" s="3">
        <f>Names!$B:$B</f>
        <v>0</v>
      </c>
      <c r="C16" s="44">
        <f>ROUND(((E16*E5)+(F16*F5)+(G16*G5)+(H16*H5)+(J16*J5)),2)</f>
        <v>0</v>
      </c>
      <c r="D16" s="31" t="str">
        <f t="shared" si="0"/>
        <v>F</v>
      </c>
      <c r="E16" s="45">
        <f>'Test Grade'!C16</f>
        <v>0</v>
      </c>
      <c r="F16" s="45">
        <f>'Quiz Grade'!C16</f>
        <v>0</v>
      </c>
      <c r="G16" s="45">
        <f>'Notebook Grade'!C16</f>
        <v>0</v>
      </c>
      <c r="H16" s="45">
        <f>'Homework Grade'!C16</f>
        <v>0</v>
      </c>
      <c r="I16" s="46">
        <f>'Homework Grade'!E16</f>
        <v>5</v>
      </c>
      <c r="J16" s="45">
        <f>'Participation Grade'!C16</f>
        <v>0</v>
      </c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Z16" s="14"/>
      <c r="AA16" s="58"/>
      <c r="AB16" s="14"/>
      <c r="AC16" s="58"/>
    </row>
    <row r="17" spans="1:37" hidden="1" x14ac:dyDescent="0.25">
      <c r="A17" s="3">
        <f>Names!$A:$A</f>
        <v>12</v>
      </c>
      <c r="B17" s="3">
        <f>Names!$B:$B</f>
        <v>0</v>
      </c>
      <c r="C17" s="44">
        <f>ROUND(((E17*E5)+(F17*F5)+(G17*G5)+(H17*H5)+(J17*J5)),2)</f>
        <v>0</v>
      </c>
      <c r="D17" s="31" t="str">
        <f t="shared" si="0"/>
        <v>F</v>
      </c>
      <c r="E17" s="45">
        <f>'Test Grade'!C17</f>
        <v>0</v>
      </c>
      <c r="F17" s="45">
        <f>'Quiz Grade'!C17</f>
        <v>0</v>
      </c>
      <c r="G17" s="45">
        <f>'Notebook Grade'!C17</f>
        <v>0</v>
      </c>
      <c r="H17" s="45">
        <f>'Homework Grade'!C17</f>
        <v>0</v>
      </c>
      <c r="I17" s="46">
        <f>'Homework Grade'!E17</f>
        <v>5</v>
      </c>
      <c r="J17" s="45">
        <f>'Participation Grade'!C17</f>
        <v>0</v>
      </c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Z17" s="14"/>
      <c r="AA17" s="58"/>
      <c r="AB17" s="14"/>
      <c r="AC17" s="58"/>
    </row>
    <row r="18" spans="1:37" hidden="1" x14ac:dyDescent="0.25">
      <c r="A18" s="3">
        <f>Names!$A:$A</f>
        <v>13</v>
      </c>
      <c r="B18" s="3">
        <f>Names!$B:$B</f>
        <v>0</v>
      </c>
      <c r="C18" s="44">
        <f>ROUND(((E18*E5)+(F18*F5)+(G18*G5)+(H18*H5)+(J18*J5)),2)</f>
        <v>0</v>
      </c>
      <c r="D18" s="31" t="str">
        <f t="shared" si="0"/>
        <v>F</v>
      </c>
      <c r="E18" s="45">
        <f>'Test Grade'!C18</f>
        <v>0</v>
      </c>
      <c r="F18" s="45">
        <f>'Quiz Grade'!C18</f>
        <v>0</v>
      </c>
      <c r="G18" s="45">
        <f>'Notebook Grade'!C18</f>
        <v>0</v>
      </c>
      <c r="H18" s="45">
        <f>'Homework Grade'!C18</f>
        <v>0</v>
      </c>
      <c r="I18" s="46">
        <f>'Homework Grade'!E18</f>
        <v>5</v>
      </c>
      <c r="J18" s="45">
        <f>'Participation Grade'!C18</f>
        <v>0</v>
      </c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Z18" s="14"/>
      <c r="AA18" s="58"/>
      <c r="AB18" s="14"/>
      <c r="AC18" s="58"/>
    </row>
    <row r="19" spans="1:37" hidden="1" x14ac:dyDescent="0.25">
      <c r="A19" s="3">
        <f>Names!$A:$A</f>
        <v>14</v>
      </c>
      <c r="B19" s="3">
        <f>Names!$B:$B</f>
        <v>0</v>
      </c>
      <c r="C19" s="44">
        <f>ROUND(((E19*E5)+(F19*F5)+(G19*G5)+(H19*H5)+(J19*J5)),2)</f>
        <v>0</v>
      </c>
      <c r="D19" s="31" t="str">
        <f t="shared" si="0"/>
        <v>F</v>
      </c>
      <c r="E19" s="45">
        <f>'Test Grade'!C19</f>
        <v>0</v>
      </c>
      <c r="F19" s="45">
        <f>'Quiz Grade'!C19</f>
        <v>0</v>
      </c>
      <c r="G19" s="45">
        <f>'Notebook Grade'!C19</f>
        <v>0</v>
      </c>
      <c r="H19" s="45">
        <f>'Homework Grade'!C19</f>
        <v>0</v>
      </c>
      <c r="I19" s="46">
        <f>'Homework Grade'!E19</f>
        <v>5</v>
      </c>
      <c r="J19" s="45">
        <f>'Participation Grade'!C19</f>
        <v>0</v>
      </c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</row>
    <row r="20" spans="1:37" hidden="1" x14ac:dyDescent="0.25">
      <c r="A20" s="3">
        <f>Names!$A:$A</f>
        <v>15</v>
      </c>
      <c r="B20" s="3">
        <f>Names!$B:$B</f>
        <v>0</v>
      </c>
      <c r="C20" s="44">
        <f>ROUND(((E20*E5)+(F20*F5)+(G20*G5)+(H20*H5)+(J20*J5)),2)</f>
        <v>0</v>
      </c>
      <c r="D20" s="31" t="str">
        <f t="shared" si="0"/>
        <v>F</v>
      </c>
      <c r="E20" s="45">
        <f>'Test Grade'!C20</f>
        <v>0</v>
      </c>
      <c r="F20" s="45">
        <f>'Quiz Grade'!C20</f>
        <v>0</v>
      </c>
      <c r="G20" s="45">
        <f>'Notebook Grade'!C20</f>
        <v>0</v>
      </c>
      <c r="H20" s="45">
        <f>'Homework Grade'!C20</f>
        <v>0</v>
      </c>
      <c r="I20" s="46">
        <f>'Homework Grade'!E20</f>
        <v>5</v>
      </c>
      <c r="J20" s="45">
        <f>'Participation Grade'!C20</f>
        <v>0</v>
      </c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</row>
    <row r="21" spans="1:37" hidden="1" x14ac:dyDescent="0.25">
      <c r="A21" s="3">
        <f>Names!$A:$A</f>
        <v>16</v>
      </c>
      <c r="B21" s="3">
        <f>Names!$B:$B</f>
        <v>0</v>
      </c>
      <c r="C21" s="44">
        <f>ROUND(((E21*E5)+(F21*F5)+(G21*G5)+(H21*H5)+(J21*J5)),2)</f>
        <v>0</v>
      </c>
      <c r="D21" s="31" t="str">
        <f t="shared" si="0"/>
        <v>F</v>
      </c>
      <c r="E21" s="45">
        <f>'Test Grade'!C21</f>
        <v>0</v>
      </c>
      <c r="F21" s="45">
        <f>'Quiz Grade'!C21</f>
        <v>0</v>
      </c>
      <c r="G21" s="45">
        <f>'Notebook Grade'!C21</f>
        <v>0</v>
      </c>
      <c r="H21" s="45">
        <f>'Homework Grade'!C21</f>
        <v>0</v>
      </c>
      <c r="I21" s="46">
        <f>'Homework Grade'!E21</f>
        <v>5</v>
      </c>
      <c r="J21" s="45">
        <f>'Participation Grade'!C21</f>
        <v>0</v>
      </c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  <row r="22" spans="1:37" ht="13" hidden="1" x14ac:dyDescent="0.3">
      <c r="A22" s="3">
        <f>Names!$A:$A</f>
        <v>17</v>
      </c>
      <c r="B22" s="3">
        <f>Names!$B:$B</f>
        <v>0</v>
      </c>
      <c r="C22" s="44">
        <f>ROUND(((E22*E5)+(F22*F5)+(G22*G5)+(H22*H5)+(J22*J5)),2)</f>
        <v>0</v>
      </c>
      <c r="D22" s="31" t="str">
        <f t="shared" si="0"/>
        <v>F</v>
      </c>
      <c r="E22" s="45">
        <f>'Test Grade'!C22</f>
        <v>0</v>
      </c>
      <c r="F22" s="45">
        <f>'Quiz Grade'!C22</f>
        <v>0</v>
      </c>
      <c r="G22" s="45">
        <f>'Notebook Grade'!C22</f>
        <v>0</v>
      </c>
      <c r="H22" s="45">
        <f>'Homework Grade'!C22</f>
        <v>0</v>
      </c>
      <c r="I22" s="46">
        <f>'Homework Grade'!E22</f>
        <v>5</v>
      </c>
      <c r="J22" s="45">
        <f>'Participation Grade'!C22</f>
        <v>0</v>
      </c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Z22" s="282" t="s">
        <v>64</v>
      </c>
      <c r="AA22" s="282"/>
      <c r="AB22" s="282"/>
      <c r="AC22" s="282"/>
      <c r="AD22" s="282"/>
      <c r="AE22" s="282"/>
      <c r="AF22" s="282"/>
      <c r="AG22" s="282"/>
      <c r="AH22" s="282"/>
      <c r="AI22" s="282"/>
      <c r="AJ22" s="282"/>
      <c r="AK22" s="282"/>
    </row>
    <row r="23" spans="1:37" hidden="1" x14ac:dyDescent="0.25">
      <c r="A23" s="3">
        <f>Names!$A:$A</f>
        <v>18</v>
      </c>
      <c r="B23" s="3">
        <f>Names!$B:$B</f>
        <v>0</v>
      </c>
      <c r="C23" s="44">
        <f>ROUND(((E23*E5)+(F23*F5)+(G23*G5)+(H23*H5)+(J23*J5)),2)</f>
        <v>0</v>
      </c>
      <c r="D23" s="31" t="str">
        <f t="shared" si="0"/>
        <v>F</v>
      </c>
      <c r="E23" s="45">
        <f>'Test Grade'!C23</f>
        <v>0</v>
      </c>
      <c r="F23" s="45">
        <f>'Quiz Grade'!C23</f>
        <v>0</v>
      </c>
      <c r="G23" s="45">
        <f>'Notebook Grade'!C23</f>
        <v>0</v>
      </c>
      <c r="H23" s="45">
        <f>'Homework Grade'!C23</f>
        <v>0</v>
      </c>
      <c r="I23" s="46">
        <f>'Homework Grade'!E23</f>
        <v>5</v>
      </c>
      <c r="J23" s="45">
        <f>'Participation Grade'!C23</f>
        <v>0</v>
      </c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spans="1:37" hidden="1" x14ac:dyDescent="0.25">
      <c r="A24" s="3">
        <f>Names!$A:$A</f>
        <v>19</v>
      </c>
      <c r="B24" s="3">
        <f>Names!$B:$B</f>
        <v>0</v>
      </c>
      <c r="C24" s="44">
        <f>ROUND(((E24*E5)+(F24*F5)+(G24*G5)+(H24*H5)+(J24*J5)),2)</f>
        <v>0</v>
      </c>
      <c r="D24" s="31" t="str">
        <f t="shared" si="0"/>
        <v>F</v>
      </c>
      <c r="E24" s="45">
        <f>'Test Grade'!C24</f>
        <v>0</v>
      </c>
      <c r="F24" s="45">
        <f>'Quiz Grade'!C24</f>
        <v>0</v>
      </c>
      <c r="G24" s="45">
        <f>'Notebook Grade'!C24</f>
        <v>0</v>
      </c>
      <c r="H24" s="45">
        <f>'Homework Grade'!C24</f>
        <v>0</v>
      </c>
      <c r="I24" s="46">
        <f>'Homework Grade'!E24</f>
        <v>5</v>
      </c>
      <c r="J24" s="45">
        <f>'Participation Grade'!C24</f>
        <v>0</v>
      </c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Z24" s="78">
        <f>Names!W22</f>
        <v>0</v>
      </c>
      <c r="AA24" s="79">
        <f>Names!W21-0.0051</f>
        <v>0.69489999999999996</v>
      </c>
      <c r="AB24" s="79">
        <f>Names!W20-0.0051</f>
        <v>0.7349</v>
      </c>
      <c r="AC24" s="79">
        <f>Names!W19-0.0051</f>
        <v>0.76490000000000002</v>
      </c>
      <c r="AD24" s="79">
        <f>Names!W18-0.0051</f>
        <v>0.78490000000000004</v>
      </c>
      <c r="AE24" s="79">
        <f>Names!W17-0.0051</f>
        <v>0.82489999999999997</v>
      </c>
      <c r="AF24" s="79">
        <f>Names!W16-0.0051</f>
        <v>0.84489999999999998</v>
      </c>
      <c r="AG24" s="79">
        <f>Names!W15-0.0051</f>
        <v>0.8649</v>
      </c>
      <c r="AH24" s="79">
        <f>Names!W14-0.0051</f>
        <v>0.90490000000000004</v>
      </c>
      <c r="AI24" s="79">
        <f>Names!W13-0.0051</f>
        <v>0.92490000000000006</v>
      </c>
      <c r="AJ24" s="79">
        <f>Names!W12-0.0051</f>
        <v>0.94489999999999996</v>
      </c>
      <c r="AK24" s="80">
        <f>Names!W11-0.0051</f>
        <v>0.9849</v>
      </c>
    </row>
    <row r="25" spans="1:37" ht="13" hidden="1" thickBot="1" x14ac:dyDescent="0.3">
      <c r="A25" s="3">
        <f>Names!$A:$A</f>
        <v>20</v>
      </c>
      <c r="B25" s="3">
        <f>Names!$B:$B</f>
        <v>0</v>
      </c>
      <c r="C25" s="44">
        <f>ROUND(((E25*E5)+(F25*F5)+(G25*G5)+(H25*H5)+(J25*J5)),2)</f>
        <v>0</v>
      </c>
      <c r="D25" s="31" t="str">
        <f t="shared" si="0"/>
        <v>F</v>
      </c>
      <c r="E25" s="45">
        <f>'Test Grade'!C25</f>
        <v>0</v>
      </c>
      <c r="F25" s="45">
        <f>'Quiz Grade'!C25</f>
        <v>0</v>
      </c>
      <c r="G25" s="45">
        <f>'Notebook Grade'!C25</f>
        <v>0</v>
      </c>
      <c r="H25" s="45">
        <f>'Homework Grade'!C25</f>
        <v>0</v>
      </c>
      <c r="I25" s="46">
        <f>'Homework Grade'!E25</f>
        <v>5</v>
      </c>
      <c r="J25" s="45">
        <f>'Participation Grade'!C25</f>
        <v>0</v>
      </c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Z25" s="81" t="s">
        <v>26</v>
      </c>
      <c r="AA25" s="16" t="s">
        <v>25</v>
      </c>
      <c r="AB25" s="16" t="s">
        <v>24</v>
      </c>
      <c r="AC25" s="16" t="s">
        <v>23</v>
      </c>
      <c r="AD25" s="16" t="s">
        <v>22</v>
      </c>
      <c r="AE25" s="16" t="s">
        <v>21</v>
      </c>
      <c r="AF25" s="16" t="s">
        <v>20</v>
      </c>
      <c r="AG25" s="16" t="s">
        <v>19</v>
      </c>
      <c r="AH25" s="16" t="s">
        <v>18</v>
      </c>
      <c r="AI25" s="16" t="s">
        <v>16</v>
      </c>
      <c r="AJ25" s="16" t="s">
        <v>17</v>
      </c>
      <c r="AK25" s="82" t="s">
        <v>15</v>
      </c>
    </row>
    <row r="26" spans="1:37" hidden="1" x14ac:dyDescent="0.25">
      <c r="A26" s="3">
        <f>Names!$A:$A</f>
        <v>21</v>
      </c>
      <c r="B26" s="3">
        <f>Names!$B:$B</f>
        <v>0</v>
      </c>
      <c r="C26" s="44">
        <f>ROUND(((E26*E5)+(F26*F5)+(G26*G5)+(H26*H5)+(J26*J5)),2)</f>
        <v>0</v>
      </c>
      <c r="D26" s="31" t="str">
        <f t="shared" si="0"/>
        <v>F</v>
      </c>
      <c r="E26" s="45">
        <f>'Test Grade'!C26</f>
        <v>0</v>
      </c>
      <c r="F26" s="45">
        <f>'Quiz Grade'!C26</f>
        <v>0</v>
      </c>
      <c r="G26" s="45">
        <f>'Notebook Grade'!C26</f>
        <v>0</v>
      </c>
      <c r="H26" s="45">
        <f>'Homework Grade'!C26</f>
        <v>0</v>
      </c>
      <c r="I26" s="46">
        <f>'Homework Grade'!E26</f>
        <v>5</v>
      </c>
      <c r="J26" s="45">
        <f>'Participation Grade'!C26</f>
        <v>0</v>
      </c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</row>
    <row r="27" spans="1:37" hidden="1" x14ac:dyDescent="0.25">
      <c r="A27" s="3">
        <f>Names!$A:$A</f>
        <v>22</v>
      </c>
      <c r="B27" s="3">
        <f>Names!$B:$B</f>
        <v>0</v>
      </c>
      <c r="C27" s="44">
        <f>ROUND(((E27*E5)+(F27*F5)+(G27*G5)+(H27*H5)+(J27*J5)),2)</f>
        <v>0</v>
      </c>
      <c r="D27" s="31" t="str">
        <f t="shared" si="0"/>
        <v>F</v>
      </c>
      <c r="E27" s="45">
        <f>'Test Grade'!C27</f>
        <v>0</v>
      </c>
      <c r="F27" s="45">
        <f>'Quiz Grade'!C27</f>
        <v>0</v>
      </c>
      <c r="G27" s="45">
        <f>'Notebook Grade'!C27</f>
        <v>0</v>
      </c>
      <c r="H27" s="45">
        <f>'Homework Grade'!C27</f>
        <v>0</v>
      </c>
      <c r="I27" s="46">
        <f>'Homework Grade'!E27</f>
        <v>5</v>
      </c>
      <c r="J27" s="45">
        <f>'Participation Grade'!C27</f>
        <v>0</v>
      </c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</row>
    <row r="28" spans="1:37" hidden="1" x14ac:dyDescent="0.25">
      <c r="A28" s="3">
        <f>Names!$A:$A</f>
        <v>23</v>
      </c>
      <c r="B28" s="3">
        <f>Names!$B:$B</f>
        <v>0</v>
      </c>
      <c r="C28" s="44">
        <f>ROUND(((E28*E5)+(F28*F5)+(G28*G5)+(H28*H5)+(J28*J5)),2)</f>
        <v>0</v>
      </c>
      <c r="D28" s="31" t="str">
        <f t="shared" si="0"/>
        <v>F</v>
      </c>
      <c r="E28" s="45">
        <f>'Test Grade'!C28</f>
        <v>0</v>
      </c>
      <c r="F28" s="45">
        <f>'Quiz Grade'!C28</f>
        <v>0</v>
      </c>
      <c r="G28" s="45">
        <f>'Notebook Grade'!C28</f>
        <v>0</v>
      </c>
      <c r="H28" s="45">
        <f>'Homework Grade'!C28</f>
        <v>0</v>
      </c>
      <c r="I28" s="46">
        <f>'Homework Grade'!E28</f>
        <v>5</v>
      </c>
      <c r="J28" s="45">
        <f>'Participation Grade'!C28</f>
        <v>0</v>
      </c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</row>
    <row r="29" spans="1:37" hidden="1" x14ac:dyDescent="0.25">
      <c r="A29" s="3">
        <f>Names!$A:$A</f>
        <v>24</v>
      </c>
      <c r="B29" s="3">
        <f>Names!$B:$B</f>
        <v>0</v>
      </c>
      <c r="C29" s="44">
        <f>ROUND(((E29*E5)+(F29*F5)+(G29*G5)+(H29*H5)+(J29*J5)),2)</f>
        <v>0</v>
      </c>
      <c r="D29" s="31" t="str">
        <f t="shared" si="0"/>
        <v>F</v>
      </c>
      <c r="E29" s="45">
        <f>'Test Grade'!C29</f>
        <v>0</v>
      </c>
      <c r="F29" s="45">
        <f>'Quiz Grade'!C29</f>
        <v>0</v>
      </c>
      <c r="G29" s="45">
        <f>'Notebook Grade'!C29</f>
        <v>0</v>
      </c>
      <c r="H29" s="45">
        <f>'Homework Grade'!C29</f>
        <v>0</v>
      </c>
      <c r="I29" s="46">
        <f>'Homework Grade'!E29</f>
        <v>5</v>
      </c>
      <c r="J29" s="45">
        <f>'Participation Grade'!C29</f>
        <v>0</v>
      </c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</row>
    <row r="30" spans="1:37" hidden="1" x14ac:dyDescent="0.25">
      <c r="A30" s="3">
        <f>Names!$A:$A</f>
        <v>25</v>
      </c>
      <c r="B30" s="3">
        <f>Names!$B:$B</f>
        <v>0</v>
      </c>
      <c r="C30" s="44">
        <f>ROUND(((E30*E5)+(F30*F5)+(G30*G5)+(H30*H5)+(J30*J5)),2)</f>
        <v>0</v>
      </c>
      <c r="D30" s="31" t="str">
        <f t="shared" si="0"/>
        <v>F</v>
      </c>
      <c r="E30" s="45">
        <f>'Test Grade'!C30</f>
        <v>0</v>
      </c>
      <c r="F30" s="45">
        <f>'Quiz Grade'!C30</f>
        <v>0</v>
      </c>
      <c r="G30" s="45">
        <f>'Notebook Grade'!C30</f>
        <v>0</v>
      </c>
      <c r="H30" s="45">
        <f>'Homework Grade'!C30</f>
        <v>0</v>
      </c>
      <c r="I30" s="46">
        <f>'Homework Grade'!E30</f>
        <v>5</v>
      </c>
      <c r="J30" s="45">
        <f>'Participation Grade'!C30</f>
        <v>0</v>
      </c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</row>
    <row r="31" spans="1:37" hidden="1" x14ac:dyDescent="0.25">
      <c r="A31" s="3">
        <f>Names!$A:$A</f>
        <v>26</v>
      </c>
      <c r="B31" s="3">
        <f>Names!$B:$B</f>
        <v>0</v>
      </c>
      <c r="C31" s="44">
        <f>ROUND(((E31*E5)+(F31*F5)+(G31*G5)+(H31*H5)+(J31*J5)),2)</f>
        <v>0</v>
      </c>
      <c r="D31" s="31" t="str">
        <f t="shared" si="0"/>
        <v>F</v>
      </c>
      <c r="E31" s="45">
        <f>'Test Grade'!C31</f>
        <v>0</v>
      </c>
      <c r="F31" s="45">
        <f>'Quiz Grade'!C31</f>
        <v>0</v>
      </c>
      <c r="G31" s="45">
        <f>'Notebook Grade'!C31</f>
        <v>0</v>
      </c>
      <c r="H31" s="45">
        <f>'Homework Grade'!C31</f>
        <v>0</v>
      </c>
      <c r="I31" s="46">
        <f>'Homework Grade'!E31</f>
        <v>5</v>
      </c>
      <c r="J31" s="45">
        <f>'Participation Grade'!C31</f>
        <v>0</v>
      </c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</row>
    <row r="32" spans="1:37" hidden="1" x14ac:dyDescent="0.25">
      <c r="A32" s="3">
        <f>Names!$A:$A</f>
        <v>27</v>
      </c>
      <c r="B32" s="3">
        <f>Names!$B:$B</f>
        <v>0</v>
      </c>
      <c r="C32" s="44">
        <f>ROUND(((E32*E5)+(F32*F5)+(G32*G5)+(H32*H5)+(J32*J5)),2)</f>
        <v>0</v>
      </c>
      <c r="D32" s="31" t="str">
        <f t="shared" si="0"/>
        <v>F</v>
      </c>
      <c r="E32" s="45">
        <f>'Test Grade'!C32</f>
        <v>0</v>
      </c>
      <c r="F32" s="45">
        <f>'Quiz Grade'!C32</f>
        <v>0</v>
      </c>
      <c r="G32" s="45">
        <f>'Notebook Grade'!C32</f>
        <v>0</v>
      </c>
      <c r="H32" s="45">
        <f>'Homework Grade'!C32</f>
        <v>0</v>
      </c>
      <c r="I32" s="46">
        <f>'Homework Grade'!E32</f>
        <v>5</v>
      </c>
      <c r="J32" s="45">
        <f>'Participation Grade'!C32</f>
        <v>0</v>
      </c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</row>
    <row r="33" spans="1:23" hidden="1" x14ac:dyDescent="0.25">
      <c r="A33" s="3">
        <f>Names!$A:$A</f>
        <v>28</v>
      </c>
      <c r="B33" s="3">
        <f>Names!$B:$B</f>
        <v>0</v>
      </c>
      <c r="C33" s="44">
        <f>ROUND(((E33*E5)+(F33*F5)+(G33*G5)+(H33*H5)+(J33*J5)),2)</f>
        <v>0</v>
      </c>
      <c r="D33" s="31" t="str">
        <f t="shared" si="0"/>
        <v>F</v>
      </c>
      <c r="E33" s="45">
        <f>'Test Grade'!C33</f>
        <v>0</v>
      </c>
      <c r="F33" s="45">
        <f>'Quiz Grade'!C33</f>
        <v>0</v>
      </c>
      <c r="G33" s="45">
        <f>'Notebook Grade'!C33</f>
        <v>0</v>
      </c>
      <c r="H33" s="45">
        <f>'Homework Grade'!C33</f>
        <v>0</v>
      </c>
      <c r="I33" s="46">
        <f>'Homework Grade'!E33</f>
        <v>5</v>
      </c>
      <c r="J33" s="45">
        <f>'Participation Grade'!C33</f>
        <v>0</v>
      </c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</row>
    <row r="34" spans="1:23" hidden="1" x14ac:dyDescent="0.25">
      <c r="A34" s="3">
        <f>Names!$A:$A</f>
        <v>29</v>
      </c>
      <c r="B34" s="3">
        <f>Names!$B:$B</f>
        <v>0</v>
      </c>
      <c r="C34" s="44">
        <f>ROUND(((E34*E5)+(F34*F5)+(G34*G5)+(H34*H5)+(J34*J5)),2)</f>
        <v>0</v>
      </c>
      <c r="D34" s="31" t="str">
        <f t="shared" si="0"/>
        <v>F</v>
      </c>
      <c r="E34" s="45">
        <f>'Test Grade'!C34</f>
        <v>0</v>
      </c>
      <c r="F34" s="45">
        <f>'Quiz Grade'!C34</f>
        <v>0</v>
      </c>
      <c r="G34" s="45">
        <f>'Notebook Grade'!C34</f>
        <v>0</v>
      </c>
      <c r="H34" s="45">
        <f>'Homework Grade'!C34</f>
        <v>0</v>
      </c>
      <c r="I34" s="46">
        <f>'Homework Grade'!E34</f>
        <v>5</v>
      </c>
      <c r="J34" s="45">
        <f>'Participation Grade'!C34</f>
        <v>0</v>
      </c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</row>
    <row r="35" spans="1:23" hidden="1" x14ac:dyDescent="0.25">
      <c r="A35" s="3">
        <f>Names!$A:$A</f>
        <v>30</v>
      </c>
      <c r="B35" s="3">
        <f>Names!$B:$B</f>
        <v>0</v>
      </c>
      <c r="C35" s="44">
        <f>ROUND(((E35*E5)+(F35*F5)+(G35*G5)+(H35*H5)+(J35*J5)),2)</f>
        <v>0</v>
      </c>
      <c r="D35" s="31" t="str">
        <f t="shared" si="0"/>
        <v>F</v>
      </c>
      <c r="E35" s="45">
        <f>'Test Grade'!C35</f>
        <v>0</v>
      </c>
      <c r="F35" s="45">
        <f>'Quiz Grade'!C35</f>
        <v>0</v>
      </c>
      <c r="G35" s="45">
        <f>'Notebook Grade'!C35</f>
        <v>0</v>
      </c>
      <c r="H35" s="45">
        <f>'Homework Grade'!C35</f>
        <v>0</v>
      </c>
      <c r="I35" s="46">
        <f>'Homework Grade'!E35</f>
        <v>5</v>
      </c>
      <c r="J35" s="45">
        <f>'Participation Grade'!C35</f>
        <v>0</v>
      </c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</row>
    <row r="36" spans="1:23" hidden="1" x14ac:dyDescent="0.25">
      <c r="A36" s="3">
        <f>Names!$A:$A</f>
        <v>31</v>
      </c>
      <c r="B36" s="3">
        <f>Names!$B:$B</f>
        <v>0</v>
      </c>
      <c r="C36" s="44">
        <f>ROUND(((E36*E5)+(F36*F5)+(G36*G5)+(H36*H5)+(J36*J5)),2)</f>
        <v>0</v>
      </c>
      <c r="D36" s="31" t="str">
        <f t="shared" si="0"/>
        <v>F</v>
      </c>
      <c r="E36" s="45">
        <f>'Test Grade'!C36</f>
        <v>0</v>
      </c>
      <c r="F36" s="45">
        <f>'Quiz Grade'!C36</f>
        <v>0</v>
      </c>
      <c r="G36" s="45">
        <f>'Notebook Grade'!C36</f>
        <v>0</v>
      </c>
      <c r="H36" s="45">
        <f>'Homework Grade'!C36</f>
        <v>0</v>
      </c>
      <c r="I36" s="46">
        <f>'Homework Grade'!E36</f>
        <v>5</v>
      </c>
      <c r="J36" s="45">
        <f>'Participation Grade'!C36</f>
        <v>0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</row>
    <row r="37" spans="1:23" hidden="1" x14ac:dyDescent="0.25">
      <c r="A37" s="3">
        <f>Names!$A:$A</f>
        <v>32</v>
      </c>
      <c r="B37" s="3">
        <f>Names!$B:$B</f>
        <v>0</v>
      </c>
      <c r="C37" s="44">
        <f>ROUND(((E37*E5)+(F37*F5)+(G37*G5)+(H37*H5)+(J37*J5)),2)</f>
        <v>0</v>
      </c>
      <c r="D37" s="31" t="str">
        <f t="shared" si="0"/>
        <v>F</v>
      </c>
      <c r="E37" s="45">
        <f>'Test Grade'!C37</f>
        <v>0</v>
      </c>
      <c r="F37" s="45">
        <f>'Quiz Grade'!C37</f>
        <v>0</v>
      </c>
      <c r="G37" s="45">
        <f>'Notebook Grade'!C37</f>
        <v>0</v>
      </c>
      <c r="H37" s="45">
        <f>'Homework Grade'!C37</f>
        <v>0</v>
      </c>
      <c r="I37" s="46">
        <f>'Homework Grade'!E37</f>
        <v>5</v>
      </c>
      <c r="J37" s="45">
        <f>'Participation Grade'!C37</f>
        <v>0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</row>
    <row r="38" spans="1:23" hidden="1" x14ac:dyDescent="0.25">
      <c r="A38" s="3">
        <f>Names!$A:$A</f>
        <v>33</v>
      </c>
      <c r="B38" s="3">
        <f>Names!$B:$B</f>
        <v>0</v>
      </c>
      <c r="C38" s="44">
        <f>ROUND(((E38*E5)+(F38*F5)+(G38*G5)+(H38*H5)+(J38*J5)),2)</f>
        <v>0</v>
      </c>
      <c r="D38" s="31" t="str">
        <f t="shared" si="0"/>
        <v>F</v>
      </c>
      <c r="E38" s="45">
        <f>'Test Grade'!C38</f>
        <v>0</v>
      </c>
      <c r="F38" s="45">
        <f>'Quiz Grade'!C38</f>
        <v>0</v>
      </c>
      <c r="G38" s="45">
        <f>'Notebook Grade'!C38</f>
        <v>0</v>
      </c>
      <c r="H38" s="45">
        <f>'Homework Grade'!C38</f>
        <v>0</v>
      </c>
      <c r="I38" s="46">
        <f>'Homework Grade'!E38</f>
        <v>5</v>
      </c>
      <c r="J38" s="45">
        <f>'Participation Grade'!C38</f>
        <v>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</row>
    <row r="39" spans="1:23" hidden="1" x14ac:dyDescent="0.25">
      <c r="A39" s="3">
        <f>Names!$A:$A</f>
        <v>34</v>
      </c>
      <c r="B39" s="3">
        <f>Names!$B:$B</f>
        <v>0</v>
      </c>
      <c r="C39" s="44">
        <f>ROUND(((E39*E5)+(F39*F5)+(G39*G5)+(H39*H5)+(J39*J5)),2)</f>
        <v>0</v>
      </c>
      <c r="D39" s="31" t="str">
        <f t="shared" si="0"/>
        <v>F</v>
      </c>
      <c r="E39" s="45">
        <f>'Test Grade'!C39</f>
        <v>0</v>
      </c>
      <c r="F39" s="45">
        <f>'Quiz Grade'!C39</f>
        <v>0</v>
      </c>
      <c r="G39" s="45">
        <f>'Notebook Grade'!C39</f>
        <v>0</v>
      </c>
      <c r="H39" s="45">
        <f>'Homework Grade'!C39</f>
        <v>0</v>
      </c>
      <c r="I39" s="46">
        <f>'Homework Grade'!E39</f>
        <v>5</v>
      </c>
      <c r="J39" s="45">
        <f>'Participation Grade'!C39</f>
        <v>0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</row>
    <row r="40" spans="1:23" ht="13" hidden="1" thickBot="1" x14ac:dyDescent="0.3">
      <c r="A40" s="3">
        <f>Names!$A:$A</f>
        <v>35</v>
      </c>
      <c r="B40" s="3">
        <f>Names!$B:$B</f>
        <v>0</v>
      </c>
      <c r="C40" s="47">
        <f>ROUND(((E40*E5)+(F40*F5)+(G40*G5)+(H40*H5)+(J40*J5)),2)</f>
        <v>0</v>
      </c>
      <c r="D40" s="34" t="str">
        <f t="shared" si="0"/>
        <v>F</v>
      </c>
      <c r="E40" s="45">
        <f>'Test Grade'!C40</f>
        <v>0</v>
      </c>
      <c r="F40" s="45">
        <f>'Quiz Grade'!C40</f>
        <v>0</v>
      </c>
      <c r="G40" s="45">
        <f>'Notebook Grade'!C40</f>
        <v>0</v>
      </c>
      <c r="H40" s="45">
        <f>'Homework Grade'!C40</f>
        <v>0</v>
      </c>
      <c r="I40" s="46">
        <f>'Homework Grade'!E40</f>
        <v>5</v>
      </c>
      <c r="J40" s="45">
        <f>'Participation Grade'!C40</f>
        <v>0</v>
      </c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</row>
    <row r="41" spans="1:23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</row>
    <row r="42" spans="1:23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</row>
    <row r="43" spans="1:23" x14ac:dyDescent="0.25">
      <c r="A43" s="29"/>
      <c r="B43" s="279"/>
      <c r="C43" s="279"/>
      <c r="D43" s="279"/>
      <c r="E43" s="279"/>
      <c r="F43" s="279"/>
      <c r="G43" s="279"/>
      <c r="H43" s="279"/>
      <c r="I43" s="27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</row>
    <row r="44" spans="1:23" ht="13" x14ac:dyDescent="0.3">
      <c r="A44" s="29"/>
      <c r="B44" s="235" t="s">
        <v>115</v>
      </c>
      <c r="C44" s="236">
        <f>COUNT('Test Grade'!E5:N5)</f>
        <v>2</v>
      </c>
      <c r="D44" s="271" t="s">
        <v>116</v>
      </c>
      <c r="E44" s="271"/>
      <c r="F44" s="271"/>
      <c r="G44" s="102"/>
      <c r="H44" s="102"/>
      <c r="I44" s="102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</row>
    <row r="45" spans="1:23" ht="13" x14ac:dyDescent="0.3">
      <c r="A45" s="29"/>
      <c r="B45" s="235" t="s">
        <v>115</v>
      </c>
      <c r="C45" s="237">
        <f>COUNT('Quiz Grade'!E5:R5)</f>
        <v>2</v>
      </c>
      <c r="D45" s="271" t="s">
        <v>117</v>
      </c>
      <c r="E45" s="271"/>
      <c r="F45" s="271"/>
      <c r="G45" s="234"/>
      <c r="H45" s="234"/>
      <c r="I45" s="234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</row>
    <row r="46" spans="1:23" x14ac:dyDescent="0.2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</row>
    <row r="47" spans="1:23" ht="13" x14ac:dyDescent="0.3">
      <c r="A47" s="32"/>
      <c r="B47" s="33" t="s">
        <v>34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</row>
    <row r="48" spans="1:23" x14ac:dyDescent="0.25">
      <c r="A48" s="32"/>
      <c r="B48" s="275" t="s">
        <v>103</v>
      </c>
      <c r="C48" s="275"/>
      <c r="D48" s="275"/>
      <c r="E48" s="275"/>
      <c r="F48" s="275"/>
      <c r="G48" s="275"/>
      <c r="H48" s="275"/>
      <c r="I48" s="275"/>
      <c r="J48" s="275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</row>
    <row r="49" spans="1:23" x14ac:dyDescent="0.25">
      <c r="A49" s="32"/>
      <c r="B49" s="275"/>
      <c r="C49" s="275"/>
      <c r="D49" s="275"/>
      <c r="E49" s="275"/>
      <c r="F49" s="275"/>
      <c r="G49" s="275"/>
      <c r="H49" s="275"/>
      <c r="I49" s="275"/>
      <c r="J49" s="275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</row>
    <row r="50" spans="1:23" x14ac:dyDescent="0.25">
      <c r="A50" s="32"/>
      <c r="B50" s="275"/>
      <c r="C50" s="275"/>
      <c r="D50" s="275"/>
      <c r="E50" s="275"/>
      <c r="F50" s="275"/>
      <c r="G50" s="275"/>
      <c r="H50" s="275"/>
      <c r="I50" s="275"/>
      <c r="J50" s="275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</row>
    <row r="51" spans="1:23" x14ac:dyDescent="0.25">
      <c r="A51" s="32"/>
      <c r="B51" s="275"/>
      <c r="C51" s="275"/>
      <c r="D51" s="275"/>
      <c r="E51" s="275"/>
      <c r="F51" s="275"/>
      <c r="G51" s="275"/>
      <c r="H51" s="275"/>
      <c r="I51" s="275"/>
      <c r="J51" s="275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</row>
    <row r="52" spans="1:23" ht="13" x14ac:dyDescent="0.3">
      <c r="A52" s="32"/>
      <c r="B52" s="275" t="s">
        <v>104</v>
      </c>
      <c r="C52" s="275"/>
      <c r="D52" s="275"/>
      <c r="E52" s="275"/>
      <c r="F52" s="275"/>
      <c r="G52" s="275"/>
      <c r="H52" s="275"/>
      <c r="I52" s="275"/>
      <c r="J52" s="275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</row>
    <row r="53" spans="1:23" ht="13" x14ac:dyDescent="0.3">
      <c r="A53" s="32"/>
      <c r="B53" s="275"/>
      <c r="C53" s="275"/>
      <c r="D53" s="275"/>
      <c r="E53" s="275"/>
      <c r="F53" s="275"/>
      <c r="G53" s="275"/>
      <c r="H53" s="275"/>
      <c r="I53" s="275"/>
      <c r="J53" s="275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</row>
    <row r="54" spans="1:23" ht="13" x14ac:dyDescent="0.3">
      <c r="A54" s="32"/>
      <c r="B54" s="275"/>
      <c r="C54" s="275"/>
      <c r="D54" s="275"/>
      <c r="E54" s="275"/>
      <c r="F54" s="275"/>
      <c r="G54" s="275"/>
      <c r="H54" s="275"/>
      <c r="I54" s="275"/>
      <c r="J54" s="275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</row>
    <row r="55" spans="1:23" ht="13" x14ac:dyDescent="0.3">
      <c r="A55" s="32"/>
      <c r="B55" s="275"/>
      <c r="C55" s="275"/>
      <c r="D55" s="275"/>
      <c r="E55" s="275"/>
      <c r="F55" s="275"/>
      <c r="G55" s="275"/>
      <c r="H55" s="275"/>
      <c r="I55" s="275"/>
      <c r="J55" s="275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</row>
    <row r="56" spans="1:23" ht="13.5" thickBot="1" x14ac:dyDescent="0.35">
      <c r="A56" s="32"/>
      <c r="B56" s="287" t="s">
        <v>51</v>
      </c>
      <c r="C56" s="287"/>
      <c r="D56" s="287"/>
      <c r="E56" s="287"/>
      <c r="F56" s="287"/>
      <c r="G56" s="287"/>
      <c r="H56" s="287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</row>
    <row r="57" spans="1:23" ht="13.5" thickBot="1" x14ac:dyDescent="0.35">
      <c r="A57" s="32"/>
      <c r="B57" s="174" t="s">
        <v>52</v>
      </c>
      <c r="C57" s="283" t="s">
        <v>57</v>
      </c>
      <c r="D57" s="283"/>
      <c r="E57" s="175" t="s">
        <v>58</v>
      </c>
      <c r="F57" s="283" t="s">
        <v>59</v>
      </c>
      <c r="G57" s="283"/>
      <c r="H57" s="284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</row>
    <row r="58" spans="1:23" ht="13" thickTop="1" x14ac:dyDescent="0.25">
      <c r="A58" s="32"/>
      <c r="B58" s="176" t="s">
        <v>9</v>
      </c>
      <c r="C58" s="52" t="s">
        <v>56</v>
      </c>
      <c r="D58" s="53" t="s">
        <v>55</v>
      </c>
      <c r="E58" s="54">
        <v>204</v>
      </c>
      <c r="F58" s="285" t="s">
        <v>60</v>
      </c>
      <c r="G58" s="285"/>
      <c r="H58" s="286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</row>
    <row r="59" spans="1:23" ht="13" thickBot="1" x14ac:dyDescent="0.3">
      <c r="A59" s="32"/>
      <c r="B59" s="177" t="s">
        <v>10</v>
      </c>
      <c r="C59" s="178" t="s">
        <v>53</v>
      </c>
      <c r="D59" s="179" t="s">
        <v>54</v>
      </c>
      <c r="E59" s="180">
        <v>206</v>
      </c>
      <c r="F59" s="277" t="s">
        <v>60</v>
      </c>
      <c r="G59" s="277"/>
      <c r="H59" s="278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</row>
    <row r="60" spans="1:23" x14ac:dyDescent="0.25">
      <c r="A60" s="32"/>
      <c r="B60" s="59"/>
      <c r="C60" s="32"/>
      <c r="D60" s="151"/>
      <c r="E60" s="59"/>
      <c r="F60" s="270"/>
      <c r="G60" s="270"/>
      <c r="H60" s="270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</row>
    <row r="61" spans="1:23" x14ac:dyDescent="0.25">
      <c r="A61" s="32"/>
      <c r="B61" s="59"/>
      <c r="C61" s="32"/>
      <c r="D61" s="151"/>
      <c r="E61" s="59"/>
      <c r="F61" s="270"/>
      <c r="G61" s="270"/>
      <c r="H61" s="270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</row>
    <row r="62" spans="1:23" x14ac:dyDescent="0.25">
      <c r="A62" s="32"/>
      <c r="B62" s="59"/>
      <c r="C62" s="32"/>
      <c r="D62" s="151"/>
      <c r="E62" s="59"/>
      <c r="F62" s="270"/>
      <c r="G62" s="270"/>
      <c r="H62" s="270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</row>
    <row r="63" spans="1:23" x14ac:dyDescent="0.25">
      <c r="A63" s="32"/>
      <c r="B63" s="276" t="s">
        <v>61</v>
      </c>
      <c r="C63" s="276"/>
      <c r="D63" s="276"/>
      <c r="E63" s="276"/>
      <c r="F63" s="276"/>
      <c r="G63" s="276"/>
      <c r="H63" s="276"/>
      <c r="I63" s="276"/>
      <c r="J63" s="276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</row>
    <row r="64" spans="1:23" x14ac:dyDescent="0.2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</row>
    <row r="65" spans="1:23" x14ac:dyDescent="0.2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</row>
    <row r="66" spans="1:23" x14ac:dyDescent="0.2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</row>
    <row r="67" spans="1:23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</row>
    <row r="68" spans="1:23" ht="13" thickBot="1" x14ac:dyDescent="0.3">
      <c r="A68" s="32"/>
      <c r="B68" s="32"/>
      <c r="C68" s="32"/>
      <c r="D68" s="32"/>
      <c r="E68" s="32"/>
      <c r="F68" s="29"/>
      <c r="G68" s="29" t="s">
        <v>31</v>
      </c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</row>
    <row r="69" spans="1:23" ht="13" x14ac:dyDescent="0.3">
      <c r="A69" s="32"/>
      <c r="B69" s="32" t="s">
        <v>35</v>
      </c>
      <c r="C69" s="32"/>
      <c r="D69" s="32"/>
      <c r="E69" s="32"/>
      <c r="F69" s="29"/>
      <c r="G69" s="66">
        <f>Names!U11</f>
        <v>1</v>
      </c>
      <c r="H69" s="72" t="str">
        <f>Names!V11</f>
        <v>to</v>
      </c>
      <c r="I69" s="67">
        <f>Names!W11</f>
        <v>0.99</v>
      </c>
      <c r="J69" s="75" t="str">
        <f>Names!X11</f>
        <v>A+</v>
      </c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</row>
    <row r="70" spans="1:23" ht="13" x14ac:dyDescent="0.3">
      <c r="A70" s="32"/>
      <c r="B70" s="32" t="s">
        <v>36</v>
      </c>
      <c r="C70" s="32"/>
      <c r="D70" s="32"/>
      <c r="E70" s="32"/>
      <c r="F70" s="29"/>
      <c r="G70" s="68">
        <f>Names!U12</f>
        <v>0.98</v>
      </c>
      <c r="H70" s="73" t="str">
        <f>Names!V12</f>
        <v>to</v>
      </c>
      <c r="I70" s="69">
        <f>Names!W12</f>
        <v>0.95</v>
      </c>
      <c r="J70" s="76" t="str">
        <f>Names!X12</f>
        <v>A</v>
      </c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</row>
    <row r="71" spans="1:23" ht="13" x14ac:dyDescent="0.3">
      <c r="A71" s="32"/>
      <c r="B71" s="32" t="s">
        <v>37</v>
      </c>
      <c r="C71" s="32"/>
      <c r="D71" s="32"/>
      <c r="E71" s="32"/>
      <c r="F71" s="29"/>
      <c r="G71" s="68">
        <f>Names!U13</f>
        <v>0.94</v>
      </c>
      <c r="H71" s="73" t="str">
        <f>Names!V13</f>
        <v>to</v>
      </c>
      <c r="I71" s="69">
        <f>Names!W13</f>
        <v>0.93</v>
      </c>
      <c r="J71" s="76" t="str">
        <f>Names!X13</f>
        <v>A-</v>
      </c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</row>
    <row r="72" spans="1:23" ht="13" x14ac:dyDescent="0.3">
      <c r="A72" s="32"/>
      <c r="B72" s="32"/>
      <c r="C72" s="32"/>
      <c r="D72" s="32"/>
      <c r="E72" s="32"/>
      <c r="F72" s="29"/>
      <c r="G72" s="68">
        <f>Names!U14</f>
        <v>0.92</v>
      </c>
      <c r="H72" s="73" t="str">
        <f>Names!V14</f>
        <v>to</v>
      </c>
      <c r="I72" s="69">
        <f>Names!W14</f>
        <v>0.91</v>
      </c>
      <c r="J72" s="76" t="str">
        <f>Names!X14</f>
        <v>B+</v>
      </c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</row>
    <row r="73" spans="1:23" ht="13" x14ac:dyDescent="0.3">
      <c r="A73" s="32"/>
      <c r="B73" s="32"/>
      <c r="C73" s="32"/>
      <c r="D73" s="32"/>
      <c r="E73" s="32"/>
      <c r="F73" s="29"/>
      <c r="G73" s="68">
        <f>Names!U15</f>
        <v>0.9</v>
      </c>
      <c r="H73" s="73" t="str">
        <f>Names!V15</f>
        <v>to</v>
      </c>
      <c r="I73" s="69">
        <f>Names!W15</f>
        <v>0.87</v>
      </c>
      <c r="J73" s="76" t="str">
        <f>Names!X15</f>
        <v>B</v>
      </c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</row>
    <row r="74" spans="1:23" ht="13" x14ac:dyDescent="0.3">
      <c r="A74" s="32"/>
      <c r="B74" s="152" t="s">
        <v>92</v>
      </c>
      <c r="C74" s="272" t="str">
        <f>Names!AA25</f>
        <v>447-2727 ext. 127</v>
      </c>
      <c r="D74" s="272"/>
      <c r="E74" s="272"/>
      <c r="F74" s="29"/>
      <c r="G74" s="68">
        <f>Names!U16</f>
        <v>0.86</v>
      </c>
      <c r="H74" s="73" t="str">
        <f>Names!V16</f>
        <v>to</v>
      </c>
      <c r="I74" s="69">
        <f>Names!W16</f>
        <v>0.85</v>
      </c>
      <c r="J74" s="76" t="str">
        <f>Names!X16</f>
        <v>B-</v>
      </c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</row>
    <row r="75" spans="1:23" ht="13" x14ac:dyDescent="0.3">
      <c r="A75" s="32"/>
      <c r="B75" s="152" t="s">
        <v>93</v>
      </c>
      <c r="C75" s="273" t="str">
        <f>Names!AA26</f>
        <v>mharmless@fcslafayette.org</v>
      </c>
      <c r="D75" s="274"/>
      <c r="E75" s="274"/>
      <c r="F75" s="29"/>
      <c r="G75" s="68">
        <f>Names!U17</f>
        <v>0.84</v>
      </c>
      <c r="H75" s="73" t="str">
        <f>Names!V17</f>
        <v>to</v>
      </c>
      <c r="I75" s="69">
        <f>Names!W17</f>
        <v>0.83</v>
      </c>
      <c r="J75" s="76" t="str">
        <f>Names!X17</f>
        <v>C+</v>
      </c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</row>
    <row r="76" spans="1:23" ht="13" x14ac:dyDescent="0.3">
      <c r="A76" s="32"/>
      <c r="B76" s="152" t="s">
        <v>94</v>
      </c>
      <c r="C76" s="272" t="str">
        <f>Names!AA27</f>
        <v>742-8189</v>
      </c>
      <c r="D76" s="272"/>
      <c r="E76" s="272"/>
      <c r="F76" s="29"/>
      <c r="G76" s="68">
        <f>Names!U18</f>
        <v>0.82</v>
      </c>
      <c r="H76" s="73" t="str">
        <f>Names!V18</f>
        <v>to</v>
      </c>
      <c r="I76" s="69">
        <f>Names!W18</f>
        <v>0.79</v>
      </c>
      <c r="J76" s="76" t="str">
        <f>Names!X18</f>
        <v>C</v>
      </c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</row>
    <row r="77" spans="1:23" ht="13" x14ac:dyDescent="0.3">
      <c r="A77" s="32"/>
      <c r="B77" s="32"/>
      <c r="C77" s="32"/>
      <c r="D77" s="32"/>
      <c r="E77" s="32"/>
      <c r="F77" s="29"/>
      <c r="G77" s="68">
        <f>Names!U19</f>
        <v>0.78</v>
      </c>
      <c r="H77" s="73" t="str">
        <f>Names!V19</f>
        <v>to</v>
      </c>
      <c r="I77" s="69">
        <f>Names!W19</f>
        <v>0.77</v>
      </c>
      <c r="J77" s="76" t="str">
        <f>Names!X19</f>
        <v>C-</v>
      </c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</row>
    <row r="78" spans="1:23" ht="13" x14ac:dyDescent="0.3">
      <c r="A78" s="32"/>
      <c r="B78" s="32"/>
      <c r="C78" s="32"/>
      <c r="D78" s="32"/>
      <c r="E78" s="32"/>
      <c r="F78" s="29"/>
      <c r="G78" s="68">
        <f>Names!U20</f>
        <v>0.76</v>
      </c>
      <c r="H78" s="73" t="str">
        <f>Names!V20</f>
        <v>to</v>
      </c>
      <c r="I78" s="69">
        <f>Names!W20</f>
        <v>0.74</v>
      </c>
      <c r="J78" s="76" t="str">
        <f>Names!X20</f>
        <v>D+</v>
      </c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</row>
    <row r="79" spans="1:23" ht="13" x14ac:dyDescent="0.3">
      <c r="A79" s="29"/>
      <c r="B79" s="29"/>
      <c r="C79" s="29"/>
      <c r="D79" s="29"/>
      <c r="E79" s="29"/>
      <c r="F79" s="29"/>
      <c r="G79" s="68">
        <f>Names!U21</f>
        <v>0.73</v>
      </c>
      <c r="H79" s="73" t="str">
        <f>Names!V21</f>
        <v>to</v>
      </c>
      <c r="I79" s="69">
        <f>Names!W21</f>
        <v>0.7</v>
      </c>
      <c r="J79" s="76" t="str">
        <f>Names!X21</f>
        <v>D</v>
      </c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</row>
    <row r="80" spans="1:23" ht="13.5" thickBot="1" x14ac:dyDescent="0.35">
      <c r="A80" s="29"/>
      <c r="B80" s="29"/>
      <c r="C80" s="29"/>
      <c r="D80" s="29"/>
      <c r="E80" s="29"/>
      <c r="F80" s="29"/>
      <c r="G80" s="70">
        <f>Names!U22</f>
        <v>0.69</v>
      </c>
      <c r="H80" s="74" t="str">
        <f>Names!V22</f>
        <v>to</v>
      </c>
      <c r="I80" s="71">
        <f>Names!W22</f>
        <v>0</v>
      </c>
      <c r="J80" s="77" t="str">
        <f>Names!X22</f>
        <v>F</v>
      </c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</row>
    <row r="81" spans="1:23" x14ac:dyDescent="0.25">
      <c r="A81" s="29"/>
      <c r="B81" s="29" t="s">
        <v>32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</row>
    <row r="82" spans="1:23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</row>
    <row r="83" spans="1:23" x14ac:dyDescent="0.25">
      <c r="A83" s="29"/>
      <c r="B83" s="29" t="s">
        <v>33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</row>
    <row r="84" spans="1:23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</row>
  </sheetData>
  <sheetCalcPr fullCalcOnLoad="1"/>
  <autoFilter ref="A5:J40">
    <filterColumn colId="1">
      <filters>
        <filter val="Adams, Bob"/>
      </filters>
    </filterColumn>
  </autoFilter>
  <mergeCells count="20">
    <mergeCell ref="F61:H61"/>
    <mergeCell ref="B43:I43"/>
    <mergeCell ref="Z5:AC5"/>
    <mergeCell ref="D4:D5"/>
    <mergeCell ref="Z22:AK22"/>
    <mergeCell ref="D45:F45"/>
    <mergeCell ref="C57:D57"/>
    <mergeCell ref="F57:H57"/>
    <mergeCell ref="F58:H58"/>
    <mergeCell ref="B56:H56"/>
    <mergeCell ref="F62:H62"/>
    <mergeCell ref="D44:F44"/>
    <mergeCell ref="C74:E74"/>
    <mergeCell ref="C75:E75"/>
    <mergeCell ref="C76:E76"/>
    <mergeCell ref="B48:J51"/>
    <mergeCell ref="B52:J55"/>
    <mergeCell ref="B63:J63"/>
    <mergeCell ref="F59:H59"/>
    <mergeCell ref="F60:H60"/>
  </mergeCells>
  <phoneticPr fontId="0" type="noConversion"/>
  <hyperlinks>
    <hyperlink ref="C75" r:id="rId1" display="mharmless@fcslafayette.org"/>
  </hyperlinks>
  <printOptions horizontalCentered="1" verticalCentered="1" gridLines="1"/>
  <pageMargins left="0.75" right="0.75" top="1" bottom="1" header="0.5" footer="0.5"/>
  <pageSetup scale="92" pageOrder="overThenDown" orientation="portrait" horizontalDpi="300" r:id="rId2"/>
  <headerFooter alignWithMargins="0">
    <oddHeader>&amp;LHarmless&amp;RAs of &amp;T &amp;D</oddHeader>
    <oddFooter>&amp;L&amp;A&amp;C- &amp;P -&amp;R&amp;F</oddFooter>
  </headerFooter>
  <colBreaks count="1" manualBreakCount="1">
    <brk id="23" max="77" man="1"/>
  </colBrea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view="pageBreakPreview" topLeftCell="A4" zoomScaleNormal="75" workbookViewId="0">
      <selection activeCell="F9" sqref="F9"/>
    </sheetView>
  </sheetViews>
  <sheetFormatPr defaultColWidth="4.7265625" defaultRowHeight="12.5" x14ac:dyDescent="0.25"/>
  <cols>
    <col min="1" max="1" width="4.26953125" style="3" customWidth="1"/>
    <col min="2" max="2" width="22.26953125" style="3" customWidth="1"/>
    <col min="3" max="3" width="8.81640625" style="3" customWidth="1"/>
    <col min="4" max="4" width="6.7265625" style="3" customWidth="1"/>
    <col min="5" max="16384" width="4.7265625" style="3"/>
  </cols>
  <sheetData>
    <row r="1" spans="1:9" x14ac:dyDescent="0.25">
      <c r="B1" s="58" t="str">
        <f>Names!B1</f>
        <v>Quarter 1</v>
      </c>
      <c r="C1" s="58"/>
      <c r="D1" s="58"/>
    </row>
    <row r="2" spans="1:9" x14ac:dyDescent="0.25">
      <c r="B2" s="58" t="str">
        <f>Names!B2</f>
        <v>Class</v>
      </c>
      <c r="C2" s="58"/>
      <c r="D2" s="58"/>
    </row>
    <row r="3" spans="1:9" s="5" customFormat="1" ht="48" customHeight="1" thickBot="1" x14ac:dyDescent="0.3">
      <c r="A3" s="4"/>
      <c r="B3" s="58" t="str">
        <f>Names!C1</f>
        <v>Test Grade</v>
      </c>
      <c r="C3" s="168">
        <f>Names!C2</f>
        <v>0.5</v>
      </c>
      <c r="D3" s="162" t="s">
        <v>6</v>
      </c>
    </row>
    <row r="4" spans="1:9" s="4" customFormat="1" ht="77.25" customHeight="1" thickBot="1" x14ac:dyDescent="0.3">
      <c r="C4" s="156" t="s">
        <v>99</v>
      </c>
      <c r="D4" s="157" t="s">
        <v>30</v>
      </c>
      <c r="E4" s="4" t="s">
        <v>105</v>
      </c>
      <c r="F4" s="4" t="s">
        <v>106</v>
      </c>
      <c r="G4" s="4" t="s">
        <v>107</v>
      </c>
    </row>
    <row r="5" spans="1:9" s="7" customFormat="1" ht="13" thickBot="1" x14ac:dyDescent="0.3">
      <c r="A5" s="191" t="str">
        <f>Names!$A:$A</f>
        <v>#</v>
      </c>
      <c r="B5" s="192" t="str">
        <f>Names!$B:$B</f>
        <v>Last Name, First Name</v>
      </c>
      <c r="C5" s="181">
        <v>1</v>
      </c>
      <c r="D5" s="158">
        <f>SUM(E5:IV5)+0.001</f>
        <v>200.001</v>
      </c>
      <c r="E5" s="7">
        <v>100</v>
      </c>
      <c r="F5" s="7">
        <v>100</v>
      </c>
    </row>
    <row r="6" spans="1:9" x14ac:dyDescent="0.25">
      <c r="A6" s="189">
        <f>Names!$A:$A</f>
        <v>1</v>
      </c>
      <c r="B6" s="190" t="str">
        <f>Names!$B:$B</f>
        <v>Adams, Bob</v>
      </c>
      <c r="C6" s="182">
        <f>D6/D5</f>
        <v>0.96499517502412491</v>
      </c>
      <c r="D6" s="159">
        <f t="shared" ref="D6:D40" si="0">SUM(E6:IV6)</f>
        <v>193</v>
      </c>
      <c r="E6" s="3">
        <v>98</v>
      </c>
      <c r="F6" s="3">
        <v>95</v>
      </c>
    </row>
    <row r="7" spans="1:9" x14ac:dyDescent="0.25">
      <c r="A7" s="185">
        <f>Names!$A:$A</f>
        <v>2</v>
      </c>
      <c r="B7" s="186" t="str">
        <f>Names!$B:$B</f>
        <v>Jones, George</v>
      </c>
      <c r="C7" s="183">
        <f>D7/D5</f>
        <v>0.9049954750226249</v>
      </c>
      <c r="D7" s="160">
        <f t="shared" si="0"/>
        <v>181</v>
      </c>
      <c r="E7" s="3">
        <v>95</v>
      </c>
      <c r="F7" s="3">
        <v>86</v>
      </c>
    </row>
    <row r="8" spans="1:9" x14ac:dyDescent="0.25">
      <c r="A8" s="185">
        <f>Names!$A:$A</f>
        <v>3</v>
      </c>
      <c r="B8" s="186" t="str">
        <f>Names!$B:$B</f>
        <v>Smith, Ralph</v>
      </c>
      <c r="C8" s="183">
        <f>D8/D5</f>
        <v>0.96999515002424985</v>
      </c>
      <c r="D8" s="160">
        <f t="shared" si="0"/>
        <v>194</v>
      </c>
      <c r="E8" s="27">
        <v>97</v>
      </c>
      <c r="F8" s="27">
        <v>97</v>
      </c>
      <c r="H8" s="27"/>
      <c r="I8" s="27"/>
    </row>
    <row r="9" spans="1:9" x14ac:dyDescent="0.25">
      <c r="A9" s="185">
        <f>Names!$A:$A</f>
        <v>4</v>
      </c>
      <c r="B9" s="186">
        <f>Names!$B:$B</f>
        <v>0</v>
      </c>
      <c r="C9" s="183">
        <f>D9/D5</f>
        <v>0</v>
      </c>
      <c r="D9" s="160">
        <f t="shared" si="0"/>
        <v>0</v>
      </c>
      <c r="E9" s="27"/>
      <c r="H9" s="27"/>
      <c r="I9" s="27"/>
    </row>
    <row r="10" spans="1:9" x14ac:dyDescent="0.25">
      <c r="A10" s="185">
        <f>Names!$A:$A</f>
        <v>5</v>
      </c>
      <c r="B10" s="186">
        <f>Names!$B:$B</f>
        <v>0</v>
      </c>
      <c r="C10" s="183">
        <f>D10/D5</f>
        <v>0</v>
      </c>
      <c r="D10" s="160">
        <f t="shared" si="0"/>
        <v>0</v>
      </c>
      <c r="E10" s="27"/>
      <c r="H10" s="27"/>
      <c r="I10" s="27"/>
    </row>
    <row r="11" spans="1:9" x14ac:dyDescent="0.25">
      <c r="A11" s="185">
        <f>Names!$A:$A</f>
        <v>6</v>
      </c>
      <c r="B11" s="186">
        <f>Names!$B:$B</f>
        <v>0</v>
      </c>
      <c r="C11" s="183">
        <f>D11/D5</f>
        <v>0</v>
      </c>
      <c r="D11" s="160">
        <f t="shared" si="0"/>
        <v>0</v>
      </c>
      <c r="E11" s="27"/>
      <c r="H11" s="27"/>
      <c r="I11" s="27"/>
    </row>
    <row r="12" spans="1:9" x14ac:dyDescent="0.25">
      <c r="A12" s="185">
        <f>Names!$A:$A</f>
        <v>7</v>
      </c>
      <c r="B12" s="186">
        <f>Names!$B:$B</f>
        <v>0</v>
      </c>
      <c r="C12" s="183">
        <f>D12/D5</f>
        <v>0</v>
      </c>
      <c r="D12" s="160">
        <f t="shared" si="0"/>
        <v>0</v>
      </c>
      <c r="E12" s="27"/>
      <c r="H12" s="27"/>
      <c r="I12" s="27"/>
    </row>
    <row r="13" spans="1:9" x14ac:dyDescent="0.25">
      <c r="A13" s="185">
        <f>Names!$A:$A</f>
        <v>8</v>
      </c>
      <c r="B13" s="186">
        <f>Names!$B:$B</f>
        <v>0</v>
      </c>
      <c r="C13" s="183">
        <f>D13/D5</f>
        <v>0</v>
      </c>
      <c r="D13" s="160">
        <f t="shared" si="0"/>
        <v>0</v>
      </c>
      <c r="E13" s="27"/>
      <c r="H13" s="27"/>
      <c r="I13" s="27"/>
    </row>
    <row r="14" spans="1:9" x14ac:dyDescent="0.25">
      <c r="A14" s="185">
        <f>Names!$A:$A</f>
        <v>9</v>
      </c>
      <c r="B14" s="186">
        <f>Names!$B:$B</f>
        <v>0</v>
      </c>
      <c r="C14" s="183">
        <f>D14/D5</f>
        <v>0</v>
      </c>
      <c r="D14" s="160">
        <f t="shared" si="0"/>
        <v>0</v>
      </c>
      <c r="E14" s="27"/>
      <c r="H14" s="27"/>
      <c r="I14" s="27"/>
    </row>
    <row r="15" spans="1:9" x14ac:dyDescent="0.25">
      <c r="A15" s="185">
        <f>Names!$A:$A</f>
        <v>10</v>
      </c>
      <c r="B15" s="186">
        <f>Names!$B:$B</f>
        <v>0</v>
      </c>
      <c r="C15" s="183">
        <f>D15/D5</f>
        <v>0</v>
      </c>
      <c r="D15" s="160">
        <f t="shared" si="0"/>
        <v>0</v>
      </c>
      <c r="E15" s="27"/>
      <c r="H15" s="27"/>
      <c r="I15" s="27"/>
    </row>
    <row r="16" spans="1:9" x14ac:dyDescent="0.25">
      <c r="A16" s="185">
        <f>Names!$A:$A</f>
        <v>11</v>
      </c>
      <c r="B16" s="186">
        <f>Names!$B:$B</f>
        <v>0</v>
      </c>
      <c r="C16" s="183">
        <f>D16/D5</f>
        <v>0</v>
      </c>
      <c r="D16" s="160">
        <f t="shared" si="0"/>
        <v>0</v>
      </c>
      <c r="E16" s="27"/>
      <c r="H16" s="27"/>
      <c r="I16" s="27"/>
    </row>
    <row r="17" spans="1:5" x14ac:dyDescent="0.25">
      <c r="A17" s="185">
        <f>Names!$A:$A</f>
        <v>12</v>
      </c>
      <c r="B17" s="186">
        <f>Names!$B:$B</f>
        <v>0</v>
      </c>
      <c r="C17" s="183">
        <f>D17/D5</f>
        <v>0</v>
      </c>
      <c r="D17" s="160">
        <f t="shared" si="0"/>
        <v>0</v>
      </c>
      <c r="E17" s="27"/>
    </row>
    <row r="18" spans="1:5" x14ac:dyDescent="0.25">
      <c r="A18" s="185">
        <f>Names!$A:$A</f>
        <v>13</v>
      </c>
      <c r="B18" s="186">
        <f>Names!$B:$B</f>
        <v>0</v>
      </c>
      <c r="C18" s="183">
        <f>D18/D5</f>
        <v>0</v>
      </c>
      <c r="D18" s="160">
        <f t="shared" si="0"/>
        <v>0</v>
      </c>
      <c r="E18" s="27"/>
    </row>
    <row r="19" spans="1:5" x14ac:dyDescent="0.25">
      <c r="A19" s="185">
        <f>Names!$A:$A</f>
        <v>14</v>
      </c>
      <c r="B19" s="186">
        <f>Names!$B:$B</f>
        <v>0</v>
      </c>
      <c r="C19" s="183">
        <f>D19/D5</f>
        <v>0</v>
      </c>
      <c r="D19" s="160">
        <f t="shared" si="0"/>
        <v>0</v>
      </c>
      <c r="E19" s="27"/>
    </row>
    <row r="20" spans="1:5" x14ac:dyDescent="0.25">
      <c r="A20" s="185">
        <f>Names!$A:$A</f>
        <v>15</v>
      </c>
      <c r="B20" s="186">
        <f>Names!$B:$B</f>
        <v>0</v>
      </c>
      <c r="C20" s="183">
        <f>D20/D5</f>
        <v>0</v>
      </c>
      <c r="D20" s="160">
        <f t="shared" si="0"/>
        <v>0</v>
      </c>
      <c r="E20" s="27"/>
    </row>
    <row r="21" spans="1:5" x14ac:dyDescent="0.25">
      <c r="A21" s="185">
        <f>Names!$A:$A</f>
        <v>16</v>
      </c>
      <c r="B21" s="186">
        <f>Names!$B:$B</f>
        <v>0</v>
      </c>
      <c r="C21" s="183">
        <f>D21/D5</f>
        <v>0</v>
      </c>
      <c r="D21" s="160">
        <f t="shared" si="0"/>
        <v>0</v>
      </c>
      <c r="E21" s="27"/>
    </row>
    <row r="22" spans="1:5" x14ac:dyDescent="0.25">
      <c r="A22" s="185">
        <f>Names!$A:$A</f>
        <v>17</v>
      </c>
      <c r="B22" s="186">
        <f>Names!$B:$B</f>
        <v>0</v>
      </c>
      <c r="C22" s="183">
        <f>D22/D5</f>
        <v>0</v>
      </c>
      <c r="D22" s="160">
        <f t="shared" si="0"/>
        <v>0</v>
      </c>
      <c r="E22" s="27"/>
    </row>
    <row r="23" spans="1:5" x14ac:dyDescent="0.25">
      <c r="A23" s="185">
        <f>Names!$A:$A</f>
        <v>18</v>
      </c>
      <c r="B23" s="186">
        <f>Names!$B:$B</f>
        <v>0</v>
      </c>
      <c r="C23" s="183">
        <f>D23/D5</f>
        <v>0</v>
      </c>
      <c r="D23" s="160">
        <f t="shared" si="0"/>
        <v>0</v>
      </c>
      <c r="E23" s="27"/>
    </row>
    <row r="24" spans="1:5" x14ac:dyDescent="0.25">
      <c r="A24" s="185">
        <f>Names!$A:$A</f>
        <v>19</v>
      </c>
      <c r="B24" s="186">
        <f>Names!$B:$B</f>
        <v>0</v>
      </c>
      <c r="C24" s="183">
        <f>D24/D5</f>
        <v>0</v>
      </c>
      <c r="D24" s="160">
        <f t="shared" si="0"/>
        <v>0</v>
      </c>
      <c r="E24" s="27"/>
    </row>
    <row r="25" spans="1:5" x14ac:dyDescent="0.25">
      <c r="A25" s="185">
        <f>Names!$A:$A</f>
        <v>20</v>
      </c>
      <c r="B25" s="186">
        <f>Names!$B:$B</f>
        <v>0</v>
      </c>
      <c r="C25" s="183">
        <f>D25/D5</f>
        <v>0</v>
      </c>
      <c r="D25" s="160">
        <f t="shared" si="0"/>
        <v>0</v>
      </c>
      <c r="E25" s="27"/>
    </row>
    <row r="26" spans="1:5" x14ac:dyDescent="0.25">
      <c r="A26" s="185">
        <f>Names!$A:$A</f>
        <v>21</v>
      </c>
      <c r="B26" s="186">
        <f>Names!$B:$B</f>
        <v>0</v>
      </c>
      <c r="C26" s="183">
        <f>D26/D5</f>
        <v>0</v>
      </c>
      <c r="D26" s="160">
        <f t="shared" si="0"/>
        <v>0</v>
      </c>
      <c r="E26" s="27"/>
    </row>
    <row r="27" spans="1:5" x14ac:dyDescent="0.25">
      <c r="A27" s="185">
        <f>Names!$A:$A</f>
        <v>22</v>
      </c>
      <c r="B27" s="186">
        <f>Names!$B:$B</f>
        <v>0</v>
      </c>
      <c r="C27" s="183">
        <f>D27/D5</f>
        <v>0</v>
      </c>
      <c r="D27" s="160">
        <f t="shared" si="0"/>
        <v>0</v>
      </c>
      <c r="E27" s="27"/>
    </row>
    <row r="28" spans="1:5" x14ac:dyDescent="0.25">
      <c r="A28" s="185">
        <f>Names!$A:$A</f>
        <v>23</v>
      </c>
      <c r="B28" s="186">
        <f>Names!$B:$B</f>
        <v>0</v>
      </c>
      <c r="C28" s="183">
        <f>D28/D5</f>
        <v>0</v>
      </c>
      <c r="D28" s="160">
        <f t="shared" si="0"/>
        <v>0</v>
      </c>
      <c r="E28" s="27"/>
    </row>
    <row r="29" spans="1:5" x14ac:dyDescent="0.25">
      <c r="A29" s="185">
        <f>Names!$A:$A</f>
        <v>24</v>
      </c>
      <c r="B29" s="186">
        <f>Names!$B:$B</f>
        <v>0</v>
      </c>
      <c r="C29" s="183">
        <f>D29/D5</f>
        <v>0</v>
      </c>
      <c r="D29" s="160">
        <f t="shared" si="0"/>
        <v>0</v>
      </c>
      <c r="E29" s="27"/>
    </row>
    <row r="30" spans="1:5" x14ac:dyDescent="0.25">
      <c r="A30" s="185">
        <f>Names!$A:$A</f>
        <v>25</v>
      </c>
      <c r="B30" s="186">
        <f>Names!$B:$B</f>
        <v>0</v>
      </c>
      <c r="C30" s="183">
        <f>D30/D5</f>
        <v>0</v>
      </c>
      <c r="D30" s="160">
        <f t="shared" si="0"/>
        <v>0</v>
      </c>
    </row>
    <row r="31" spans="1:5" x14ac:dyDescent="0.25">
      <c r="A31" s="185">
        <f>Names!$A:$A</f>
        <v>26</v>
      </c>
      <c r="B31" s="186">
        <f>Names!$B:$B</f>
        <v>0</v>
      </c>
      <c r="C31" s="183">
        <f>D31/D5</f>
        <v>0</v>
      </c>
      <c r="D31" s="160">
        <f t="shared" si="0"/>
        <v>0</v>
      </c>
    </row>
    <row r="32" spans="1:5" x14ac:dyDescent="0.25">
      <c r="A32" s="185">
        <f>Names!$A:$A</f>
        <v>27</v>
      </c>
      <c r="B32" s="186">
        <f>Names!$B:$B</f>
        <v>0</v>
      </c>
      <c r="C32" s="183">
        <f>D32/D5</f>
        <v>0</v>
      </c>
      <c r="D32" s="160">
        <f t="shared" si="0"/>
        <v>0</v>
      </c>
    </row>
    <row r="33" spans="1:4" x14ac:dyDescent="0.25">
      <c r="A33" s="185">
        <f>Names!$A:$A</f>
        <v>28</v>
      </c>
      <c r="B33" s="186">
        <f>Names!$B:$B</f>
        <v>0</v>
      </c>
      <c r="C33" s="183">
        <f>D33/D5</f>
        <v>0</v>
      </c>
      <c r="D33" s="160">
        <f t="shared" si="0"/>
        <v>0</v>
      </c>
    </row>
    <row r="34" spans="1:4" x14ac:dyDescent="0.25">
      <c r="A34" s="185">
        <f>Names!$A:$A</f>
        <v>29</v>
      </c>
      <c r="B34" s="186">
        <f>Names!$B:$B</f>
        <v>0</v>
      </c>
      <c r="C34" s="183">
        <f>D34/D5</f>
        <v>0</v>
      </c>
      <c r="D34" s="160">
        <f t="shared" si="0"/>
        <v>0</v>
      </c>
    </row>
    <row r="35" spans="1:4" x14ac:dyDescent="0.25">
      <c r="A35" s="185">
        <f>Names!$A:$A</f>
        <v>30</v>
      </c>
      <c r="B35" s="186">
        <f>Names!$B:$B</f>
        <v>0</v>
      </c>
      <c r="C35" s="183">
        <f>D35/D5</f>
        <v>0</v>
      </c>
      <c r="D35" s="160">
        <f t="shared" si="0"/>
        <v>0</v>
      </c>
    </row>
    <row r="36" spans="1:4" x14ac:dyDescent="0.25">
      <c r="A36" s="185">
        <f>Names!$A:$A</f>
        <v>31</v>
      </c>
      <c r="B36" s="186">
        <f>Names!$B:$B</f>
        <v>0</v>
      </c>
      <c r="C36" s="183">
        <f>D36/D5</f>
        <v>0</v>
      </c>
      <c r="D36" s="160">
        <f t="shared" si="0"/>
        <v>0</v>
      </c>
    </row>
    <row r="37" spans="1:4" x14ac:dyDescent="0.25">
      <c r="A37" s="185">
        <f>Names!$A:$A</f>
        <v>32</v>
      </c>
      <c r="B37" s="186">
        <f>Names!$B:$B</f>
        <v>0</v>
      </c>
      <c r="C37" s="183">
        <f>D37/D5</f>
        <v>0</v>
      </c>
      <c r="D37" s="160">
        <f t="shared" si="0"/>
        <v>0</v>
      </c>
    </row>
    <row r="38" spans="1:4" x14ac:dyDescent="0.25">
      <c r="A38" s="185">
        <f>Names!$A:$A</f>
        <v>33</v>
      </c>
      <c r="B38" s="186">
        <f>Names!$B:$B</f>
        <v>0</v>
      </c>
      <c r="C38" s="183">
        <f>D38/D5</f>
        <v>0</v>
      </c>
      <c r="D38" s="160">
        <f t="shared" si="0"/>
        <v>0</v>
      </c>
    </row>
    <row r="39" spans="1:4" x14ac:dyDescent="0.25">
      <c r="A39" s="185">
        <f>Names!$A:$A</f>
        <v>34</v>
      </c>
      <c r="B39" s="186">
        <f>Names!$B:$B</f>
        <v>0</v>
      </c>
      <c r="C39" s="183">
        <f>D39/D5</f>
        <v>0</v>
      </c>
      <c r="D39" s="160">
        <f t="shared" si="0"/>
        <v>0</v>
      </c>
    </row>
    <row r="40" spans="1:4" ht="13" thickBot="1" x14ac:dyDescent="0.3">
      <c r="A40" s="187">
        <f>Names!$A:$A</f>
        <v>35</v>
      </c>
      <c r="B40" s="188">
        <f>Names!$B:$B</f>
        <v>0</v>
      </c>
      <c r="C40" s="184">
        <f>D40/D5</f>
        <v>0</v>
      </c>
      <c r="D40" s="161">
        <f t="shared" si="0"/>
        <v>0</v>
      </c>
    </row>
  </sheetData>
  <sheetCalcPr fullCalcOnLoad="1"/>
  <phoneticPr fontId="0" type="noConversion"/>
  <printOptions gridLines="1"/>
  <pageMargins left="0.75" right="0.75" top="1" bottom="1" header="0.5" footer="0.5"/>
  <pageSetup pageOrder="overThenDown" orientation="portrait" horizontalDpi="300" r:id="rId1"/>
  <headerFooter alignWithMargins="0">
    <oddHeader>&amp;LHarmless&amp;RAs of &amp;T &amp;D</oddHeader>
    <oddFooter>&amp;L&amp;A&amp;C- &amp;P -&amp;R&amp;F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view="pageBreakPreview" zoomScaleNormal="75" workbookViewId="0">
      <selection activeCell="H4" sqref="H4"/>
    </sheetView>
  </sheetViews>
  <sheetFormatPr defaultColWidth="4.7265625" defaultRowHeight="12.5" x14ac:dyDescent="0.25"/>
  <cols>
    <col min="1" max="1" width="4.26953125" style="3" customWidth="1"/>
    <col min="2" max="2" width="22.1796875" style="3" customWidth="1"/>
    <col min="3" max="3" width="8.26953125" style="3" customWidth="1"/>
    <col min="4" max="4" width="6.7265625" style="3" customWidth="1"/>
    <col min="5" max="16384" width="4.7265625" style="3"/>
  </cols>
  <sheetData>
    <row r="1" spans="1:7" x14ac:dyDescent="0.25">
      <c r="B1" s="58" t="str">
        <f>Names!B1</f>
        <v>Quarter 1</v>
      </c>
      <c r="C1" s="58"/>
      <c r="D1" s="58"/>
    </row>
    <row r="2" spans="1:7" x14ac:dyDescent="0.25">
      <c r="B2" s="58" t="str">
        <f>Names!B2</f>
        <v>Class</v>
      </c>
      <c r="C2" s="58"/>
      <c r="D2" s="58"/>
    </row>
    <row r="3" spans="1:7" s="5" customFormat="1" ht="48" customHeight="1" thickBot="1" x14ac:dyDescent="0.3">
      <c r="A3" s="4"/>
      <c r="B3" s="58" t="str">
        <f>Names!D1</f>
        <v>Quiz Grade</v>
      </c>
      <c r="C3" s="168">
        <f>Names!D2</f>
        <v>0.2</v>
      </c>
      <c r="D3" s="162" t="s">
        <v>6</v>
      </c>
    </row>
    <row r="4" spans="1:7" s="4" customFormat="1" ht="77.25" customHeight="1" thickBot="1" x14ac:dyDescent="0.3">
      <c r="B4" s="162"/>
      <c r="C4" s="156" t="s">
        <v>99</v>
      </c>
      <c r="D4" s="157" t="s">
        <v>30</v>
      </c>
      <c r="E4" s="4" t="s">
        <v>108</v>
      </c>
      <c r="F4" s="4" t="s">
        <v>109</v>
      </c>
      <c r="G4" s="4" t="s">
        <v>107</v>
      </c>
    </row>
    <row r="5" spans="1:7" s="7" customFormat="1" ht="13" thickBot="1" x14ac:dyDescent="0.3">
      <c r="A5" s="191" t="str">
        <f>Names!$A:$A</f>
        <v>#</v>
      </c>
      <c r="B5" s="192" t="str">
        <f>Names!$B:$B</f>
        <v>Last Name, First Name</v>
      </c>
      <c r="C5" s="181">
        <v>1</v>
      </c>
      <c r="D5" s="158">
        <f>SUM(E5:IV5)+0.001</f>
        <v>70.001000000000005</v>
      </c>
      <c r="E5" s="7">
        <v>20</v>
      </c>
      <c r="F5" s="7">
        <v>50</v>
      </c>
    </row>
    <row r="6" spans="1:7" x14ac:dyDescent="0.25">
      <c r="A6" s="189">
        <f>Names!$A:$A</f>
        <v>1</v>
      </c>
      <c r="B6" s="190" t="str">
        <f>Names!$B:$B</f>
        <v>Adams, Bob</v>
      </c>
      <c r="C6" s="182">
        <f>D6/D5</f>
        <v>0.92855816345480768</v>
      </c>
      <c r="D6" s="159">
        <f t="shared" ref="D6:D40" si="0">SUM(E6:IV6)</f>
        <v>65</v>
      </c>
      <c r="E6" s="3">
        <v>20</v>
      </c>
      <c r="F6" s="3">
        <v>45</v>
      </c>
    </row>
    <row r="7" spans="1:7" x14ac:dyDescent="0.25">
      <c r="A7" s="185">
        <f>Names!$A:$A</f>
        <v>2</v>
      </c>
      <c r="B7" s="186" t="str">
        <f>Names!$B:$B</f>
        <v>Jones, George</v>
      </c>
      <c r="C7" s="183">
        <f>D7/D5</f>
        <v>0.97141469407579883</v>
      </c>
      <c r="D7" s="160">
        <f t="shared" si="0"/>
        <v>68</v>
      </c>
      <c r="E7" s="3">
        <v>18</v>
      </c>
      <c r="F7" s="3">
        <v>50</v>
      </c>
    </row>
    <row r="8" spans="1:7" x14ac:dyDescent="0.25">
      <c r="A8" s="185">
        <f>Names!$A:$A</f>
        <v>3</v>
      </c>
      <c r="B8" s="186" t="str">
        <f>Names!$B:$B</f>
        <v>Smith, Ralph</v>
      </c>
      <c r="C8" s="183">
        <f>D8/D5</f>
        <v>0.97141469407579883</v>
      </c>
      <c r="D8" s="160">
        <f t="shared" si="0"/>
        <v>68</v>
      </c>
      <c r="E8" s="27">
        <v>19</v>
      </c>
      <c r="F8" s="27">
        <v>49</v>
      </c>
    </row>
    <row r="9" spans="1:7" x14ac:dyDescent="0.25">
      <c r="A9" s="185">
        <f>Names!$A:$A</f>
        <v>4</v>
      </c>
      <c r="B9" s="186">
        <f>Names!$B:$B</f>
        <v>0</v>
      </c>
      <c r="C9" s="183">
        <f>D9/D5</f>
        <v>0</v>
      </c>
      <c r="D9" s="160">
        <f t="shared" si="0"/>
        <v>0</v>
      </c>
      <c r="E9" s="27"/>
      <c r="F9" s="27"/>
    </row>
    <row r="10" spans="1:7" x14ac:dyDescent="0.25">
      <c r="A10" s="185">
        <f>Names!$A:$A</f>
        <v>5</v>
      </c>
      <c r="B10" s="186">
        <f>Names!$B:$B</f>
        <v>0</v>
      </c>
      <c r="C10" s="183">
        <f>D10/D5</f>
        <v>0</v>
      </c>
      <c r="D10" s="160">
        <f t="shared" si="0"/>
        <v>0</v>
      </c>
      <c r="E10" s="27"/>
      <c r="F10" s="27"/>
    </row>
    <row r="11" spans="1:7" x14ac:dyDescent="0.25">
      <c r="A11" s="185">
        <f>Names!$A:$A</f>
        <v>6</v>
      </c>
      <c r="B11" s="186">
        <f>Names!$B:$B</f>
        <v>0</v>
      </c>
      <c r="C11" s="183">
        <f>D11/D5</f>
        <v>0</v>
      </c>
      <c r="D11" s="160">
        <f t="shared" si="0"/>
        <v>0</v>
      </c>
      <c r="E11" s="27"/>
      <c r="F11" s="27"/>
    </row>
    <row r="12" spans="1:7" x14ac:dyDescent="0.25">
      <c r="A12" s="185">
        <f>Names!$A:$A</f>
        <v>7</v>
      </c>
      <c r="B12" s="186">
        <f>Names!$B:$B</f>
        <v>0</v>
      </c>
      <c r="C12" s="183">
        <f>D12/D5</f>
        <v>0</v>
      </c>
      <c r="D12" s="160">
        <f t="shared" si="0"/>
        <v>0</v>
      </c>
      <c r="E12" s="27"/>
      <c r="F12" s="27"/>
    </row>
    <row r="13" spans="1:7" x14ac:dyDescent="0.25">
      <c r="A13" s="185">
        <f>Names!$A:$A</f>
        <v>8</v>
      </c>
      <c r="B13" s="186">
        <f>Names!$B:$B</f>
        <v>0</v>
      </c>
      <c r="C13" s="183">
        <f>D13/D5</f>
        <v>0</v>
      </c>
      <c r="D13" s="160">
        <f t="shared" si="0"/>
        <v>0</v>
      </c>
      <c r="E13" s="27"/>
      <c r="F13" s="27"/>
    </row>
    <row r="14" spans="1:7" x14ac:dyDescent="0.25">
      <c r="A14" s="185">
        <f>Names!$A:$A</f>
        <v>9</v>
      </c>
      <c r="B14" s="186">
        <f>Names!$B:$B</f>
        <v>0</v>
      </c>
      <c r="C14" s="183">
        <f>D14/D5</f>
        <v>0</v>
      </c>
      <c r="D14" s="160">
        <f t="shared" si="0"/>
        <v>0</v>
      </c>
      <c r="E14" s="27"/>
      <c r="F14" s="27"/>
    </row>
    <row r="15" spans="1:7" x14ac:dyDescent="0.25">
      <c r="A15" s="185">
        <f>Names!$A:$A</f>
        <v>10</v>
      </c>
      <c r="B15" s="186">
        <f>Names!$B:$B</f>
        <v>0</v>
      </c>
      <c r="C15" s="183">
        <f>D15/D5</f>
        <v>0</v>
      </c>
      <c r="D15" s="160">
        <f t="shared" si="0"/>
        <v>0</v>
      </c>
      <c r="E15" s="27"/>
      <c r="F15" s="27"/>
    </row>
    <row r="16" spans="1:7" x14ac:dyDescent="0.25">
      <c r="A16" s="185">
        <f>Names!$A:$A</f>
        <v>11</v>
      </c>
      <c r="B16" s="186">
        <f>Names!$B:$B</f>
        <v>0</v>
      </c>
      <c r="C16" s="183">
        <f>D16/D5</f>
        <v>0</v>
      </c>
      <c r="D16" s="160">
        <f t="shared" si="0"/>
        <v>0</v>
      </c>
      <c r="E16" s="27"/>
      <c r="F16" s="27"/>
    </row>
    <row r="17" spans="1:5" x14ac:dyDescent="0.25">
      <c r="A17" s="185">
        <f>Names!$A:$A</f>
        <v>12</v>
      </c>
      <c r="B17" s="186">
        <f>Names!$B:$B</f>
        <v>0</v>
      </c>
      <c r="C17" s="183">
        <f>D17/D5</f>
        <v>0</v>
      </c>
      <c r="D17" s="160">
        <f t="shared" si="0"/>
        <v>0</v>
      </c>
      <c r="E17" s="27"/>
    </row>
    <row r="18" spans="1:5" x14ac:dyDescent="0.25">
      <c r="A18" s="185">
        <f>Names!$A:$A</f>
        <v>13</v>
      </c>
      <c r="B18" s="186">
        <f>Names!$B:$B</f>
        <v>0</v>
      </c>
      <c r="C18" s="183">
        <f>D18/D5</f>
        <v>0</v>
      </c>
      <c r="D18" s="160">
        <f t="shared" si="0"/>
        <v>0</v>
      </c>
      <c r="E18" s="27"/>
    </row>
    <row r="19" spans="1:5" x14ac:dyDescent="0.25">
      <c r="A19" s="185">
        <f>Names!$A:$A</f>
        <v>14</v>
      </c>
      <c r="B19" s="186">
        <f>Names!$B:$B</f>
        <v>0</v>
      </c>
      <c r="C19" s="183">
        <f>D19/D5</f>
        <v>0</v>
      </c>
      <c r="D19" s="160">
        <f t="shared" si="0"/>
        <v>0</v>
      </c>
      <c r="E19" s="27"/>
    </row>
    <row r="20" spans="1:5" x14ac:dyDescent="0.25">
      <c r="A20" s="185">
        <f>Names!$A:$A</f>
        <v>15</v>
      </c>
      <c r="B20" s="186">
        <f>Names!$B:$B</f>
        <v>0</v>
      </c>
      <c r="C20" s="183">
        <f>D20/D5</f>
        <v>0</v>
      </c>
      <c r="D20" s="160">
        <f t="shared" si="0"/>
        <v>0</v>
      </c>
      <c r="E20" s="27"/>
    </row>
    <row r="21" spans="1:5" x14ac:dyDescent="0.25">
      <c r="A21" s="185">
        <f>Names!$A:$A</f>
        <v>16</v>
      </c>
      <c r="B21" s="186">
        <f>Names!$B:$B</f>
        <v>0</v>
      </c>
      <c r="C21" s="183">
        <f>D21/D5</f>
        <v>0</v>
      </c>
      <c r="D21" s="160">
        <f t="shared" si="0"/>
        <v>0</v>
      </c>
      <c r="E21" s="27"/>
    </row>
    <row r="22" spans="1:5" x14ac:dyDescent="0.25">
      <c r="A22" s="185">
        <f>Names!$A:$A</f>
        <v>17</v>
      </c>
      <c r="B22" s="186">
        <f>Names!$B:$B</f>
        <v>0</v>
      </c>
      <c r="C22" s="183">
        <f>D22/D5</f>
        <v>0</v>
      </c>
      <c r="D22" s="160">
        <f t="shared" si="0"/>
        <v>0</v>
      </c>
      <c r="E22" s="27"/>
    </row>
    <row r="23" spans="1:5" x14ac:dyDescent="0.25">
      <c r="A23" s="185">
        <f>Names!$A:$A</f>
        <v>18</v>
      </c>
      <c r="B23" s="186">
        <f>Names!$B:$B</f>
        <v>0</v>
      </c>
      <c r="C23" s="183">
        <f>D23/D5</f>
        <v>0</v>
      </c>
      <c r="D23" s="160">
        <f t="shared" si="0"/>
        <v>0</v>
      </c>
      <c r="E23" s="27"/>
    </row>
    <row r="24" spans="1:5" x14ac:dyDescent="0.25">
      <c r="A24" s="185">
        <f>Names!$A:$A</f>
        <v>19</v>
      </c>
      <c r="B24" s="186">
        <f>Names!$B:$B</f>
        <v>0</v>
      </c>
      <c r="C24" s="183">
        <f>D24/D5</f>
        <v>0</v>
      </c>
      <c r="D24" s="160">
        <f t="shared" si="0"/>
        <v>0</v>
      </c>
      <c r="E24" s="27"/>
    </row>
    <row r="25" spans="1:5" x14ac:dyDescent="0.25">
      <c r="A25" s="185">
        <f>Names!$A:$A</f>
        <v>20</v>
      </c>
      <c r="B25" s="186">
        <f>Names!$B:$B</f>
        <v>0</v>
      </c>
      <c r="C25" s="183">
        <f>D25/D5</f>
        <v>0</v>
      </c>
      <c r="D25" s="160">
        <f t="shared" si="0"/>
        <v>0</v>
      </c>
      <c r="E25" s="27"/>
    </row>
    <row r="26" spans="1:5" x14ac:dyDescent="0.25">
      <c r="A26" s="185">
        <f>Names!$A:$A</f>
        <v>21</v>
      </c>
      <c r="B26" s="186">
        <f>Names!$B:$B</f>
        <v>0</v>
      </c>
      <c r="C26" s="183">
        <f>D26/D5</f>
        <v>0</v>
      </c>
      <c r="D26" s="160">
        <f t="shared" si="0"/>
        <v>0</v>
      </c>
      <c r="E26" s="27"/>
    </row>
    <row r="27" spans="1:5" x14ac:dyDescent="0.25">
      <c r="A27" s="185">
        <f>Names!$A:$A</f>
        <v>22</v>
      </c>
      <c r="B27" s="186">
        <f>Names!$B:$B</f>
        <v>0</v>
      </c>
      <c r="C27" s="183">
        <f>D27/D5</f>
        <v>0</v>
      </c>
      <c r="D27" s="160">
        <f t="shared" si="0"/>
        <v>0</v>
      </c>
      <c r="E27" s="27"/>
    </row>
    <row r="28" spans="1:5" x14ac:dyDescent="0.25">
      <c r="A28" s="185">
        <f>Names!$A:$A</f>
        <v>23</v>
      </c>
      <c r="B28" s="186">
        <f>Names!$B:$B</f>
        <v>0</v>
      </c>
      <c r="C28" s="183">
        <f>D28/D5</f>
        <v>0</v>
      </c>
      <c r="D28" s="160">
        <f t="shared" si="0"/>
        <v>0</v>
      </c>
      <c r="E28" s="27"/>
    </row>
    <row r="29" spans="1:5" x14ac:dyDescent="0.25">
      <c r="A29" s="185">
        <f>Names!$A:$A</f>
        <v>24</v>
      </c>
      <c r="B29" s="186">
        <f>Names!$B:$B</f>
        <v>0</v>
      </c>
      <c r="C29" s="183">
        <f>D29/D5</f>
        <v>0</v>
      </c>
      <c r="D29" s="160">
        <f t="shared" si="0"/>
        <v>0</v>
      </c>
      <c r="E29" s="27"/>
    </row>
    <row r="30" spans="1:5" x14ac:dyDescent="0.25">
      <c r="A30" s="185">
        <f>Names!$A:$A</f>
        <v>25</v>
      </c>
      <c r="B30" s="186">
        <f>Names!$B:$B</f>
        <v>0</v>
      </c>
      <c r="C30" s="183">
        <f>D30/D5</f>
        <v>0</v>
      </c>
      <c r="D30" s="160">
        <f t="shared" si="0"/>
        <v>0</v>
      </c>
    </row>
    <row r="31" spans="1:5" x14ac:dyDescent="0.25">
      <c r="A31" s="185">
        <f>Names!$A:$A</f>
        <v>26</v>
      </c>
      <c r="B31" s="186">
        <f>Names!$B:$B</f>
        <v>0</v>
      </c>
      <c r="C31" s="183">
        <f>D31/D5</f>
        <v>0</v>
      </c>
      <c r="D31" s="160">
        <f t="shared" si="0"/>
        <v>0</v>
      </c>
    </row>
    <row r="32" spans="1:5" x14ac:dyDescent="0.25">
      <c r="A32" s="185">
        <f>Names!$A:$A</f>
        <v>27</v>
      </c>
      <c r="B32" s="186">
        <f>Names!$B:$B</f>
        <v>0</v>
      </c>
      <c r="C32" s="183">
        <f>D32/D5</f>
        <v>0</v>
      </c>
      <c r="D32" s="160">
        <f t="shared" si="0"/>
        <v>0</v>
      </c>
    </row>
    <row r="33" spans="1:4" x14ac:dyDescent="0.25">
      <c r="A33" s="185">
        <f>Names!$A:$A</f>
        <v>28</v>
      </c>
      <c r="B33" s="186">
        <f>Names!$B:$B</f>
        <v>0</v>
      </c>
      <c r="C33" s="183">
        <f>D33/D5</f>
        <v>0</v>
      </c>
      <c r="D33" s="160">
        <f t="shared" si="0"/>
        <v>0</v>
      </c>
    </row>
    <row r="34" spans="1:4" x14ac:dyDescent="0.25">
      <c r="A34" s="185">
        <f>Names!$A:$A</f>
        <v>29</v>
      </c>
      <c r="B34" s="186">
        <f>Names!$B:$B</f>
        <v>0</v>
      </c>
      <c r="C34" s="183">
        <f>D34/D5</f>
        <v>0</v>
      </c>
      <c r="D34" s="160">
        <f t="shared" si="0"/>
        <v>0</v>
      </c>
    </row>
    <row r="35" spans="1:4" x14ac:dyDescent="0.25">
      <c r="A35" s="185">
        <f>Names!$A:$A</f>
        <v>30</v>
      </c>
      <c r="B35" s="186">
        <f>Names!$B:$B</f>
        <v>0</v>
      </c>
      <c r="C35" s="183">
        <f>D35/D5</f>
        <v>0</v>
      </c>
      <c r="D35" s="160">
        <f t="shared" si="0"/>
        <v>0</v>
      </c>
    </row>
    <row r="36" spans="1:4" x14ac:dyDescent="0.25">
      <c r="A36" s="185">
        <f>Names!$A:$A</f>
        <v>31</v>
      </c>
      <c r="B36" s="186">
        <f>Names!$B:$B</f>
        <v>0</v>
      </c>
      <c r="C36" s="183">
        <f>D36/D5</f>
        <v>0</v>
      </c>
      <c r="D36" s="160">
        <f t="shared" si="0"/>
        <v>0</v>
      </c>
    </row>
    <row r="37" spans="1:4" x14ac:dyDescent="0.25">
      <c r="A37" s="185">
        <f>Names!$A:$A</f>
        <v>32</v>
      </c>
      <c r="B37" s="186">
        <f>Names!$B:$B</f>
        <v>0</v>
      </c>
      <c r="C37" s="183">
        <f>D37/D5</f>
        <v>0</v>
      </c>
      <c r="D37" s="160">
        <f t="shared" si="0"/>
        <v>0</v>
      </c>
    </row>
    <row r="38" spans="1:4" x14ac:dyDescent="0.25">
      <c r="A38" s="185">
        <f>Names!$A:$A</f>
        <v>33</v>
      </c>
      <c r="B38" s="186">
        <f>Names!$B:$B</f>
        <v>0</v>
      </c>
      <c r="C38" s="183">
        <f>D38/D5</f>
        <v>0</v>
      </c>
      <c r="D38" s="160">
        <f t="shared" si="0"/>
        <v>0</v>
      </c>
    </row>
    <row r="39" spans="1:4" x14ac:dyDescent="0.25">
      <c r="A39" s="185">
        <f>Names!$A:$A</f>
        <v>34</v>
      </c>
      <c r="B39" s="186">
        <f>Names!$B:$B</f>
        <v>0</v>
      </c>
      <c r="C39" s="183">
        <f>D39/D5</f>
        <v>0</v>
      </c>
      <c r="D39" s="160">
        <f t="shared" si="0"/>
        <v>0</v>
      </c>
    </row>
    <row r="40" spans="1:4" ht="13" thickBot="1" x14ac:dyDescent="0.3">
      <c r="A40" s="187">
        <f>Names!$A:$A</f>
        <v>35</v>
      </c>
      <c r="B40" s="188">
        <f>Names!$B:$B</f>
        <v>0</v>
      </c>
      <c r="C40" s="184">
        <f>D40/D5</f>
        <v>0</v>
      </c>
      <c r="D40" s="161">
        <f t="shared" si="0"/>
        <v>0</v>
      </c>
    </row>
  </sheetData>
  <sheetCalcPr fullCalcOnLoad="1"/>
  <phoneticPr fontId="0" type="noConversion"/>
  <printOptions gridLines="1"/>
  <pageMargins left="0.75" right="0.75" top="1" bottom="1" header="0.5" footer="0.5"/>
  <pageSetup pageOrder="overThenDown" orientation="portrait" horizontalDpi="300" r:id="rId1"/>
  <headerFooter alignWithMargins="0">
    <oddHeader>&amp;LHarmless&amp;RAs of &amp;T &amp;D</oddHeader>
    <oddFooter>&amp;L&amp;A&amp;C- &amp;P -&amp;R&amp;F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view="pageBreakPreview" zoomScaleNormal="75" workbookViewId="0">
      <selection activeCell="G9" sqref="G9"/>
    </sheetView>
  </sheetViews>
  <sheetFormatPr defaultColWidth="4.7265625" defaultRowHeight="12.5" x14ac:dyDescent="0.25"/>
  <cols>
    <col min="1" max="1" width="4.26953125" style="3" customWidth="1"/>
    <col min="2" max="2" width="22" style="3" customWidth="1"/>
    <col min="3" max="3" width="11.26953125" style="3" customWidth="1"/>
    <col min="4" max="4" width="6.7265625" style="3" customWidth="1"/>
    <col min="5" max="16384" width="4.7265625" style="3"/>
  </cols>
  <sheetData>
    <row r="1" spans="1:7" x14ac:dyDescent="0.25">
      <c r="B1" s="58" t="str">
        <f>Names!B1</f>
        <v>Quarter 1</v>
      </c>
      <c r="C1" s="58"/>
    </row>
    <row r="2" spans="1:7" x14ac:dyDescent="0.25">
      <c r="B2" s="58" t="str">
        <f>Names!B2</f>
        <v>Class</v>
      </c>
      <c r="C2" s="58"/>
    </row>
    <row r="3" spans="1:7" s="5" customFormat="1" ht="48" customHeight="1" thickBot="1" x14ac:dyDescent="0.3">
      <c r="A3" s="4"/>
      <c r="B3" s="58" t="str">
        <f>Names!E1</f>
        <v>Notebook Grade</v>
      </c>
      <c r="C3" s="168">
        <f>Names!E2</f>
        <v>0.1</v>
      </c>
      <c r="D3" s="4"/>
    </row>
    <row r="4" spans="1:7" s="4" customFormat="1" ht="105" customHeight="1" thickBot="1" x14ac:dyDescent="0.3">
      <c r="B4" s="162"/>
      <c r="C4" s="156" t="s">
        <v>99</v>
      </c>
      <c r="D4" s="157" t="s">
        <v>30</v>
      </c>
      <c r="E4" s="4" t="s">
        <v>68</v>
      </c>
      <c r="F4" s="4" t="s">
        <v>69</v>
      </c>
    </row>
    <row r="5" spans="1:7" s="7" customFormat="1" ht="13" thickBot="1" x14ac:dyDescent="0.3">
      <c r="A5" s="191" t="str">
        <f>Names!$A:$A</f>
        <v>#</v>
      </c>
      <c r="B5" s="192" t="str">
        <f>Names!$B:$B</f>
        <v>Last Name, First Name</v>
      </c>
      <c r="C5" s="181">
        <v>1</v>
      </c>
      <c r="D5" s="158">
        <f>SUM(E5:IV5)+0.001</f>
        <v>20.001000000000001</v>
      </c>
      <c r="E5" s="7">
        <v>10</v>
      </c>
      <c r="F5" s="7">
        <v>10</v>
      </c>
    </row>
    <row r="6" spans="1:7" x14ac:dyDescent="0.25">
      <c r="A6" s="189">
        <f>Names!$A:$A</f>
        <v>1</v>
      </c>
      <c r="B6" s="190" t="str">
        <f>Names!$B:$B</f>
        <v>Adams, Bob</v>
      </c>
      <c r="C6" s="182">
        <f>D6/D5</f>
        <v>0.94995250237488116</v>
      </c>
      <c r="D6" s="159">
        <f t="shared" ref="D6:D40" si="0">SUM(E6:IV6)</f>
        <v>19</v>
      </c>
      <c r="E6" s="3">
        <v>10</v>
      </c>
      <c r="F6" s="27">
        <v>9</v>
      </c>
      <c r="G6" s="27"/>
    </row>
    <row r="7" spans="1:7" x14ac:dyDescent="0.25">
      <c r="A7" s="185">
        <f>Names!$A:$A</f>
        <v>2</v>
      </c>
      <c r="B7" s="186" t="str">
        <f>Names!$B:$B</f>
        <v>Jones, George</v>
      </c>
      <c r="C7" s="183">
        <f>D7/D5</f>
        <v>0.99995000249987498</v>
      </c>
      <c r="D7" s="160">
        <f t="shared" si="0"/>
        <v>20</v>
      </c>
      <c r="E7" s="3">
        <v>10</v>
      </c>
      <c r="F7" s="27">
        <v>10</v>
      </c>
      <c r="G7" s="27"/>
    </row>
    <row r="8" spans="1:7" x14ac:dyDescent="0.25">
      <c r="A8" s="185">
        <f>Names!$A:$A</f>
        <v>3</v>
      </c>
      <c r="B8" s="186" t="str">
        <f>Names!$B:$B</f>
        <v>Smith, Ralph</v>
      </c>
      <c r="C8" s="183">
        <f>D8/D5</f>
        <v>0.99995000249987498</v>
      </c>
      <c r="D8" s="160">
        <f t="shared" si="0"/>
        <v>20</v>
      </c>
      <c r="E8" s="27">
        <v>10</v>
      </c>
      <c r="F8" s="27">
        <v>10</v>
      </c>
      <c r="G8" s="27"/>
    </row>
    <row r="9" spans="1:7" x14ac:dyDescent="0.25">
      <c r="A9" s="185">
        <f>Names!$A:$A</f>
        <v>4</v>
      </c>
      <c r="B9" s="186">
        <f>Names!$B:$B</f>
        <v>0</v>
      </c>
      <c r="C9" s="183">
        <f>D9/D5</f>
        <v>0</v>
      </c>
      <c r="D9" s="160">
        <f t="shared" si="0"/>
        <v>0</v>
      </c>
      <c r="F9" s="27"/>
      <c r="G9" s="27"/>
    </row>
    <row r="10" spans="1:7" x14ac:dyDescent="0.25">
      <c r="A10" s="185">
        <f>Names!$A:$A</f>
        <v>5</v>
      </c>
      <c r="B10" s="186">
        <f>Names!$B:$B</f>
        <v>0</v>
      </c>
      <c r="C10" s="183">
        <f>D10/D5</f>
        <v>0</v>
      </c>
      <c r="D10" s="160">
        <f t="shared" si="0"/>
        <v>0</v>
      </c>
      <c r="F10" s="27"/>
      <c r="G10" s="27"/>
    </row>
    <row r="11" spans="1:7" x14ac:dyDescent="0.25">
      <c r="A11" s="185">
        <f>Names!$A:$A</f>
        <v>6</v>
      </c>
      <c r="B11" s="186">
        <f>Names!$B:$B</f>
        <v>0</v>
      </c>
      <c r="C11" s="183">
        <f>D11/D5</f>
        <v>0</v>
      </c>
      <c r="D11" s="160">
        <f t="shared" si="0"/>
        <v>0</v>
      </c>
      <c r="F11" s="27"/>
      <c r="G11" s="27"/>
    </row>
    <row r="12" spans="1:7" x14ac:dyDescent="0.25">
      <c r="A12" s="185">
        <f>Names!$A:$A</f>
        <v>7</v>
      </c>
      <c r="B12" s="186">
        <f>Names!$B:$B</f>
        <v>0</v>
      </c>
      <c r="C12" s="183">
        <f>D12/D5</f>
        <v>0</v>
      </c>
      <c r="D12" s="160">
        <f t="shared" si="0"/>
        <v>0</v>
      </c>
      <c r="F12" s="27"/>
      <c r="G12" s="27"/>
    </row>
    <row r="13" spans="1:7" x14ac:dyDescent="0.25">
      <c r="A13" s="185">
        <f>Names!$A:$A</f>
        <v>8</v>
      </c>
      <c r="B13" s="186">
        <f>Names!$B:$B</f>
        <v>0</v>
      </c>
      <c r="C13" s="183">
        <f>D13/D5</f>
        <v>0</v>
      </c>
      <c r="D13" s="160">
        <f t="shared" si="0"/>
        <v>0</v>
      </c>
      <c r="F13" s="27"/>
      <c r="G13" s="27"/>
    </row>
    <row r="14" spans="1:7" x14ac:dyDescent="0.25">
      <c r="A14" s="185">
        <f>Names!$A:$A</f>
        <v>9</v>
      </c>
      <c r="B14" s="186">
        <f>Names!$B:$B</f>
        <v>0</v>
      </c>
      <c r="C14" s="183">
        <f>D14/D5</f>
        <v>0</v>
      </c>
      <c r="D14" s="160">
        <f t="shared" si="0"/>
        <v>0</v>
      </c>
      <c r="F14" s="27"/>
      <c r="G14" s="27"/>
    </row>
    <row r="15" spans="1:7" x14ac:dyDescent="0.25">
      <c r="A15" s="185">
        <f>Names!$A:$A</f>
        <v>10</v>
      </c>
      <c r="B15" s="186">
        <f>Names!$B:$B</f>
        <v>0</v>
      </c>
      <c r="C15" s="183">
        <f>D15/D5</f>
        <v>0</v>
      </c>
      <c r="D15" s="160">
        <f t="shared" si="0"/>
        <v>0</v>
      </c>
      <c r="F15" s="27"/>
      <c r="G15" s="27"/>
    </row>
    <row r="16" spans="1:7" x14ac:dyDescent="0.25">
      <c r="A16" s="185">
        <f>Names!$A:$A</f>
        <v>11</v>
      </c>
      <c r="B16" s="186">
        <f>Names!$B:$B</f>
        <v>0</v>
      </c>
      <c r="C16" s="183">
        <f>D16/D5</f>
        <v>0</v>
      </c>
      <c r="D16" s="160">
        <f t="shared" si="0"/>
        <v>0</v>
      </c>
      <c r="F16" s="27"/>
      <c r="G16" s="27"/>
    </row>
    <row r="17" spans="1:5" x14ac:dyDescent="0.25">
      <c r="A17" s="185">
        <f>Names!$A:$A</f>
        <v>12</v>
      </c>
      <c r="B17" s="186">
        <f>Names!$B:$B</f>
        <v>0</v>
      </c>
      <c r="C17" s="183">
        <f>D17/D5</f>
        <v>0</v>
      </c>
      <c r="D17" s="160">
        <f t="shared" si="0"/>
        <v>0</v>
      </c>
      <c r="E17" s="27"/>
    </row>
    <row r="18" spans="1:5" x14ac:dyDescent="0.25">
      <c r="A18" s="185">
        <f>Names!$A:$A</f>
        <v>13</v>
      </c>
      <c r="B18" s="186">
        <f>Names!$B:$B</f>
        <v>0</v>
      </c>
      <c r="C18" s="183">
        <f>D18/D5</f>
        <v>0</v>
      </c>
      <c r="D18" s="160">
        <f t="shared" si="0"/>
        <v>0</v>
      </c>
      <c r="E18" s="27"/>
    </row>
    <row r="19" spans="1:5" x14ac:dyDescent="0.25">
      <c r="A19" s="185">
        <f>Names!$A:$A</f>
        <v>14</v>
      </c>
      <c r="B19" s="186">
        <f>Names!$B:$B</f>
        <v>0</v>
      </c>
      <c r="C19" s="183">
        <f>D19/D5</f>
        <v>0</v>
      </c>
      <c r="D19" s="160">
        <f t="shared" si="0"/>
        <v>0</v>
      </c>
      <c r="E19" s="27"/>
    </row>
    <row r="20" spans="1:5" x14ac:dyDescent="0.25">
      <c r="A20" s="185">
        <f>Names!$A:$A</f>
        <v>15</v>
      </c>
      <c r="B20" s="186">
        <f>Names!$B:$B</f>
        <v>0</v>
      </c>
      <c r="C20" s="183">
        <f>D20/D5</f>
        <v>0</v>
      </c>
      <c r="D20" s="160">
        <f t="shared" si="0"/>
        <v>0</v>
      </c>
      <c r="E20" s="27"/>
    </row>
    <row r="21" spans="1:5" x14ac:dyDescent="0.25">
      <c r="A21" s="185">
        <f>Names!$A:$A</f>
        <v>16</v>
      </c>
      <c r="B21" s="186">
        <f>Names!$B:$B</f>
        <v>0</v>
      </c>
      <c r="C21" s="183">
        <f>D21/D5</f>
        <v>0</v>
      </c>
      <c r="D21" s="160">
        <f t="shared" si="0"/>
        <v>0</v>
      </c>
      <c r="E21" s="27"/>
    </row>
    <row r="22" spans="1:5" x14ac:dyDescent="0.25">
      <c r="A22" s="185">
        <f>Names!$A:$A</f>
        <v>17</v>
      </c>
      <c r="B22" s="186">
        <f>Names!$B:$B</f>
        <v>0</v>
      </c>
      <c r="C22" s="183">
        <f>D22/D5</f>
        <v>0</v>
      </c>
      <c r="D22" s="160">
        <f t="shared" si="0"/>
        <v>0</v>
      </c>
      <c r="E22" s="27"/>
    </row>
    <row r="23" spans="1:5" x14ac:dyDescent="0.25">
      <c r="A23" s="185">
        <f>Names!$A:$A</f>
        <v>18</v>
      </c>
      <c r="B23" s="186">
        <f>Names!$B:$B</f>
        <v>0</v>
      </c>
      <c r="C23" s="183">
        <f>D23/D5</f>
        <v>0</v>
      </c>
      <c r="D23" s="160">
        <f t="shared" si="0"/>
        <v>0</v>
      </c>
      <c r="E23" s="27"/>
    </row>
    <row r="24" spans="1:5" x14ac:dyDescent="0.25">
      <c r="A24" s="185">
        <f>Names!$A:$A</f>
        <v>19</v>
      </c>
      <c r="B24" s="186">
        <f>Names!$B:$B</f>
        <v>0</v>
      </c>
      <c r="C24" s="183">
        <f>D24/D5</f>
        <v>0</v>
      </c>
      <c r="D24" s="160">
        <f t="shared" si="0"/>
        <v>0</v>
      </c>
      <c r="E24" s="27"/>
    </row>
    <row r="25" spans="1:5" x14ac:dyDescent="0.25">
      <c r="A25" s="185">
        <f>Names!$A:$A</f>
        <v>20</v>
      </c>
      <c r="B25" s="186">
        <f>Names!$B:$B</f>
        <v>0</v>
      </c>
      <c r="C25" s="183">
        <f>D25/D5</f>
        <v>0</v>
      </c>
      <c r="D25" s="160">
        <f t="shared" si="0"/>
        <v>0</v>
      </c>
      <c r="E25" s="27"/>
    </row>
    <row r="26" spans="1:5" x14ac:dyDescent="0.25">
      <c r="A26" s="185">
        <f>Names!$A:$A</f>
        <v>21</v>
      </c>
      <c r="B26" s="186">
        <f>Names!$B:$B</f>
        <v>0</v>
      </c>
      <c r="C26" s="183">
        <f>D26/D5</f>
        <v>0</v>
      </c>
      <c r="D26" s="160">
        <f t="shared" si="0"/>
        <v>0</v>
      </c>
      <c r="E26" s="27"/>
    </row>
    <row r="27" spans="1:5" x14ac:dyDescent="0.25">
      <c r="A27" s="185">
        <f>Names!$A:$A</f>
        <v>22</v>
      </c>
      <c r="B27" s="186">
        <f>Names!$B:$B</f>
        <v>0</v>
      </c>
      <c r="C27" s="183">
        <f>D27/D5</f>
        <v>0</v>
      </c>
      <c r="D27" s="160">
        <f t="shared" si="0"/>
        <v>0</v>
      </c>
      <c r="E27" s="27"/>
    </row>
    <row r="28" spans="1:5" x14ac:dyDescent="0.25">
      <c r="A28" s="185">
        <f>Names!$A:$A</f>
        <v>23</v>
      </c>
      <c r="B28" s="186">
        <f>Names!$B:$B</f>
        <v>0</v>
      </c>
      <c r="C28" s="183">
        <f>D28/D5</f>
        <v>0</v>
      </c>
      <c r="D28" s="160">
        <f t="shared" si="0"/>
        <v>0</v>
      </c>
      <c r="E28" s="27"/>
    </row>
    <row r="29" spans="1:5" x14ac:dyDescent="0.25">
      <c r="A29" s="185">
        <f>Names!$A:$A</f>
        <v>24</v>
      </c>
      <c r="B29" s="186">
        <f>Names!$B:$B</f>
        <v>0</v>
      </c>
      <c r="C29" s="183">
        <f>D29/D5</f>
        <v>0</v>
      </c>
      <c r="D29" s="160">
        <f t="shared" si="0"/>
        <v>0</v>
      </c>
      <c r="E29" s="27"/>
    </row>
    <row r="30" spans="1:5" x14ac:dyDescent="0.25">
      <c r="A30" s="185">
        <f>Names!$A:$A</f>
        <v>25</v>
      </c>
      <c r="B30" s="186">
        <f>Names!$B:$B</f>
        <v>0</v>
      </c>
      <c r="C30" s="183">
        <f>D30/D5</f>
        <v>0</v>
      </c>
      <c r="D30" s="160">
        <f t="shared" si="0"/>
        <v>0</v>
      </c>
    </row>
    <row r="31" spans="1:5" x14ac:dyDescent="0.25">
      <c r="A31" s="185">
        <f>Names!$A:$A</f>
        <v>26</v>
      </c>
      <c r="B31" s="186">
        <f>Names!$B:$B</f>
        <v>0</v>
      </c>
      <c r="C31" s="183">
        <f>D31/D5</f>
        <v>0</v>
      </c>
      <c r="D31" s="160">
        <f t="shared" si="0"/>
        <v>0</v>
      </c>
    </row>
    <row r="32" spans="1:5" x14ac:dyDescent="0.25">
      <c r="A32" s="185">
        <f>Names!$A:$A</f>
        <v>27</v>
      </c>
      <c r="B32" s="186">
        <f>Names!$B:$B</f>
        <v>0</v>
      </c>
      <c r="C32" s="183">
        <f>D32/D5</f>
        <v>0</v>
      </c>
      <c r="D32" s="160">
        <f t="shared" si="0"/>
        <v>0</v>
      </c>
    </row>
    <row r="33" spans="1:4" x14ac:dyDescent="0.25">
      <c r="A33" s="185">
        <f>Names!$A:$A</f>
        <v>28</v>
      </c>
      <c r="B33" s="186">
        <f>Names!$B:$B</f>
        <v>0</v>
      </c>
      <c r="C33" s="183">
        <f>D33/D5</f>
        <v>0</v>
      </c>
      <c r="D33" s="160">
        <f t="shared" si="0"/>
        <v>0</v>
      </c>
    </row>
    <row r="34" spans="1:4" x14ac:dyDescent="0.25">
      <c r="A34" s="185">
        <f>Names!$A:$A</f>
        <v>29</v>
      </c>
      <c r="B34" s="186">
        <f>Names!$B:$B</f>
        <v>0</v>
      </c>
      <c r="C34" s="183">
        <f>D34/D5</f>
        <v>0</v>
      </c>
      <c r="D34" s="160">
        <f t="shared" si="0"/>
        <v>0</v>
      </c>
    </row>
    <row r="35" spans="1:4" x14ac:dyDescent="0.25">
      <c r="A35" s="185">
        <f>Names!$A:$A</f>
        <v>30</v>
      </c>
      <c r="B35" s="186">
        <f>Names!$B:$B</f>
        <v>0</v>
      </c>
      <c r="C35" s="183">
        <f>D35/D5</f>
        <v>0</v>
      </c>
      <c r="D35" s="160">
        <f t="shared" si="0"/>
        <v>0</v>
      </c>
    </row>
    <row r="36" spans="1:4" x14ac:dyDescent="0.25">
      <c r="A36" s="185">
        <f>Names!$A:$A</f>
        <v>31</v>
      </c>
      <c r="B36" s="186">
        <f>Names!$B:$B</f>
        <v>0</v>
      </c>
      <c r="C36" s="183">
        <f>D36/D5</f>
        <v>0</v>
      </c>
      <c r="D36" s="160">
        <f t="shared" si="0"/>
        <v>0</v>
      </c>
    </row>
    <row r="37" spans="1:4" x14ac:dyDescent="0.25">
      <c r="A37" s="185">
        <f>Names!$A:$A</f>
        <v>32</v>
      </c>
      <c r="B37" s="186">
        <f>Names!$B:$B</f>
        <v>0</v>
      </c>
      <c r="C37" s="183">
        <f>D37/D5</f>
        <v>0</v>
      </c>
      <c r="D37" s="160">
        <f t="shared" si="0"/>
        <v>0</v>
      </c>
    </row>
    <row r="38" spans="1:4" x14ac:dyDescent="0.25">
      <c r="A38" s="185">
        <f>Names!$A:$A</f>
        <v>33</v>
      </c>
      <c r="B38" s="186">
        <f>Names!$B:$B</f>
        <v>0</v>
      </c>
      <c r="C38" s="183">
        <f>D38/D5</f>
        <v>0</v>
      </c>
      <c r="D38" s="160">
        <f t="shared" si="0"/>
        <v>0</v>
      </c>
    </row>
    <row r="39" spans="1:4" x14ac:dyDescent="0.25">
      <c r="A39" s="185">
        <f>Names!$A:$A</f>
        <v>34</v>
      </c>
      <c r="B39" s="186">
        <f>Names!$B:$B</f>
        <v>0</v>
      </c>
      <c r="C39" s="183">
        <f>D39/D5</f>
        <v>0</v>
      </c>
      <c r="D39" s="160">
        <f t="shared" si="0"/>
        <v>0</v>
      </c>
    </row>
    <row r="40" spans="1:4" ht="13" thickBot="1" x14ac:dyDescent="0.3">
      <c r="A40" s="187">
        <f>Names!$A:$A</f>
        <v>35</v>
      </c>
      <c r="B40" s="188">
        <f>Names!$B:$B</f>
        <v>0</v>
      </c>
      <c r="C40" s="184">
        <f>D40/D5</f>
        <v>0</v>
      </c>
      <c r="D40" s="161">
        <f t="shared" si="0"/>
        <v>0</v>
      </c>
    </row>
  </sheetData>
  <sheetCalcPr fullCalcOnLoad="1"/>
  <phoneticPr fontId="0" type="noConversion"/>
  <printOptions gridLines="1"/>
  <pageMargins left="0.75" right="0.75" top="1" bottom="1" header="0.5" footer="0.5"/>
  <pageSetup pageOrder="overThenDown" orientation="portrait" horizontalDpi="300" r:id="rId1"/>
  <headerFooter alignWithMargins="0">
    <oddHeader>&amp;LHarmless&amp;RAs of &amp;T &amp;D</oddHeader>
    <oddFooter>&amp;L&amp;A&amp;C- &amp;P -&amp;R&amp;F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420"/>
  <sheetViews>
    <sheetView view="pageBreakPreview" zoomScaleNormal="75" workbookViewId="0">
      <selection activeCell="L4" sqref="L4"/>
    </sheetView>
  </sheetViews>
  <sheetFormatPr defaultColWidth="4.7265625" defaultRowHeight="12.5" x14ac:dyDescent="0.25"/>
  <cols>
    <col min="1" max="1" width="4.26953125" style="3" customWidth="1"/>
    <col min="2" max="2" width="21.7265625" style="3" customWidth="1"/>
    <col min="3" max="3" width="9.7265625" style="3" customWidth="1"/>
    <col min="4" max="5" width="6.7265625" style="3" customWidth="1"/>
    <col min="6" max="7" width="4.7265625" style="3" customWidth="1"/>
    <col min="8" max="8" width="4.7265625" style="37" customWidth="1"/>
    <col min="9" max="10" width="4.7265625" style="3" customWidth="1"/>
    <col min="11" max="11" width="4.7265625" style="37" customWidth="1"/>
    <col min="12" max="12" width="4.7265625" style="3" customWidth="1"/>
    <col min="13" max="13" width="4.7265625" style="37" customWidth="1"/>
    <col min="14" max="15" width="4.7265625" style="3" customWidth="1"/>
    <col min="16" max="16" width="4.7265625" style="37" customWidth="1"/>
    <col min="17" max="16384" width="4.7265625" style="3"/>
  </cols>
  <sheetData>
    <row r="1" spans="1:50" ht="13" thickBot="1" x14ac:dyDescent="0.3">
      <c r="B1" s="58" t="str">
        <f>Names!B1</f>
        <v>Quarter 1</v>
      </c>
      <c r="C1" s="58"/>
      <c r="D1" s="58"/>
      <c r="H1" s="3"/>
      <c r="K1" s="3"/>
      <c r="M1" s="3"/>
      <c r="P1" s="3"/>
    </row>
    <row r="2" spans="1:50" ht="13" thickBot="1" x14ac:dyDescent="0.3">
      <c r="B2" s="58" t="str">
        <f>Names!B2</f>
        <v>Class</v>
      </c>
      <c r="C2" s="58"/>
      <c r="D2" s="58"/>
      <c r="F2" s="6" t="s">
        <v>70</v>
      </c>
      <c r="G2" s="7" t="s">
        <v>71</v>
      </c>
      <c r="H2" s="7" t="s">
        <v>72</v>
      </c>
      <c r="I2" s="103" t="s">
        <v>73</v>
      </c>
      <c r="J2" s="103" t="s">
        <v>74</v>
      </c>
      <c r="K2" s="7" t="s">
        <v>70</v>
      </c>
      <c r="L2" s="7" t="s">
        <v>71</v>
      </c>
      <c r="M2" s="7" t="s">
        <v>72</v>
      </c>
      <c r="N2" s="103" t="s">
        <v>73</v>
      </c>
      <c r="O2" s="103" t="s">
        <v>74</v>
      </c>
      <c r="P2" s="7" t="s">
        <v>70</v>
      </c>
      <c r="Q2" s="7" t="s">
        <v>71</v>
      </c>
      <c r="R2" s="7" t="s">
        <v>72</v>
      </c>
      <c r="S2" s="103" t="s">
        <v>73</v>
      </c>
      <c r="T2" s="103" t="s">
        <v>74</v>
      </c>
      <c r="U2" s="7" t="s">
        <v>70</v>
      </c>
      <c r="V2" s="7" t="s">
        <v>71</v>
      </c>
      <c r="W2" s="7" t="s">
        <v>72</v>
      </c>
      <c r="X2" s="103" t="s">
        <v>73</v>
      </c>
      <c r="Y2" s="103" t="s">
        <v>74</v>
      </c>
      <c r="Z2" s="7" t="s">
        <v>70</v>
      </c>
      <c r="AA2" s="7" t="s">
        <v>71</v>
      </c>
      <c r="AB2" s="7" t="s">
        <v>72</v>
      </c>
      <c r="AC2" s="103" t="s">
        <v>73</v>
      </c>
      <c r="AD2" s="103" t="s">
        <v>74</v>
      </c>
      <c r="AE2" s="7" t="s">
        <v>70</v>
      </c>
      <c r="AF2" s="7" t="s">
        <v>71</v>
      </c>
      <c r="AG2" s="7" t="s">
        <v>72</v>
      </c>
      <c r="AH2" s="103" t="s">
        <v>73</v>
      </c>
      <c r="AI2" s="103" t="s">
        <v>74</v>
      </c>
      <c r="AJ2" s="7" t="s">
        <v>70</v>
      </c>
      <c r="AK2" s="7" t="s">
        <v>71</v>
      </c>
      <c r="AL2" s="7" t="s">
        <v>72</v>
      </c>
      <c r="AM2" s="103" t="s">
        <v>73</v>
      </c>
      <c r="AN2" s="103" t="s">
        <v>74</v>
      </c>
      <c r="AO2" s="7" t="s">
        <v>70</v>
      </c>
      <c r="AP2" s="7" t="s">
        <v>71</v>
      </c>
      <c r="AQ2" s="7" t="s">
        <v>72</v>
      </c>
      <c r="AR2" s="103" t="s">
        <v>73</v>
      </c>
      <c r="AS2" s="103" t="s">
        <v>74</v>
      </c>
      <c r="AT2" s="7" t="s">
        <v>70</v>
      </c>
      <c r="AU2" s="7" t="s">
        <v>71</v>
      </c>
      <c r="AV2" s="7" t="s">
        <v>72</v>
      </c>
      <c r="AW2" s="103" t="s">
        <v>73</v>
      </c>
      <c r="AX2" s="197" t="s">
        <v>74</v>
      </c>
    </row>
    <row r="3" spans="1:50" s="5" customFormat="1" ht="44.25" customHeight="1" thickBot="1" x14ac:dyDescent="0.3">
      <c r="A3" s="4"/>
      <c r="B3" s="58" t="str">
        <f>Names!F1</f>
        <v>Homework Grade</v>
      </c>
      <c r="C3" s="168">
        <f>Names!F2</f>
        <v>0.15</v>
      </c>
      <c r="D3" s="162" t="s">
        <v>6</v>
      </c>
      <c r="E3" s="4"/>
      <c r="F3" s="144"/>
      <c r="AX3" s="145"/>
    </row>
    <row r="4" spans="1:50" s="4" customFormat="1" ht="105" customHeight="1" thickBot="1" x14ac:dyDescent="0.3">
      <c r="B4" s="162"/>
      <c r="C4" s="156" t="s">
        <v>28</v>
      </c>
      <c r="D4" s="166" t="s">
        <v>30</v>
      </c>
      <c r="E4" s="220" t="s">
        <v>29</v>
      </c>
      <c r="F4" s="193" t="s">
        <v>110</v>
      </c>
      <c r="G4" s="194" t="s">
        <v>111</v>
      </c>
      <c r="H4" s="195" t="s">
        <v>112</v>
      </c>
      <c r="I4" s="195" t="s">
        <v>113</v>
      </c>
      <c r="J4" s="195" t="s">
        <v>114</v>
      </c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6"/>
    </row>
    <row r="5" spans="1:50" s="7" customFormat="1" ht="13" thickBot="1" x14ac:dyDescent="0.3">
      <c r="A5" s="191" t="str">
        <f>Names!$A:$A</f>
        <v>#</v>
      </c>
      <c r="B5" s="192" t="str">
        <f>Names!$B:$B</f>
        <v>Last Name, First Name</v>
      </c>
      <c r="C5" s="181">
        <v>1</v>
      </c>
      <c r="D5" s="164">
        <f>SUM(F5:IV5)+0.001</f>
        <v>30.001000000000001</v>
      </c>
      <c r="E5" s="221">
        <f>(COUNT(F5:AS5))</f>
        <v>5</v>
      </c>
      <c r="F5" s="7">
        <v>5</v>
      </c>
      <c r="G5" s="7">
        <v>10</v>
      </c>
      <c r="H5" s="7">
        <v>5</v>
      </c>
      <c r="I5" s="7">
        <v>5</v>
      </c>
      <c r="J5" s="7">
        <v>5</v>
      </c>
    </row>
    <row r="6" spans="1:50" x14ac:dyDescent="0.25">
      <c r="A6" s="189">
        <f>Names!$A:$A</f>
        <v>1</v>
      </c>
      <c r="B6" s="190" t="str">
        <f>Names!$B:$B</f>
        <v>Adams, Bob</v>
      </c>
      <c r="C6" s="182">
        <f>D6/D5</f>
        <v>0.83330555648145055</v>
      </c>
      <c r="D6" s="167">
        <f t="shared" ref="D6:D40" si="0">SUM(F6:IV6)</f>
        <v>25</v>
      </c>
      <c r="E6" s="222">
        <f>E5-(COUNT(F6:AS6))</f>
        <v>1</v>
      </c>
      <c r="F6" s="3">
        <v>5</v>
      </c>
      <c r="G6" s="3">
        <v>10</v>
      </c>
      <c r="H6" s="3">
        <v>5</v>
      </c>
      <c r="I6" s="27">
        <v>5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</row>
    <row r="7" spans="1:50" x14ac:dyDescent="0.25">
      <c r="A7" s="185">
        <f>Names!$A:$A</f>
        <v>2</v>
      </c>
      <c r="B7" s="186" t="str">
        <f>Names!$B:$B</f>
        <v>Jones, George</v>
      </c>
      <c r="C7" s="183">
        <f>D7/D5</f>
        <v>0.66664444518516042</v>
      </c>
      <c r="D7" s="163">
        <f t="shared" si="0"/>
        <v>20</v>
      </c>
      <c r="E7" s="223">
        <f>E5-(COUNT(F7:AS7))</f>
        <v>2</v>
      </c>
      <c r="F7" s="27">
        <v>5</v>
      </c>
      <c r="G7" s="27">
        <v>10</v>
      </c>
      <c r="H7" s="3">
        <v>5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</row>
    <row r="8" spans="1:50" x14ac:dyDescent="0.25">
      <c r="A8" s="185">
        <f>Names!$A:$A</f>
        <v>3</v>
      </c>
      <c r="B8" s="186" t="str">
        <f>Names!$B:$B</f>
        <v>Smith, Ralph</v>
      </c>
      <c r="C8" s="183">
        <f>D8/D5</f>
        <v>0.99996666777774068</v>
      </c>
      <c r="D8" s="163">
        <f t="shared" si="0"/>
        <v>30</v>
      </c>
      <c r="E8" s="223">
        <f>E5-(COUNT(F8:AS8))</f>
        <v>0</v>
      </c>
      <c r="F8" s="27">
        <v>5</v>
      </c>
      <c r="G8" s="27">
        <v>10</v>
      </c>
      <c r="H8" s="27">
        <v>5</v>
      </c>
      <c r="I8" s="27">
        <v>5</v>
      </c>
      <c r="J8" s="27">
        <v>5</v>
      </c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</row>
    <row r="9" spans="1:50" x14ac:dyDescent="0.25">
      <c r="A9" s="185">
        <f>Names!$A:$A</f>
        <v>4</v>
      </c>
      <c r="B9" s="186">
        <f>Names!$B:$B</f>
        <v>0</v>
      </c>
      <c r="C9" s="183">
        <f>D9/D5</f>
        <v>0</v>
      </c>
      <c r="D9" s="163">
        <f t="shared" si="0"/>
        <v>0</v>
      </c>
      <c r="E9" s="223">
        <f>E5-(COUNT(F9:AS9))</f>
        <v>5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</row>
    <row r="10" spans="1:50" x14ac:dyDescent="0.25">
      <c r="A10" s="185">
        <f>Names!$A:$A</f>
        <v>5</v>
      </c>
      <c r="B10" s="186">
        <f>Names!$B:$B</f>
        <v>0</v>
      </c>
      <c r="C10" s="183">
        <f>D10/D5</f>
        <v>0</v>
      </c>
      <c r="D10" s="163">
        <f t="shared" si="0"/>
        <v>0</v>
      </c>
      <c r="E10" s="223">
        <f>E5-(COUNT(F10:AS10))</f>
        <v>5</v>
      </c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V10" s="27"/>
      <c r="W10" s="27"/>
      <c r="X10" s="27"/>
      <c r="Y10" s="27"/>
    </row>
    <row r="11" spans="1:50" x14ac:dyDescent="0.25">
      <c r="A11" s="185">
        <f>Names!$A:$A</f>
        <v>6</v>
      </c>
      <c r="B11" s="186">
        <f>Names!$B:$B</f>
        <v>0</v>
      </c>
      <c r="C11" s="183">
        <f>D11/D5</f>
        <v>0</v>
      </c>
      <c r="D11" s="163">
        <f t="shared" si="0"/>
        <v>0</v>
      </c>
      <c r="E11" s="223">
        <f>E5-(COUNT(F11:AS11))</f>
        <v>5</v>
      </c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V11" s="27"/>
      <c r="W11" s="27"/>
      <c r="X11" s="27"/>
      <c r="Y11" s="27"/>
    </row>
    <row r="12" spans="1:50" x14ac:dyDescent="0.25">
      <c r="A12" s="185">
        <f>Names!$A:$A</f>
        <v>7</v>
      </c>
      <c r="B12" s="186">
        <f>Names!$B:$B</f>
        <v>0</v>
      </c>
      <c r="C12" s="183">
        <f>D12/D5</f>
        <v>0</v>
      </c>
      <c r="D12" s="163">
        <f t="shared" si="0"/>
        <v>0</v>
      </c>
      <c r="E12" s="223">
        <f>E5-(COUNT(F12:AS12))</f>
        <v>5</v>
      </c>
      <c r="F12" s="27"/>
      <c r="G12" s="27"/>
      <c r="H12" s="27"/>
      <c r="I12" s="27"/>
      <c r="J12" s="27"/>
      <c r="K12" s="3"/>
      <c r="L12" s="27"/>
      <c r="M12" s="27"/>
      <c r="N12" s="27"/>
      <c r="O12" s="27"/>
      <c r="P12" s="27"/>
      <c r="Q12" s="27"/>
      <c r="R12" s="27"/>
      <c r="S12" s="27"/>
      <c r="T12" s="27"/>
      <c r="V12" s="27"/>
      <c r="W12" s="27"/>
      <c r="X12" s="27"/>
      <c r="Y12" s="27"/>
    </row>
    <row r="13" spans="1:50" x14ac:dyDescent="0.25">
      <c r="A13" s="185">
        <f>Names!$A:$A</f>
        <v>8</v>
      </c>
      <c r="B13" s="186">
        <f>Names!$B:$B</f>
        <v>0</v>
      </c>
      <c r="C13" s="183">
        <f>D13/D5</f>
        <v>0</v>
      </c>
      <c r="D13" s="163">
        <f t="shared" si="0"/>
        <v>0</v>
      </c>
      <c r="E13" s="223">
        <f>E5-(COUNT(F13:AS13))</f>
        <v>5</v>
      </c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W13" s="27"/>
      <c r="X13" s="27"/>
      <c r="Y13" s="27"/>
    </row>
    <row r="14" spans="1:50" x14ac:dyDescent="0.25">
      <c r="A14" s="185">
        <f>Names!$A:$A</f>
        <v>9</v>
      </c>
      <c r="B14" s="186">
        <f>Names!$B:$B</f>
        <v>0</v>
      </c>
      <c r="C14" s="183">
        <f>D14/D5</f>
        <v>0</v>
      </c>
      <c r="D14" s="163">
        <f t="shared" si="0"/>
        <v>0</v>
      </c>
      <c r="E14" s="223">
        <f>E5-(COUNT(F14:AS14))</f>
        <v>5</v>
      </c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V14" s="27"/>
      <c r="W14" s="27"/>
      <c r="X14" s="27"/>
      <c r="Y14" s="27"/>
    </row>
    <row r="15" spans="1:50" x14ac:dyDescent="0.25">
      <c r="A15" s="185">
        <f>Names!$A:$A</f>
        <v>10</v>
      </c>
      <c r="B15" s="186">
        <f>Names!$B:$B</f>
        <v>0</v>
      </c>
      <c r="C15" s="183">
        <f>D15/D5</f>
        <v>0</v>
      </c>
      <c r="D15" s="163">
        <f t="shared" si="0"/>
        <v>0</v>
      </c>
      <c r="E15" s="223">
        <f>E5-(COUNT(F15:AS15))</f>
        <v>5</v>
      </c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X15" s="27"/>
      <c r="Y15" s="27"/>
    </row>
    <row r="16" spans="1:50" x14ac:dyDescent="0.25">
      <c r="A16" s="185">
        <f>Names!$A:$A</f>
        <v>11</v>
      </c>
      <c r="B16" s="186">
        <f>Names!$B:$B</f>
        <v>0</v>
      </c>
      <c r="C16" s="183">
        <f>D16/D5</f>
        <v>0</v>
      </c>
      <c r="D16" s="163">
        <f t="shared" si="0"/>
        <v>0</v>
      </c>
      <c r="E16" s="223">
        <f>E5-(COUNT(F16:AS16))</f>
        <v>5</v>
      </c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spans="1:16" x14ac:dyDescent="0.25">
      <c r="A17" s="185">
        <f>Names!$A:$A</f>
        <v>12</v>
      </c>
      <c r="B17" s="186">
        <f>Names!$B:$B</f>
        <v>0</v>
      </c>
      <c r="C17" s="183">
        <f>D17/D5</f>
        <v>0</v>
      </c>
      <c r="D17" s="163">
        <f t="shared" si="0"/>
        <v>0</v>
      </c>
      <c r="E17" s="223">
        <f>E5-(COUNT(F17:AS17))</f>
        <v>5</v>
      </c>
      <c r="F17" s="27"/>
      <c r="G17" s="27"/>
      <c r="H17" s="27"/>
      <c r="I17" s="27"/>
      <c r="J17" s="27"/>
      <c r="K17" s="27"/>
      <c r="L17" s="27"/>
      <c r="M17" s="27"/>
      <c r="P17" s="3"/>
    </row>
    <row r="18" spans="1:16" x14ac:dyDescent="0.25">
      <c r="A18" s="185">
        <f>Names!$A:$A</f>
        <v>13</v>
      </c>
      <c r="B18" s="186">
        <f>Names!$B:$B</f>
        <v>0</v>
      </c>
      <c r="C18" s="183">
        <f>D18/D5</f>
        <v>0</v>
      </c>
      <c r="D18" s="163">
        <f t="shared" si="0"/>
        <v>0</v>
      </c>
      <c r="E18" s="223">
        <f>E5-(COUNT(F18:AS18))</f>
        <v>5</v>
      </c>
      <c r="F18" s="27"/>
      <c r="G18" s="27"/>
      <c r="H18" s="27"/>
      <c r="I18" s="27"/>
      <c r="J18" s="27"/>
      <c r="K18" s="27"/>
      <c r="L18" s="27"/>
      <c r="M18" s="27"/>
      <c r="P18" s="3"/>
    </row>
    <row r="19" spans="1:16" x14ac:dyDescent="0.25">
      <c r="A19" s="185">
        <f>Names!$A:$A</f>
        <v>14</v>
      </c>
      <c r="B19" s="186">
        <f>Names!$B:$B</f>
        <v>0</v>
      </c>
      <c r="C19" s="183">
        <f>D19/D5</f>
        <v>0</v>
      </c>
      <c r="D19" s="163">
        <f t="shared" si="0"/>
        <v>0</v>
      </c>
      <c r="E19" s="223">
        <f>E5-(COUNT(F19:AS19))</f>
        <v>5</v>
      </c>
      <c r="G19" s="27"/>
      <c r="H19" s="27"/>
      <c r="I19" s="27"/>
      <c r="J19" s="27"/>
      <c r="K19" s="27"/>
      <c r="L19" s="27"/>
      <c r="M19" s="27"/>
      <c r="P19" s="3"/>
    </row>
    <row r="20" spans="1:16" x14ac:dyDescent="0.25">
      <c r="A20" s="185">
        <f>Names!$A:$A</f>
        <v>15</v>
      </c>
      <c r="B20" s="186">
        <f>Names!$B:$B</f>
        <v>0</v>
      </c>
      <c r="C20" s="183">
        <f>D20/D5</f>
        <v>0</v>
      </c>
      <c r="D20" s="163">
        <f t="shared" si="0"/>
        <v>0</v>
      </c>
      <c r="E20" s="223">
        <f>E5-(COUNT(F20:AS20))</f>
        <v>5</v>
      </c>
      <c r="F20" s="27"/>
      <c r="G20" s="27"/>
      <c r="H20" s="27"/>
      <c r="I20" s="27"/>
      <c r="J20" s="27"/>
      <c r="K20" s="27"/>
      <c r="L20" s="27"/>
      <c r="M20" s="27"/>
      <c r="P20" s="3"/>
    </row>
    <row r="21" spans="1:16" x14ac:dyDescent="0.25">
      <c r="A21" s="185">
        <f>Names!$A:$A</f>
        <v>16</v>
      </c>
      <c r="B21" s="186">
        <f>Names!$B:$B</f>
        <v>0</v>
      </c>
      <c r="C21" s="183">
        <f>D21/D5</f>
        <v>0</v>
      </c>
      <c r="D21" s="163">
        <f t="shared" si="0"/>
        <v>0</v>
      </c>
      <c r="E21" s="223">
        <f>E5-(COUNT(F21:AS21))</f>
        <v>5</v>
      </c>
      <c r="F21" s="27"/>
      <c r="G21" s="27"/>
      <c r="H21" s="27"/>
      <c r="I21" s="27"/>
      <c r="J21" s="27"/>
      <c r="K21" s="27"/>
      <c r="L21" s="27"/>
      <c r="M21" s="27"/>
      <c r="P21" s="3"/>
    </row>
    <row r="22" spans="1:16" x14ac:dyDescent="0.25">
      <c r="A22" s="185">
        <f>Names!$A:$A</f>
        <v>17</v>
      </c>
      <c r="B22" s="186">
        <f>Names!$B:$B</f>
        <v>0</v>
      </c>
      <c r="C22" s="183">
        <f>D22/D5</f>
        <v>0</v>
      </c>
      <c r="D22" s="163">
        <f t="shared" si="0"/>
        <v>0</v>
      </c>
      <c r="E22" s="223">
        <f>E5-(COUNT(F22:AS22))</f>
        <v>5</v>
      </c>
      <c r="F22" s="27"/>
      <c r="G22" s="27"/>
      <c r="H22" s="27"/>
      <c r="I22" s="27"/>
      <c r="J22" s="27"/>
      <c r="K22" s="27"/>
      <c r="L22" s="27"/>
      <c r="M22" s="27"/>
      <c r="P22" s="3"/>
    </row>
    <row r="23" spans="1:16" x14ac:dyDescent="0.25">
      <c r="A23" s="185">
        <f>Names!$A:$A</f>
        <v>18</v>
      </c>
      <c r="B23" s="186">
        <f>Names!$B:$B</f>
        <v>0</v>
      </c>
      <c r="C23" s="183">
        <f>D23/D5</f>
        <v>0</v>
      </c>
      <c r="D23" s="163">
        <f t="shared" si="0"/>
        <v>0</v>
      </c>
      <c r="E23" s="223">
        <f>E5-(COUNT(F23:AS23))</f>
        <v>5</v>
      </c>
      <c r="F23" s="27"/>
      <c r="G23" s="27"/>
      <c r="H23" s="27"/>
      <c r="I23" s="27"/>
      <c r="J23" s="27"/>
      <c r="K23" s="27"/>
      <c r="L23" s="27"/>
      <c r="M23" s="27"/>
      <c r="P23" s="3"/>
    </row>
    <row r="24" spans="1:16" x14ac:dyDescent="0.25">
      <c r="A24" s="185">
        <f>Names!$A:$A</f>
        <v>19</v>
      </c>
      <c r="B24" s="186">
        <f>Names!$B:$B</f>
        <v>0</v>
      </c>
      <c r="C24" s="183">
        <f>D24/D5</f>
        <v>0</v>
      </c>
      <c r="D24" s="163">
        <f t="shared" si="0"/>
        <v>0</v>
      </c>
      <c r="E24" s="223">
        <f>E5-(COUNT(F24:AS24))</f>
        <v>5</v>
      </c>
      <c r="F24" s="27"/>
      <c r="G24" s="27"/>
      <c r="H24" s="27"/>
      <c r="I24" s="27"/>
      <c r="J24" s="27"/>
      <c r="K24" s="27"/>
      <c r="L24" s="27"/>
      <c r="M24" s="27"/>
      <c r="P24" s="3"/>
    </row>
    <row r="25" spans="1:16" x14ac:dyDescent="0.25">
      <c r="A25" s="185">
        <f>Names!$A:$A</f>
        <v>20</v>
      </c>
      <c r="B25" s="186">
        <f>Names!$B:$B</f>
        <v>0</v>
      </c>
      <c r="C25" s="183">
        <f>D25/D5</f>
        <v>0</v>
      </c>
      <c r="D25" s="163">
        <f t="shared" si="0"/>
        <v>0</v>
      </c>
      <c r="E25" s="223">
        <f>E5-(COUNT(F25:AS25))</f>
        <v>5</v>
      </c>
      <c r="F25" s="27"/>
      <c r="G25" s="27"/>
      <c r="H25" s="27"/>
      <c r="I25" s="27"/>
      <c r="J25" s="27"/>
      <c r="K25" s="27"/>
      <c r="L25" s="27"/>
      <c r="M25" s="27"/>
      <c r="P25" s="3"/>
    </row>
    <row r="26" spans="1:16" x14ac:dyDescent="0.25">
      <c r="A26" s="185">
        <f>Names!$A:$A</f>
        <v>21</v>
      </c>
      <c r="B26" s="186">
        <f>Names!$B:$B</f>
        <v>0</v>
      </c>
      <c r="C26" s="183">
        <f>D26/D5</f>
        <v>0</v>
      </c>
      <c r="D26" s="163">
        <f t="shared" si="0"/>
        <v>0</v>
      </c>
      <c r="E26" s="223">
        <f>E5-(COUNT(F26:AS26))</f>
        <v>5</v>
      </c>
      <c r="F26" s="27"/>
      <c r="G26" s="27"/>
      <c r="H26" s="27"/>
      <c r="I26" s="27"/>
      <c r="J26" s="27"/>
      <c r="K26" s="27"/>
      <c r="L26" s="27"/>
      <c r="M26" s="27"/>
      <c r="P26" s="3"/>
    </row>
    <row r="27" spans="1:16" x14ac:dyDescent="0.25">
      <c r="A27" s="185">
        <f>Names!$A:$A</f>
        <v>22</v>
      </c>
      <c r="B27" s="186">
        <f>Names!$B:$B</f>
        <v>0</v>
      </c>
      <c r="C27" s="183">
        <f>D27/D5</f>
        <v>0</v>
      </c>
      <c r="D27" s="163">
        <f t="shared" si="0"/>
        <v>0</v>
      </c>
      <c r="E27" s="223">
        <f>E5-(COUNT(F27:AS27))</f>
        <v>5</v>
      </c>
      <c r="F27" s="27"/>
      <c r="G27" s="27"/>
      <c r="H27" s="27"/>
      <c r="I27" s="27"/>
      <c r="J27" s="27"/>
      <c r="K27" s="27"/>
      <c r="L27" s="27"/>
      <c r="M27" s="27"/>
      <c r="P27" s="3"/>
    </row>
    <row r="28" spans="1:16" x14ac:dyDescent="0.25">
      <c r="A28" s="185">
        <f>Names!$A:$A</f>
        <v>23</v>
      </c>
      <c r="B28" s="186">
        <f>Names!$B:$B</f>
        <v>0</v>
      </c>
      <c r="C28" s="183">
        <f>D28/D5</f>
        <v>0</v>
      </c>
      <c r="D28" s="163">
        <f t="shared" si="0"/>
        <v>0</v>
      </c>
      <c r="E28" s="223">
        <f>E5-(COUNT(F28:AS28))</f>
        <v>5</v>
      </c>
      <c r="F28" s="27"/>
      <c r="G28" s="27"/>
      <c r="H28" s="27"/>
      <c r="I28" s="27"/>
      <c r="J28" s="27"/>
      <c r="K28" s="27"/>
      <c r="L28" s="27"/>
      <c r="M28" s="27"/>
      <c r="P28" s="3"/>
    </row>
    <row r="29" spans="1:16" x14ac:dyDescent="0.25">
      <c r="A29" s="185">
        <f>Names!$A:$A</f>
        <v>24</v>
      </c>
      <c r="B29" s="186">
        <f>Names!$B:$B</f>
        <v>0</v>
      </c>
      <c r="C29" s="183">
        <f>D29/D5</f>
        <v>0</v>
      </c>
      <c r="D29" s="163">
        <f t="shared" si="0"/>
        <v>0</v>
      </c>
      <c r="E29" s="223">
        <f>E5-(COUNT(F29:AS29))</f>
        <v>5</v>
      </c>
      <c r="F29" s="27"/>
      <c r="G29" s="27"/>
      <c r="H29" s="27"/>
      <c r="I29" s="27"/>
      <c r="J29" s="27"/>
      <c r="K29" s="27"/>
      <c r="L29" s="27"/>
      <c r="M29" s="27"/>
      <c r="P29" s="3"/>
    </row>
    <row r="30" spans="1:16" x14ac:dyDescent="0.25">
      <c r="A30" s="185">
        <f>Names!$A:$A</f>
        <v>25</v>
      </c>
      <c r="B30" s="186">
        <f>Names!$B:$B</f>
        <v>0</v>
      </c>
      <c r="C30" s="183">
        <f>D30/D5</f>
        <v>0</v>
      </c>
      <c r="D30" s="163">
        <f t="shared" si="0"/>
        <v>0</v>
      </c>
      <c r="E30" s="223">
        <f>E5-(COUNT(F30:AS30))</f>
        <v>5</v>
      </c>
      <c r="H30" s="3"/>
      <c r="K30" s="3"/>
      <c r="M30" s="3"/>
      <c r="P30" s="3"/>
    </row>
    <row r="31" spans="1:16" x14ac:dyDescent="0.25">
      <c r="A31" s="185">
        <f>Names!$A:$A</f>
        <v>26</v>
      </c>
      <c r="B31" s="186">
        <f>Names!$B:$B</f>
        <v>0</v>
      </c>
      <c r="C31" s="183">
        <f>D31/D5</f>
        <v>0</v>
      </c>
      <c r="D31" s="163">
        <f t="shared" si="0"/>
        <v>0</v>
      </c>
      <c r="E31" s="223">
        <f>E5-(COUNT(F31:AS31))</f>
        <v>5</v>
      </c>
      <c r="H31" s="3"/>
      <c r="K31" s="3"/>
      <c r="M31" s="3"/>
      <c r="P31" s="3"/>
    </row>
    <row r="32" spans="1:16" x14ac:dyDescent="0.25">
      <c r="A32" s="185">
        <f>Names!$A:$A</f>
        <v>27</v>
      </c>
      <c r="B32" s="186">
        <f>Names!$B:$B</f>
        <v>0</v>
      </c>
      <c r="C32" s="183">
        <f>D32/D5</f>
        <v>0</v>
      </c>
      <c r="D32" s="163">
        <f t="shared" si="0"/>
        <v>0</v>
      </c>
      <c r="E32" s="223">
        <f>E5-(COUNT(F32:AS32))</f>
        <v>5</v>
      </c>
      <c r="H32" s="3"/>
      <c r="K32" s="3"/>
      <c r="M32" s="3"/>
      <c r="P32" s="3"/>
    </row>
    <row r="33" spans="1:16" x14ac:dyDescent="0.25">
      <c r="A33" s="185">
        <f>Names!$A:$A</f>
        <v>28</v>
      </c>
      <c r="B33" s="186">
        <f>Names!$B:$B</f>
        <v>0</v>
      </c>
      <c r="C33" s="183">
        <f>D33/D5</f>
        <v>0</v>
      </c>
      <c r="D33" s="163">
        <f t="shared" si="0"/>
        <v>0</v>
      </c>
      <c r="E33" s="223">
        <f>E5-(COUNT(F33:AS33))</f>
        <v>5</v>
      </c>
      <c r="H33" s="3"/>
      <c r="K33" s="3"/>
      <c r="M33" s="3"/>
      <c r="P33" s="3"/>
    </row>
    <row r="34" spans="1:16" x14ac:dyDescent="0.25">
      <c r="A34" s="185">
        <f>Names!$A:$A</f>
        <v>29</v>
      </c>
      <c r="B34" s="186">
        <f>Names!$B:$B</f>
        <v>0</v>
      </c>
      <c r="C34" s="183">
        <f>D34/D5</f>
        <v>0</v>
      </c>
      <c r="D34" s="163">
        <f t="shared" si="0"/>
        <v>0</v>
      </c>
      <c r="E34" s="223">
        <f>E5-(COUNT(F34:AS34))</f>
        <v>5</v>
      </c>
      <c r="H34" s="3"/>
      <c r="K34" s="3"/>
      <c r="M34" s="3"/>
      <c r="P34" s="3"/>
    </row>
    <row r="35" spans="1:16" x14ac:dyDescent="0.25">
      <c r="A35" s="185">
        <f>Names!$A:$A</f>
        <v>30</v>
      </c>
      <c r="B35" s="186">
        <f>Names!$B:$B</f>
        <v>0</v>
      </c>
      <c r="C35" s="183">
        <f>D35/D5</f>
        <v>0</v>
      </c>
      <c r="D35" s="163">
        <f t="shared" si="0"/>
        <v>0</v>
      </c>
      <c r="E35" s="223">
        <f>E5-(COUNT(F35:AS35))</f>
        <v>5</v>
      </c>
      <c r="H35" s="3"/>
      <c r="K35" s="3"/>
      <c r="M35" s="3"/>
      <c r="P35" s="3"/>
    </row>
    <row r="36" spans="1:16" x14ac:dyDescent="0.25">
      <c r="A36" s="185">
        <f>Names!$A:$A</f>
        <v>31</v>
      </c>
      <c r="B36" s="186">
        <f>Names!$B:$B</f>
        <v>0</v>
      </c>
      <c r="C36" s="183">
        <f>D36/D5</f>
        <v>0</v>
      </c>
      <c r="D36" s="163">
        <f t="shared" si="0"/>
        <v>0</v>
      </c>
      <c r="E36" s="223">
        <f>E5-(COUNT(F36:AS36))</f>
        <v>5</v>
      </c>
      <c r="H36" s="3"/>
      <c r="K36" s="3"/>
      <c r="M36" s="3"/>
      <c r="P36" s="3"/>
    </row>
    <row r="37" spans="1:16" x14ac:dyDescent="0.25">
      <c r="A37" s="185">
        <f>Names!$A:$A</f>
        <v>32</v>
      </c>
      <c r="B37" s="186">
        <f>Names!$B:$B</f>
        <v>0</v>
      </c>
      <c r="C37" s="183">
        <f>D37/D5</f>
        <v>0</v>
      </c>
      <c r="D37" s="163">
        <f t="shared" si="0"/>
        <v>0</v>
      </c>
      <c r="E37" s="223">
        <f>E5-(COUNT(F37:AS37))</f>
        <v>5</v>
      </c>
      <c r="H37" s="3"/>
      <c r="K37" s="3"/>
      <c r="M37" s="3"/>
      <c r="P37" s="3"/>
    </row>
    <row r="38" spans="1:16" x14ac:dyDescent="0.25">
      <c r="A38" s="185">
        <f>Names!$A:$A</f>
        <v>33</v>
      </c>
      <c r="B38" s="186">
        <f>Names!$B:$B</f>
        <v>0</v>
      </c>
      <c r="C38" s="183">
        <f>D38/D5</f>
        <v>0</v>
      </c>
      <c r="D38" s="163">
        <f t="shared" si="0"/>
        <v>0</v>
      </c>
      <c r="E38" s="223">
        <f>E5-(COUNT(F38:AS38))</f>
        <v>5</v>
      </c>
      <c r="H38" s="3"/>
      <c r="K38" s="3"/>
      <c r="M38" s="3"/>
      <c r="P38" s="3"/>
    </row>
    <row r="39" spans="1:16" x14ac:dyDescent="0.25">
      <c r="A39" s="185">
        <f>Names!$A:$A</f>
        <v>34</v>
      </c>
      <c r="B39" s="186">
        <f>Names!$B:$B</f>
        <v>0</v>
      </c>
      <c r="C39" s="183">
        <f>D39/D5</f>
        <v>0</v>
      </c>
      <c r="D39" s="163">
        <f t="shared" si="0"/>
        <v>0</v>
      </c>
      <c r="E39" s="223">
        <f>E5-(COUNT(F39:AS39))</f>
        <v>5</v>
      </c>
      <c r="H39" s="3"/>
      <c r="K39" s="3"/>
      <c r="M39" s="3"/>
      <c r="P39" s="3"/>
    </row>
    <row r="40" spans="1:16" ht="13" thickBot="1" x14ac:dyDescent="0.3">
      <c r="A40" s="187">
        <f>Names!$A:$A</f>
        <v>35</v>
      </c>
      <c r="B40" s="188">
        <f>Names!$B:$B</f>
        <v>0</v>
      </c>
      <c r="C40" s="184">
        <f>D40/D5</f>
        <v>0</v>
      </c>
      <c r="D40" s="165">
        <f t="shared" si="0"/>
        <v>0</v>
      </c>
      <c r="E40" s="224">
        <f>E5-(COUNT(F40:AS40))</f>
        <v>5</v>
      </c>
      <c r="H40" s="3"/>
      <c r="K40" s="3"/>
      <c r="M40" s="3"/>
      <c r="P40" s="3"/>
    </row>
    <row r="41" spans="1:16" x14ac:dyDescent="0.25">
      <c r="H41" s="3"/>
      <c r="K41" s="3"/>
      <c r="M41" s="3"/>
      <c r="P41" s="3"/>
    </row>
    <row r="42" spans="1:16" x14ac:dyDescent="0.25">
      <c r="H42" s="3"/>
      <c r="K42" s="3"/>
      <c r="M42" s="3"/>
      <c r="P42" s="3"/>
    </row>
    <row r="43" spans="1:16" x14ac:dyDescent="0.25">
      <c r="H43" s="3"/>
      <c r="K43" s="3"/>
      <c r="M43" s="3"/>
      <c r="P43" s="3"/>
    </row>
    <row r="44" spans="1:16" x14ac:dyDescent="0.25">
      <c r="H44" s="3"/>
      <c r="K44" s="3"/>
      <c r="M44" s="3"/>
      <c r="P44" s="3"/>
    </row>
    <row r="45" spans="1:16" x14ac:dyDescent="0.25">
      <c r="H45" s="3"/>
      <c r="K45" s="3"/>
      <c r="M45" s="3"/>
      <c r="P45" s="3"/>
    </row>
    <row r="46" spans="1:16" x14ac:dyDescent="0.25">
      <c r="H46" s="3"/>
      <c r="K46" s="3"/>
      <c r="M46" s="3"/>
      <c r="P46" s="3"/>
    </row>
    <row r="47" spans="1:16" x14ac:dyDescent="0.25">
      <c r="H47" s="3"/>
      <c r="K47" s="3"/>
      <c r="M47" s="3"/>
      <c r="P47" s="3"/>
    </row>
    <row r="48" spans="1:16" x14ac:dyDescent="0.25">
      <c r="H48" s="3"/>
      <c r="K48" s="3"/>
      <c r="M48" s="3"/>
      <c r="P48" s="3"/>
    </row>
    <row r="49" spans="8:16" x14ac:dyDescent="0.25">
      <c r="H49" s="3"/>
      <c r="K49" s="3"/>
      <c r="M49" s="3"/>
      <c r="P49" s="3"/>
    </row>
    <row r="50" spans="8:16" x14ac:dyDescent="0.25">
      <c r="H50" s="3"/>
      <c r="K50" s="3"/>
      <c r="M50" s="3"/>
      <c r="P50" s="3"/>
    </row>
    <row r="51" spans="8:16" x14ac:dyDescent="0.25">
      <c r="H51" s="3"/>
      <c r="K51" s="3"/>
      <c r="M51" s="3"/>
      <c r="P51" s="3"/>
    </row>
    <row r="52" spans="8:16" x14ac:dyDescent="0.25">
      <c r="H52" s="3"/>
      <c r="K52" s="3"/>
      <c r="M52" s="3"/>
      <c r="P52" s="3"/>
    </row>
    <row r="53" spans="8:16" x14ac:dyDescent="0.25">
      <c r="H53" s="3"/>
      <c r="K53" s="3"/>
      <c r="M53" s="3"/>
      <c r="P53" s="3"/>
    </row>
    <row r="54" spans="8:16" x14ac:dyDescent="0.25">
      <c r="H54" s="3"/>
      <c r="K54" s="3"/>
      <c r="M54" s="3"/>
      <c r="P54" s="3"/>
    </row>
    <row r="55" spans="8:16" x14ac:dyDescent="0.25">
      <c r="H55" s="3"/>
      <c r="K55" s="3"/>
      <c r="M55" s="3"/>
      <c r="P55" s="3"/>
    </row>
    <row r="56" spans="8:16" x14ac:dyDescent="0.25">
      <c r="H56" s="3"/>
      <c r="K56" s="3"/>
      <c r="M56" s="3"/>
      <c r="P56" s="3"/>
    </row>
    <row r="57" spans="8:16" x14ac:dyDescent="0.25">
      <c r="H57" s="3"/>
      <c r="K57" s="3"/>
      <c r="M57" s="3"/>
      <c r="P57" s="3"/>
    </row>
    <row r="58" spans="8:16" x14ac:dyDescent="0.25">
      <c r="H58" s="3"/>
      <c r="K58" s="3"/>
      <c r="M58" s="3"/>
      <c r="P58" s="3"/>
    </row>
    <row r="59" spans="8:16" x14ac:dyDescent="0.25">
      <c r="H59" s="3"/>
      <c r="K59" s="3"/>
      <c r="M59" s="3"/>
      <c r="P59" s="3"/>
    </row>
    <row r="60" spans="8:16" x14ac:dyDescent="0.25">
      <c r="H60" s="3"/>
      <c r="K60" s="3"/>
      <c r="M60" s="3"/>
      <c r="P60" s="3"/>
    </row>
    <row r="61" spans="8:16" x14ac:dyDescent="0.25">
      <c r="H61" s="3"/>
      <c r="K61" s="3"/>
      <c r="M61" s="3"/>
      <c r="P61" s="3"/>
    </row>
    <row r="62" spans="8:16" x14ac:dyDescent="0.25">
      <c r="H62" s="3"/>
      <c r="K62" s="3"/>
      <c r="M62" s="3"/>
      <c r="P62" s="3"/>
    </row>
    <row r="63" spans="8:16" x14ac:dyDescent="0.25">
      <c r="H63" s="3"/>
      <c r="K63" s="3"/>
      <c r="M63" s="3"/>
      <c r="P63" s="3"/>
    </row>
    <row r="64" spans="8:16" x14ac:dyDescent="0.25">
      <c r="H64" s="3"/>
      <c r="K64" s="3"/>
      <c r="M64" s="3"/>
      <c r="P64" s="3"/>
    </row>
    <row r="65" spans="8:16" x14ac:dyDescent="0.25">
      <c r="H65" s="3"/>
      <c r="K65" s="3"/>
      <c r="M65" s="3"/>
      <c r="P65" s="3"/>
    </row>
    <row r="66" spans="8:16" x14ac:dyDescent="0.25">
      <c r="H66" s="3"/>
      <c r="K66" s="3"/>
      <c r="M66" s="3"/>
      <c r="P66" s="3"/>
    </row>
    <row r="67" spans="8:16" x14ac:dyDescent="0.25">
      <c r="H67" s="3"/>
      <c r="K67" s="3"/>
      <c r="M67" s="3"/>
      <c r="P67" s="3"/>
    </row>
    <row r="68" spans="8:16" x14ac:dyDescent="0.25">
      <c r="H68" s="3"/>
      <c r="K68" s="3"/>
      <c r="M68" s="3"/>
      <c r="P68" s="3"/>
    </row>
    <row r="69" spans="8:16" x14ac:dyDescent="0.25">
      <c r="H69" s="3"/>
      <c r="K69" s="3"/>
      <c r="M69" s="3"/>
      <c r="P69" s="3"/>
    </row>
    <row r="70" spans="8:16" x14ac:dyDescent="0.25">
      <c r="H70" s="3"/>
      <c r="K70" s="3"/>
      <c r="M70" s="3"/>
      <c r="P70" s="3"/>
    </row>
    <row r="71" spans="8:16" x14ac:dyDescent="0.25">
      <c r="H71" s="3"/>
      <c r="K71" s="3"/>
      <c r="M71" s="3"/>
      <c r="P71" s="3"/>
    </row>
    <row r="72" spans="8:16" x14ac:dyDescent="0.25">
      <c r="H72" s="3"/>
      <c r="K72" s="3"/>
      <c r="M72" s="3"/>
      <c r="P72" s="3"/>
    </row>
    <row r="73" spans="8:16" x14ac:dyDescent="0.25">
      <c r="H73" s="3"/>
      <c r="K73" s="3"/>
      <c r="M73" s="3"/>
      <c r="P73" s="3"/>
    </row>
    <row r="74" spans="8:16" x14ac:dyDescent="0.25">
      <c r="H74" s="3"/>
      <c r="K74" s="3"/>
      <c r="M74" s="3"/>
      <c r="P74" s="3"/>
    </row>
    <row r="75" spans="8:16" x14ac:dyDescent="0.25">
      <c r="H75" s="3"/>
      <c r="K75" s="3"/>
      <c r="M75" s="3"/>
      <c r="P75" s="3"/>
    </row>
    <row r="76" spans="8:16" x14ac:dyDescent="0.25">
      <c r="H76" s="3"/>
      <c r="K76" s="3"/>
      <c r="M76" s="3"/>
      <c r="P76" s="3"/>
    </row>
    <row r="77" spans="8:16" x14ac:dyDescent="0.25">
      <c r="H77" s="3"/>
      <c r="K77" s="3"/>
      <c r="M77" s="3"/>
      <c r="P77" s="3"/>
    </row>
    <row r="78" spans="8:16" x14ac:dyDescent="0.25">
      <c r="H78" s="3"/>
      <c r="K78" s="3"/>
      <c r="M78" s="3"/>
      <c r="P78" s="3"/>
    </row>
    <row r="79" spans="8:16" x14ac:dyDescent="0.25">
      <c r="H79" s="3"/>
      <c r="K79" s="3"/>
      <c r="M79" s="3"/>
      <c r="P79" s="3"/>
    </row>
    <row r="80" spans="8:16" x14ac:dyDescent="0.25">
      <c r="H80" s="3"/>
      <c r="K80" s="3"/>
      <c r="M80" s="3"/>
      <c r="P80" s="3"/>
    </row>
    <row r="81" spans="8:16" x14ac:dyDescent="0.25">
      <c r="H81" s="3"/>
      <c r="K81" s="3"/>
      <c r="M81" s="3"/>
      <c r="P81" s="3"/>
    </row>
    <row r="82" spans="8:16" x14ac:dyDescent="0.25">
      <c r="H82" s="3"/>
      <c r="K82" s="3"/>
      <c r="M82" s="3"/>
      <c r="P82" s="3"/>
    </row>
    <row r="83" spans="8:16" x14ac:dyDescent="0.25">
      <c r="H83" s="3"/>
      <c r="K83" s="3"/>
      <c r="M83" s="3"/>
      <c r="P83" s="3"/>
    </row>
    <row r="84" spans="8:16" x14ac:dyDescent="0.25">
      <c r="H84" s="3"/>
      <c r="K84" s="3"/>
      <c r="M84" s="3"/>
      <c r="P84" s="3"/>
    </row>
    <row r="85" spans="8:16" x14ac:dyDescent="0.25">
      <c r="H85" s="3"/>
      <c r="K85" s="3"/>
      <c r="M85" s="3"/>
      <c r="P85" s="3"/>
    </row>
    <row r="86" spans="8:16" x14ac:dyDescent="0.25">
      <c r="H86" s="3"/>
      <c r="K86" s="3"/>
      <c r="M86" s="3"/>
      <c r="P86" s="3"/>
    </row>
    <row r="87" spans="8:16" x14ac:dyDescent="0.25">
      <c r="H87" s="3"/>
      <c r="K87" s="3"/>
      <c r="M87" s="3"/>
      <c r="P87" s="3"/>
    </row>
    <row r="88" spans="8:16" x14ac:dyDescent="0.25">
      <c r="H88" s="3"/>
      <c r="K88" s="3"/>
      <c r="M88" s="3"/>
      <c r="P88" s="3"/>
    </row>
    <row r="89" spans="8:16" x14ac:dyDescent="0.25">
      <c r="H89" s="3"/>
      <c r="K89" s="3"/>
      <c r="M89" s="3"/>
      <c r="P89" s="3"/>
    </row>
    <row r="90" spans="8:16" x14ac:dyDescent="0.25">
      <c r="H90" s="3"/>
      <c r="K90" s="3"/>
      <c r="M90" s="3"/>
      <c r="P90" s="3"/>
    </row>
    <row r="91" spans="8:16" x14ac:dyDescent="0.25">
      <c r="H91" s="3"/>
      <c r="K91" s="3"/>
      <c r="M91" s="3"/>
      <c r="P91" s="3"/>
    </row>
    <row r="92" spans="8:16" x14ac:dyDescent="0.25">
      <c r="H92" s="3"/>
      <c r="K92" s="3"/>
      <c r="M92" s="3"/>
      <c r="P92" s="3"/>
    </row>
    <row r="93" spans="8:16" x14ac:dyDescent="0.25">
      <c r="H93" s="3"/>
      <c r="K93" s="3"/>
      <c r="M93" s="3"/>
      <c r="P93" s="3"/>
    </row>
    <row r="94" spans="8:16" x14ac:dyDescent="0.25">
      <c r="H94" s="3"/>
      <c r="K94" s="3"/>
      <c r="M94" s="3"/>
      <c r="P94" s="3"/>
    </row>
    <row r="95" spans="8:16" x14ac:dyDescent="0.25">
      <c r="H95" s="3"/>
      <c r="K95" s="3"/>
      <c r="M95" s="3"/>
      <c r="P95" s="3"/>
    </row>
    <row r="96" spans="8:16" x14ac:dyDescent="0.25">
      <c r="H96" s="3"/>
      <c r="K96" s="3"/>
      <c r="M96" s="3"/>
      <c r="P96" s="3"/>
    </row>
    <row r="97" spans="8:16" x14ac:dyDescent="0.25">
      <c r="H97" s="3"/>
      <c r="K97" s="3"/>
      <c r="M97" s="3"/>
      <c r="P97" s="3"/>
    </row>
    <row r="98" spans="8:16" x14ac:dyDescent="0.25">
      <c r="H98" s="3"/>
      <c r="K98" s="3"/>
      <c r="M98" s="3"/>
      <c r="P98" s="3"/>
    </row>
    <row r="99" spans="8:16" x14ac:dyDescent="0.25">
      <c r="H99" s="3"/>
      <c r="K99" s="3"/>
      <c r="M99" s="3"/>
      <c r="P99" s="3"/>
    </row>
    <row r="100" spans="8:16" x14ac:dyDescent="0.25">
      <c r="H100" s="3"/>
      <c r="K100" s="3"/>
      <c r="M100" s="3"/>
      <c r="P100" s="3"/>
    </row>
    <row r="101" spans="8:16" x14ac:dyDescent="0.25">
      <c r="H101" s="3"/>
      <c r="K101" s="3"/>
      <c r="M101" s="3"/>
      <c r="P101" s="3"/>
    </row>
    <row r="102" spans="8:16" x14ac:dyDescent="0.25">
      <c r="H102" s="3"/>
      <c r="K102" s="3"/>
      <c r="M102" s="3"/>
      <c r="P102" s="3"/>
    </row>
    <row r="103" spans="8:16" x14ac:dyDescent="0.25">
      <c r="H103" s="3"/>
      <c r="K103" s="3"/>
      <c r="M103" s="3"/>
      <c r="P103" s="3"/>
    </row>
    <row r="104" spans="8:16" x14ac:dyDescent="0.25">
      <c r="H104" s="3"/>
      <c r="K104" s="3"/>
      <c r="M104" s="3"/>
      <c r="P104" s="3"/>
    </row>
    <row r="105" spans="8:16" x14ac:dyDescent="0.25">
      <c r="H105" s="3"/>
      <c r="K105" s="3"/>
      <c r="M105" s="3"/>
      <c r="P105" s="3"/>
    </row>
    <row r="106" spans="8:16" x14ac:dyDescent="0.25">
      <c r="H106" s="3"/>
      <c r="K106" s="3"/>
      <c r="M106" s="3"/>
      <c r="P106" s="3"/>
    </row>
    <row r="107" spans="8:16" x14ac:dyDescent="0.25">
      <c r="H107" s="3"/>
      <c r="K107" s="3"/>
      <c r="M107" s="3"/>
      <c r="P107" s="3"/>
    </row>
    <row r="108" spans="8:16" x14ac:dyDescent="0.25">
      <c r="H108" s="3"/>
      <c r="K108" s="3"/>
      <c r="M108" s="3"/>
      <c r="P108" s="3"/>
    </row>
    <row r="109" spans="8:16" x14ac:dyDescent="0.25">
      <c r="H109" s="3"/>
      <c r="K109" s="3"/>
      <c r="M109" s="3"/>
      <c r="P109" s="3"/>
    </row>
    <row r="110" spans="8:16" x14ac:dyDescent="0.25">
      <c r="H110" s="3"/>
      <c r="K110" s="3"/>
      <c r="M110" s="3"/>
      <c r="P110" s="3"/>
    </row>
    <row r="111" spans="8:16" x14ac:dyDescent="0.25">
      <c r="H111" s="3"/>
      <c r="K111" s="3"/>
      <c r="M111" s="3"/>
      <c r="P111" s="3"/>
    </row>
    <row r="112" spans="8:16" x14ac:dyDescent="0.25">
      <c r="H112" s="3"/>
      <c r="K112" s="3"/>
      <c r="M112" s="3"/>
      <c r="P112" s="3"/>
    </row>
    <row r="113" spans="8:16" x14ac:dyDescent="0.25">
      <c r="H113" s="3"/>
      <c r="K113" s="3"/>
      <c r="M113" s="3"/>
      <c r="P113" s="3"/>
    </row>
    <row r="114" spans="8:16" x14ac:dyDescent="0.25">
      <c r="H114" s="3"/>
      <c r="K114" s="3"/>
      <c r="M114" s="3"/>
      <c r="P114" s="3"/>
    </row>
    <row r="115" spans="8:16" x14ac:dyDescent="0.25">
      <c r="H115" s="3"/>
      <c r="K115" s="3"/>
      <c r="M115" s="3"/>
      <c r="P115" s="3"/>
    </row>
    <row r="116" spans="8:16" x14ac:dyDescent="0.25">
      <c r="H116" s="3"/>
      <c r="K116" s="3"/>
      <c r="M116" s="3"/>
      <c r="P116" s="3"/>
    </row>
    <row r="117" spans="8:16" x14ac:dyDescent="0.25">
      <c r="H117" s="3"/>
      <c r="K117" s="3"/>
      <c r="M117" s="3"/>
      <c r="P117" s="3"/>
    </row>
    <row r="118" spans="8:16" x14ac:dyDescent="0.25">
      <c r="H118" s="3"/>
      <c r="K118" s="3"/>
      <c r="M118" s="3"/>
      <c r="P118" s="3"/>
    </row>
    <row r="119" spans="8:16" x14ac:dyDescent="0.25">
      <c r="H119" s="3"/>
      <c r="K119" s="3"/>
      <c r="M119" s="3"/>
      <c r="P119" s="3"/>
    </row>
    <row r="120" spans="8:16" x14ac:dyDescent="0.25">
      <c r="H120" s="3"/>
      <c r="K120" s="3"/>
      <c r="M120" s="3"/>
      <c r="P120" s="3"/>
    </row>
    <row r="121" spans="8:16" x14ac:dyDescent="0.25">
      <c r="H121" s="3"/>
      <c r="K121" s="3"/>
      <c r="M121" s="3"/>
      <c r="P121" s="3"/>
    </row>
    <row r="122" spans="8:16" x14ac:dyDescent="0.25">
      <c r="H122" s="3"/>
      <c r="K122" s="3"/>
      <c r="M122" s="3"/>
      <c r="P122" s="3"/>
    </row>
    <row r="123" spans="8:16" x14ac:dyDescent="0.25">
      <c r="H123" s="3"/>
      <c r="K123" s="3"/>
      <c r="M123" s="3"/>
      <c r="P123" s="3"/>
    </row>
    <row r="124" spans="8:16" x14ac:dyDescent="0.25">
      <c r="H124" s="3"/>
      <c r="K124" s="3"/>
      <c r="M124" s="3"/>
      <c r="P124" s="3"/>
    </row>
    <row r="125" spans="8:16" x14ac:dyDescent="0.25">
      <c r="H125" s="3"/>
      <c r="K125" s="3"/>
      <c r="M125" s="3"/>
      <c r="P125" s="3"/>
    </row>
    <row r="126" spans="8:16" x14ac:dyDescent="0.25">
      <c r="H126" s="3"/>
      <c r="K126" s="3"/>
      <c r="M126" s="3"/>
      <c r="P126" s="3"/>
    </row>
    <row r="127" spans="8:16" x14ac:dyDescent="0.25">
      <c r="H127" s="3"/>
      <c r="K127" s="3"/>
      <c r="M127" s="3"/>
      <c r="P127" s="3"/>
    </row>
    <row r="128" spans="8:16" x14ac:dyDescent="0.25">
      <c r="H128" s="3"/>
      <c r="K128" s="3"/>
      <c r="M128" s="3"/>
      <c r="P128" s="3"/>
    </row>
    <row r="129" spans="8:16" x14ac:dyDescent="0.25">
      <c r="H129" s="3"/>
      <c r="K129" s="3"/>
      <c r="M129" s="3"/>
      <c r="P129" s="3"/>
    </row>
    <row r="130" spans="8:16" x14ac:dyDescent="0.25">
      <c r="H130" s="3"/>
      <c r="K130" s="3"/>
      <c r="M130" s="3"/>
      <c r="P130" s="3"/>
    </row>
    <row r="131" spans="8:16" x14ac:dyDescent="0.25">
      <c r="H131" s="3"/>
      <c r="K131" s="3"/>
      <c r="M131" s="3"/>
      <c r="P131" s="3"/>
    </row>
    <row r="132" spans="8:16" x14ac:dyDescent="0.25">
      <c r="H132" s="3"/>
      <c r="K132" s="3"/>
      <c r="M132" s="3"/>
      <c r="P132" s="3"/>
    </row>
    <row r="133" spans="8:16" x14ac:dyDescent="0.25">
      <c r="H133" s="3"/>
      <c r="K133" s="3"/>
      <c r="M133" s="3"/>
      <c r="P133" s="3"/>
    </row>
    <row r="134" spans="8:16" x14ac:dyDescent="0.25">
      <c r="H134" s="3"/>
      <c r="K134" s="3"/>
      <c r="M134" s="3"/>
      <c r="P134" s="3"/>
    </row>
    <row r="135" spans="8:16" x14ac:dyDescent="0.25">
      <c r="H135" s="3"/>
      <c r="K135" s="3"/>
      <c r="M135" s="3"/>
      <c r="P135" s="3"/>
    </row>
    <row r="136" spans="8:16" x14ac:dyDescent="0.25">
      <c r="H136" s="3"/>
      <c r="K136" s="3"/>
      <c r="M136" s="3"/>
      <c r="P136" s="3"/>
    </row>
    <row r="137" spans="8:16" x14ac:dyDescent="0.25">
      <c r="H137" s="3"/>
      <c r="K137" s="3"/>
      <c r="M137" s="3"/>
      <c r="P137" s="3"/>
    </row>
    <row r="138" spans="8:16" x14ac:dyDescent="0.25">
      <c r="H138" s="3"/>
      <c r="K138" s="3"/>
      <c r="M138" s="3"/>
      <c r="P138" s="3"/>
    </row>
    <row r="139" spans="8:16" x14ac:dyDescent="0.25">
      <c r="H139" s="3"/>
      <c r="K139" s="3"/>
      <c r="M139" s="3"/>
      <c r="P139" s="3"/>
    </row>
    <row r="140" spans="8:16" x14ac:dyDescent="0.25">
      <c r="H140" s="3"/>
      <c r="K140" s="3"/>
      <c r="M140" s="3"/>
      <c r="P140" s="3"/>
    </row>
    <row r="141" spans="8:16" x14ac:dyDescent="0.25">
      <c r="H141" s="3"/>
      <c r="K141" s="3"/>
      <c r="M141" s="3"/>
      <c r="P141" s="3"/>
    </row>
    <row r="142" spans="8:16" x14ac:dyDescent="0.25">
      <c r="H142" s="3"/>
      <c r="K142" s="3"/>
      <c r="M142" s="3"/>
      <c r="P142" s="3"/>
    </row>
    <row r="143" spans="8:16" x14ac:dyDescent="0.25">
      <c r="H143" s="3"/>
      <c r="K143" s="3"/>
      <c r="M143" s="3"/>
      <c r="P143" s="3"/>
    </row>
    <row r="144" spans="8:16" x14ac:dyDescent="0.25">
      <c r="H144" s="3"/>
      <c r="K144" s="3"/>
      <c r="M144" s="3"/>
      <c r="P144" s="3"/>
    </row>
    <row r="145" spans="8:16" x14ac:dyDescent="0.25">
      <c r="H145" s="3"/>
      <c r="K145" s="3"/>
      <c r="M145" s="3"/>
      <c r="P145" s="3"/>
    </row>
    <row r="146" spans="8:16" x14ac:dyDescent="0.25">
      <c r="H146" s="3"/>
      <c r="K146" s="3"/>
      <c r="M146" s="3"/>
      <c r="P146" s="3"/>
    </row>
    <row r="147" spans="8:16" x14ac:dyDescent="0.25">
      <c r="H147" s="3"/>
      <c r="K147" s="3"/>
      <c r="M147" s="3"/>
      <c r="P147" s="3"/>
    </row>
    <row r="148" spans="8:16" x14ac:dyDescent="0.25">
      <c r="H148" s="3"/>
      <c r="K148" s="3"/>
      <c r="M148" s="3"/>
      <c r="P148" s="3"/>
    </row>
    <row r="149" spans="8:16" x14ac:dyDescent="0.25">
      <c r="H149" s="3"/>
      <c r="K149" s="3"/>
      <c r="M149" s="3"/>
      <c r="P149" s="3"/>
    </row>
    <row r="150" spans="8:16" x14ac:dyDescent="0.25">
      <c r="H150" s="3"/>
      <c r="K150" s="3"/>
      <c r="M150" s="3"/>
      <c r="P150" s="3"/>
    </row>
    <row r="151" spans="8:16" x14ac:dyDescent="0.25">
      <c r="H151" s="3"/>
      <c r="K151" s="3"/>
      <c r="M151" s="3"/>
      <c r="P151" s="3"/>
    </row>
    <row r="152" spans="8:16" x14ac:dyDescent="0.25">
      <c r="H152" s="3"/>
      <c r="K152" s="3"/>
      <c r="M152" s="3"/>
      <c r="P152" s="3"/>
    </row>
    <row r="153" spans="8:16" x14ac:dyDescent="0.25">
      <c r="H153" s="3"/>
      <c r="K153" s="3"/>
      <c r="M153" s="3"/>
      <c r="P153" s="3"/>
    </row>
    <row r="154" spans="8:16" x14ac:dyDescent="0.25">
      <c r="H154" s="3"/>
      <c r="K154" s="3"/>
      <c r="M154" s="3"/>
      <c r="P154" s="3"/>
    </row>
    <row r="155" spans="8:16" x14ac:dyDescent="0.25">
      <c r="H155" s="3"/>
      <c r="K155" s="3"/>
      <c r="M155" s="3"/>
      <c r="P155" s="3"/>
    </row>
    <row r="156" spans="8:16" x14ac:dyDescent="0.25">
      <c r="H156" s="3"/>
      <c r="K156" s="3"/>
      <c r="M156" s="3"/>
      <c r="P156" s="3"/>
    </row>
    <row r="157" spans="8:16" x14ac:dyDescent="0.25">
      <c r="H157" s="3"/>
      <c r="K157" s="3"/>
      <c r="M157" s="3"/>
      <c r="P157" s="3"/>
    </row>
    <row r="158" spans="8:16" x14ac:dyDescent="0.25">
      <c r="H158" s="3"/>
      <c r="K158" s="3"/>
      <c r="M158" s="3"/>
      <c r="P158" s="3"/>
    </row>
    <row r="159" spans="8:16" x14ac:dyDescent="0.25">
      <c r="H159" s="3"/>
      <c r="K159" s="3"/>
      <c r="M159" s="3"/>
      <c r="P159" s="3"/>
    </row>
    <row r="160" spans="8:16" x14ac:dyDescent="0.25">
      <c r="H160" s="3"/>
      <c r="K160" s="3"/>
      <c r="M160" s="3"/>
      <c r="P160" s="3"/>
    </row>
    <row r="161" spans="8:16" x14ac:dyDescent="0.25">
      <c r="H161" s="3"/>
      <c r="K161" s="3"/>
      <c r="M161" s="3"/>
      <c r="P161" s="3"/>
    </row>
    <row r="162" spans="8:16" x14ac:dyDescent="0.25">
      <c r="H162" s="3"/>
      <c r="K162" s="3"/>
      <c r="M162" s="3"/>
      <c r="P162" s="3"/>
    </row>
    <row r="163" spans="8:16" x14ac:dyDescent="0.25">
      <c r="H163" s="3"/>
      <c r="K163" s="3"/>
      <c r="M163" s="3"/>
      <c r="P163" s="3"/>
    </row>
    <row r="164" spans="8:16" x14ac:dyDescent="0.25">
      <c r="H164" s="3"/>
      <c r="K164" s="3"/>
      <c r="M164" s="3"/>
      <c r="P164" s="3"/>
    </row>
    <row r="165" spans="8:16" x14ac:dyDescent="0.25">
      <c r="H165" s="3"/>
      <c r="K165" s="3"/>
      <c r="M165" s="3"/>
      <c r="P165" s="3"/>
    </row>
    <row r="166" spans="8:16" x14ac:dyDescent="0.25">
      <c r="H166" s="3"/>
      <c r="K166" s="3"/>
      <c r="M166" s="3"/>
      <c r="P166" s="3"/>
    </row>
    <row r="167" spans="8:16" x14ac:dyDescent="0.25">
      <c r="H167" s="3"/>
      <c r="K167" s="3"/>
      <c r="M167" s="3"/>
      <c r="P167" s="3"/>
    </row>
    <row r="168" spans="8:16" x14ac:dyDescent="0.25">
      <c r="H168" s="3"/>
      <c r="K168" s="3"/>
      <c r="M168" s="3"/>
      <c r="P168" s="3"/>
    </row>
    <row r="169" spans="8:16" x14ac:dyDescent="0.25">
      <c r="H169" s="3"/>
      <c r="K169" s="3"/>
      <c r="M169" s="3"/>
      <c r="P169" s="3"/>
    </row>
    <row r="170" spans="8:16" x14ac:dyDescent="0.25">
      <c r="H170" s="3"/>
      <c r="K170" s="3"/>
      <c r="M170" s="3"/>
      <c r="P170" s="3"/>
    </row>
    <row r="171" spans="8:16" x14ac:dyDescent="0.25">
      <c r="H171" s="3"/>
      <c r="K171" s="3"/>
      <c r="M171" s="3"/>
      <c r="P171" s="3"/>
    </row>
    <row r="172" spans="8:16" x14ac:dyDescent="0.25">
      <c r="H172" s="3"/>
      <c r="K172" s="3"/>
      <c r="M172" s="3"/>
      <c r="P172" s="3"/>
    </row>
    <row r="173" spans="8:16" x14ac:dyDescent="0.25">
      <c r="H173" s="3"/>
      <c r="K173" s="3"/>
      <c r="M173" s="3"/>
      <c r="P173" s="3"/>
    </row>
    <row r="174" spans="8:16" x14ac:dyDescent="0.25">
      <c r="H174" s="3"/>
      <c r="K174" s="3"/>
      <c r="M174" s="3"/>
      <c r="P174" s="3"/>
    </row>
    <row r="175" spans="8:16" x14ac:dyDescent="0.25">
      <c r="H175" s="3"/>
      <c r="K175" s="3"/>
      <c r="M175" s="3"/>
      <c r="P175" s="3"/>
    </row>
    <row r="176" spans="8:16" x14ac:dyDescent="0.25">
      <c r="H176" s="3"/>
      <c r="K176" s="3"/>
      <c r="M176" s="3"/>
      <c r="P176" s="3"/>
    </row>
    <row r="177" spans="8:16" x14ac:dyDescent="0.25">
      <c r="H177" s="3"/>
      <c r="K177" s="3"/>
      <c r="M177" s="3"/>
      <c r="P177" s="3"/>
    </row>
    <row r="178" spans="8:16" x14ac:dyDescent="0.25">
      <c r="H178" s="3"/>
      <c r="K178" s="3"/>
      <c r="M178" s="3"/>
      <c r="P178" s="3"/>
    </row>
    <row r="179" spans="8:16" x14ac:dyDescent="0.25">
      <c r="H179" s="3"/>
      <c r="K179" s="3"/>
      <c r="M179" s="3"/>
      <c r="P179" s="3"/>
    </row>
    <row r="180" spans="8:16" x14ac:dyDescent="0.25">
      <c r="H180" s="3"/>
      <c r="K180" s="3"/>
      <c r="M180" s="3"/>
      <c r="P180" s="3"/>
    </row>
    <row r="181" spans="8:16" x14ac:dyDescent="0.25">
      <c r="H181" s="3"/>
      <c r="K181" s="3"/>
      <c r="M181" s="3"/>
      <c r="P181" s="3"/>
    </row>
    <row r="182" spans="8:16" x14ac:dyDescent="0.25">
      <c r="H182" s="3"/>
      <c r="K182" s="3"/>
      <c r="M182" s="3"/>
      <c r="P182" s="3"/>
    </row>
    <row r="183" spans="8:16" x14ac:dyDescent="0.25">
      <c r="H183" s="3"/>
      <c r="K183" s="3"/>
      <c r="M183" s="3"/>
      <c r="P183" s="3"/>
    </row>
    <row r="184" spans="8:16" x14ac:dyDescent="0.25">
      <c r="H184" s="3"/>
      <c r="K184" s="3"/>
      <c r="M184" s="3"/>
      <c r="P184" s="3"/>
    </row>
    <row r="185" spans="8:16" x14ac:dyDescent="0.25">
      <c r="H185" s="3"/>
      <c r="K185" s="3"/>
      <c r="M185" s="3"/>
      <c r="P185" s="3"/>
    </row>
    <row r="186" spans="8:16" x14ac:dyDescent="0.25">
      <c r="H186" s="3"/>
      <c r="K186" s="3"/>
      <c r="M186" s="3"/>
      <c r="P186" s="3"/>
    </row>
    <row r="187" spans="8:16" x14ac:dyDescent="0.25">
      <c r="H187" s="3"/>
      <c r="K187" s="3"/>
      <c r="M187" s="3"/>
      <c r="P187" s="3"/>
    </row>
    <row r="188" spans="8:16" x14ac:dyDescent="0.25">
      <c r="H188" s="3"/>
      <c r="K188" s="3"/>
      <c r="M188" s="3"/>
      <c r="P188" s="3"/>
    </row>
    <row r="189" spans="8:16" x14ac:dyDescent="0.25">
      <c r="H189" s="3"/>
      <c r="K189" s="3"/>
      <c r="M189" s="3"/>
      <c r="P189" s="3"/>
    </row>
    <row r="190" spans="8:16" x14ac:dyDescent="0.25">
      <c r="H190" s="3"/>
      <c r="K190" s="3"/>
      <c r="M190" s="3"/>
      <c r="P190" s="3"/>
    </row>
    <row r="191" spans="8:16" x14ac:dyDescent="0.25">
      <c r="H191" s="3"/>
      <c r="K191" s="3"/>
      <c r="M191" s="3"/>
      <c r="P191" s="3"/>
    </row>
    <row r="192" spans="8:16" x14ac:dyDescent="0.25">
      <c r="H192" s="3"/>
      <c r="K192" s="3"/>
      <c r="M192" s="3"/>
      <c r="P192" s="3"/>
    </row>
    <row r="193" spans="8:16" x14ac:dyDescent="0.25">
      <c r="H193" s="3"/>
      <c r="K193" s="3"/>
      <c r="M193" s="3"/>
      <c r="P193" s="3"/>
    </row>
    <row r="194" spans="8:16" x14ac:dyDescent="0.25">
      <c r="H194" s="3"/>
      <c r="K194" s="3"/>
      <c r="M194" s="3"/>
      <c r="P194" s="3"/>
    </row>
    <row r="195" spans="8:16" x14ac:dyDescent="0.25">
      <c r="H195" s="3"/>
      <c r="K195" s="3"/>
      <c r="M195" s="3"/>
      <c r="P195" s="3"/>
    </row>
    <row r="196" spans="8:16" x14ac:dyDescent="0.25">
      <c r="H196" s="3"/>
      <c r="K196" s="3"/>
      <c r="M196" s="3"/>
      <c r="P196" s="3"/>
    </row>
    <row r="197" spans="8:16" x14ac:dyDescent="0.25">
      <c r="H197" s="3"/>
      <c r="K197" s="3"/>
      <c r="M197" s="3"/>
      <c r="P197" s="3"/>
    </row>
    <row r="198" spans="8:16" x14ac:dyDescent="0.25">
      <c r="H198" s="3"/>
      <c r="K198" s="3"/>
      <c r="M198" s="3"/>
      <c r="P198" s="3"/>
    </row>
    <row r="199" spans="8:16" x14ac:dyDescent="0.25">
      <c r="H199" s="3"/>
      <c r="K199" s="3"/>
      <c r="M199" s="3"/>
      <c r="P199" s="3"/>
    </row>
    <row r="200" spans="8:16" x14ac:dyDescent="0.25">
      <c r="H200" s="3"/>
      <c r="K200" s="3"/>
      <c r="M200" s="3"/>
      <c r="P200" s="3"/>
    </row>
    <row r="201" spans="8:16" x14ac:dyDescent="0.25">
      <c r="H201" s="3"/>
      <c r="K201" s="3"/>
      <c r="M201" s="3"/>
      <c r="P201" s="3"/>
    </row>
    <row r="202" spans="8:16" x14ac:dyDescent="0.25">
      <c r="H202" s="3"/>
      <c r="K202" s="3"/>
      <c r="M202" s="3"/>
      <c r="P202" s="3"/>
    </row>
    <row r="203" spans="8:16" x14ac:dyDescent="0.25">
      <c r="H203" s="3"/>
      <c r="K203" s="3"/>
      <c r="M203" s="3"/>
      <c r="P203" s="3"/>
    </row>
    <row r="204" spans="8:16" x14ac:dyDescent="0.25">
      <c r="H204" s="3"/>
      <c r="K204" s="3"/>
      <c r="M204" s="3"/>
      <c r="P204" s="3"/>
    </row>
    <row r="205" spans="8:16" x14ac:dyDescent="0.25">
      <c r="H205" s="3"/>
      <c r="K205" s="3"/>
      <c r="M205" s="3"/>
      <c r="P205" s="3"/>
    </row>
    <row r="206" spans="8:16" x14ac:dyDescent="0.25">
      <c r="H206" s="3"/>
      <c r="K206" s="3"/>
      <c r="M206" s="3"/>
      <c r="P206" s="3"/>
    </row>
    <row r="207" spans="8:16" x14ac:dyDescent="0.25">
      <c r="H207" s="3"/>
      <c r="K207" s="3"/>
      <c r="M207" s="3"/>
      <c r="P207" s="3"/>
    </row>
    <row r="208" spans="8:16" x14ac:dyDescent="0.25">
      <c r="H208" s="3"/>
      <c r="K208" s="3"/>
      <c r="M208" s="3"/>
      <c r="P208" s="3"/>
    </row>
    <row r="209" spans="8:16" x14ac:dyDescent="0.25">
      <c r="H209" s="3"/>
      <c r="K209" s="3"/>
      <c r="M209" s="3"/>
      <c r="P209" s="3"/>
    </row>
    <row r="210" spans="8:16" x14ac:dyDescent="0.25">
      <c r="H210" s="3"/>
      <c r="K210" s="3"/>
      <c r="M210" s="3"/>
      <c r="P210" s="3"/>
    </row>
    <row r="211" spans="8:16" x14ac:dyDescent="0.25">
      <c r="H211" s="3"/>
      <c r="K211" s="3"/>
      <c r="M211" s="3"/>
      <c r="P211" s="3"/>
    </row>
    <row r="212" spans="8:16" x14ac:dyDescent="0.25">
      <c r="H212" s="3"/>
      <c r="K212" s="3"/>
      <c r="M212" s="3"/>
      <c r="P212" s="3"/>
    </row>
    <row r="213" spans="8:16" x14ac:dyDescent="0.25">
      <c r="H213" s="3"/>
      <c r="K213" s="3"/>
      <c r="M213" s="3"/>
      <c r="P213" s="3"/>
    </row>
    <row r="214" spans="8:16" x14ac:dyDescent="0.25">
      <c r="H214" s="3"/>
      <c r="K214" s="3"/>
      <c r="M214" s="3"/>
      <c r="P214" s="3"/>
    </row>
    <row r="215" spans="8:16" x14ac:dyDescent="0.25">
      <c r="H215" s="3"/>
      <c r="K215" s="3"/>
      <c r="M215" s="3"/>
      <c r="P215" s="3"/>
    </row>
    <row r="216" spans="8:16" x14ac:dyDescent="0.25">
      <c r="H216" s="3"/>
      <c r="K216" s="3"/>
      <c r="M216" s="3"/>
      <c r="P216" s="3"/>
    </row>
    <row r="217" spans="8:16" x14ac:dyDescent="0.25">
      <c r="H217" s="3"/>
      <c r="K217" s="3"/>
      <c r="M217" s="3"/>
      <c r="P217" s="3"/>
    </row>
    <row r="218" spans="8:16" x14ac:dyDescent="0.25">
      <c r="H218" s="3"/>
      <c r="K218" s="3"/>
      <c r="M218" s="3"/>
      <c r="P218" s="3"/>
    </row>
    <row r="219" spans="8:16" x14ac:dyDescent="0.25">
      <c r="H219" s="3"/>
      <c r="K219" s="3"/>
      <c r="M219" s="3"/>
      <c r="P219" s="3"/>
    </row>
    <row r="220" spans="8:16" x14ac:dyDescent="0.25">
      <c r="H220" s="3"/>
      <c r="K220" s="3"/>
      <c r="M220" s="3"/>
      <c r="P220" s="3"/>
    </row>
    <row r="221" spans="8:16" x14ac:dyDescent="0.25">
      <c r="H221" s="3"/>
      <c r="K221" s="3"/>
      <c r="M221" s="3"/>
      <c r="P221" s="3"/>
    </row>
    <row r="222" spans="8:16" x14ac:dyDescent="0.25">
      <c r="H222" s="3"/>
      <c r="K222" s="3"/>
      <c r="M222" s="3"/>
      <c r="P222" s="3"/>
    </row>
    <row r="223" spans="8:16" x14ac:dyDescent="0.25">
      <c r="H223" s="3"/>
      <c r="K223" s="3"/>
      <c r="M223" s="3"/>
      <c r="P223" s="3"/>
    </row>
    <row r="224" spans="8:16" x14ac:dyDescent="0.25">
      <c r="H224" s="3"/>
      <c r="K224" s="3"/>
      <c r="M224" s="3"/>
      <c r="P224" s="3"/>
    </row>
    <row r="225" spans="8:16" x14ac:dyDescent="0.25">
      <c r="H225" s="3"/>
      <c r="K225" s="3"/>
      <c r="M225" s="3"/>
      <c r="P225" s="3"/>
    </row>
    <row r="226" spans="8:16" x14ac:dyDescent="0.25">
      <c r="H226" s="3"/>
      <c r="K226" s="3"/>
      <c r="M226" s="3"/>
      <c r="P226" s="3"/>
    </row>
    <row r="227" spans="8:16" x14ac:dyDescent="0.25">
      <c r="H227" s="3"/>
      <c r="K227" s="3"/>
      <c r="M227" s="3"/>
      <c r="P227" s="3"/>
    </row>
    <row r="228" spans="8:16" x14ac:dyDescent="0.25">
      <c r="H228" s="3"/>
      <c r="K228" s="3"/>
      <c r="M228" s="3"/>
      <c r="P228" s="3"/>
    </row>
    <row r="229" spans="8:16" x14ac:dyDescent="0.25">
      <c r="H229" s="3"/>
      <c r="K229" s="3"/>
      <c r="M229" s="3"/>
      <c r="P229" s="3"/>
    </row>
    <row r="230" spans="8:16" x14ac:dyDescent="0.25">
      <c r="H230" s="3"/>
      <c r="K230" s="3"/>
      <c r="M230" s="3"/>
      <c r="P230" s="3"/>
    </row>
    <row r="231" spans="8:16" x14ac:dyDescent="0.25">
      <c r="H231" s="3"/>
      <c r="K231" s="3"/>
      <c r="M231" s="3"/>
      <c r="P231" s="3"/>
    </row>
    <row r="232" spans="8:16" x14ac:dyDescent="0.25">
      <c r="H232" s="3"/>
      <c r="K232" s="3"/>
      <c r="M232" s="3"/>
      <c r="P232" s="3"/>
    </row>
    <row r="233" spans="8:16" x14ac:dyDescent="0.25">
      <c r="H233" s="3"/>
      <c r="K233" s="3"/>
      <c r="M233" s="3"/>
      <c r="P233" s="3"/>
    </row>
    <row r="234" spans="8:16" x14ac:dyDescent="0.25">
      <c r="H234" s="3"/>
      <c r="K234" s="3"/>
      <c r="M234" s="3"/>
      <c r="P234" s="3"/>
    </row>
    <row r="235" spans="8:16" x14ac:dyDescent="0.25">
      <c r="H235" s="3"/>
      <c r="K235" s="3"/>
      <c r="M235" s="3"/>
      <c r="P235" s="3"/>
    </row>
    <row r="236" spans="8:16" x14ac:dyDescent="0.25">
      <c r="H236" s="3"/>
      <c r="K236" s="3"/>
      <c r="M236" s="3"/>
      <c r="P236" s="3"/>
    </row>
    <row r="237" spans="8:16" x14ac:dyDescent="0.25">
      <c r="H237" s="3"/>
      <c r="K237" s="3"/>
      <c r="M237" s="3"/>
      <c r="P237" s="3"/>
    </row>
    <row r="238" spans="8:16" x14ac:dyDescent="0.25">
      <c r="H238" s="3"/>
      <c r="K238" s="3"/>
      <c r="M238" s="3"/>
      <c r="P238" s="3"/>
    </row>
    <row r="239" spans="8:16" x14ac:dyDescent="0.25">
      <c r="H239" s="3"/>
      <c r="K239" s="3"/>
      <c r="M239" s="3"/>
      <c r="P239" s="3"/>
    </row>
    <row r="240" spans="8:16" x14ac:dyDescent="0.25">
      <c r="H240" s="3"/>
      <c r="K240" s="3"/>
      <c r="M240" s="3"/>
      <c r="P240" s="3"/>
    </row>
    <row r="241" spans="8:16" x14ac:dyDescent="0.25">
      <c r="H241" s="3"/>
      <c r="K241" s="3"/>
      <c r="M241" s="3"/>
      <c r="P241" s="3"/>
    </row>
    <row r="242" spans="8:16" x14ac:dyDescent="0.25">
      <c r="H242" s="3"/>
      <c r="K242" s="3"/>
      <c r="M242" s="3"/>
      <c r="P242" s="3"/>
    </row>
    <row r="243" spans="8:16" x14ac:dyDescent="0.25">
      <c r="H243" s="3"/>
      <c r="K243" s="3"/>
      <c r="M243" s="3"/>
      <c r="P243" s="3"/>
    </row>
    <row r="244" spans="8:16" x14ac:dyDescent="0.25">
      <c r="H244" s="3"/>
      <c r="K244" s="3"/>
      <c r="M244" s="3"/>
      <c r="P244" s="3"/>
    </row>
    <row r="245" spans="8:16" x14ac:dyDescent="0.25">
      <c r="H245" s="3"/>
      <c r="K245" s="3"/>
      <c r="M245" s="3"/>
      <c r="P245" s="3"/>
    </row>
    <row r="246" spans="8:16" x14ac:dyDescent="0.25">
      <c r="H246" s="3"/>
      <c r="K246" s="3"/>
      <c r="M246" s="3"/>
      <c r="P246" s="3"/>
    </row>
    <row r="247" spans="8:16" x14ac:dyDescent="0.25">
      <c r="H247" s="3"/>
      <c r="K247" s="3"/>
      <c r="M247" s="3"/>
      <c r="P247" s="3"/>
    </row>
    <row r="248" spans="8:16" x14ac:dyDescent="0.25">
      <c r="H248" s="3"/>
      <c r="K248" s="3"/>
      <c r="M248" s="3"/>
      <c r="P248" s="3"/>
    </row>
    <row r="249" spans="8:16" x14ac:dyDescent="0.25">
      <c r="H249" s="3"/>
      <c r="K249" s="3"/>
      <c r="M249" s="3"/>
      <c r="P249" s="3"/>
    </row>
    <row r="250" spans="8:16" x14ac:dyDescent="0.25">
      <c r="H250" s="3"/>
      <c r="K250" s="3"/>
      <c r="M250" s="3"/>
      <c r="P250" s="3"/>
    </row>
    <row r="251" spans="8:16" x14ac:dyDescent="0.25">
      <c r="H251" s="3"/>
      <c r="K251" s="3"/>
      <c r="M251" s="3"/>
      <c r="P251" s="3"/>
    </row>
    <row r="252" spans="8:16" x14ac:dyDescent="0.25">
      <c r="H252" s="3"/>
      <c r="K252" s="3"/>
      <c r="M252" s="3"/>
      <c r="P252" s="3"/>
    </row>
    <row r="253" spans="8:16" x14ac:dyDescent="0.25">
      <c r="H253" s="3"/>
      <c r="K253" s="3"/>
      <c r="M253" s="3"/>
      <c r="P253" s="3"/>
    </row>
    <row r="254" spans="8:16" x14ac:dyDescent="0.25">
      <c r="H254" s="3"/>
      <c r="K254" s="3"/>
      <c r="M254" s="3"/>
      <c r="P254" s="3"/>
    </row>
    <row r="255" spans="8:16" x14ac:dyDescent="0.25">
      <c r="H255" s="3"/>
      <c r="K255" s="3"/>
      <c r="M255" s="3"/>
      <c r="P255" s="3"/>
    </row>
    <row r="256" spans="8:16" x14ac:dyDescent="0.25">
      <c r="H256" s="3"/>
      <c r="K256" s="3"/>
      <c r="M256" s="3"/>
      <c r="P256" s="3"/>
    </row>
    <row r="257" spans="8:16" x14ac:dyDescent="0.25">
      <c r="H257" s="3"/>
      <c r="K257" s="3"/>
      <c r="M257" s="3"/>
      <c r="P257" s="3"/>
    </row>
    <row r="258" spans="8:16" x14ac:dyDescent="0.25">
      <c r="H258" s="3"/>
      <c r="K258" s="3"/>
      <c r="M258" s="3"/>
      <c r="P258" s="3"/>
    </row>
    <row r="259" spans="8:16" x14ac:dyDescent="0.25">
      <c r="H259" s="3"/>
      <c r="K259" s="3"/>
      <c r="M259" s="3"/>
      <c r="P259" s="3"/>
    </row>
    <row r="260" spans="8:16" x14ac:dyDescent="0.25">
      <c r="H260" s="3"/>
      <c r="K260" s="3"/>
      <c r="M260" s="3"/>
      <c r="P260" s="3"/>
    </row>
    <row r="261" spans="8:16" x14ac:dyDescent="0.25">
      <c r="H261" s="3"/>
      <c r="K261" s="3"/>
      <c r="M261" s="3"/>
      <c r="P261" s="3"/>
    </row>
    <row r="262" spans="8:16" x14ac:dyDescent="0.25">
      <c r="H262" s="3"/>
      <c r="K262" s="3"/>
      <c r="M262" s="3"/>
      <c r="P262" s="3"/>
    </row>
    <row r="263" spans="8:16" x14ac:dyDescent="0.25">
      <c r="H263" s="3"/>
      <c r="K263" s="3"/>
      <c r="M263" s="3"/>
      <c r="P263" s="3"/>
    </row>
    <row r="264" spans="8:16" x14ac:dyDescent="0.25">
      <c r="H264" s="3"/>
      <c r="K264" s="3"/>
      <c r="M264" s="3"/>
      <c r="P264" s="3"/>
    </row>
    <row r="265" spans="8:16" x14ac:dyDescent="0.25">
      <c r="H265" s="3"/>
      <c r="K265" s="3"/>
      <c r="M265" s="3"/>
      <c r="P265" s="3"/>
    </row>
    <row r="266" spans="8:16" x14ac:dyDescent="0.25">
      <c r="H266" s="3"/>
      <c r="K266" s="3"/>
      <c r="M266" s="3"/>
      <c r="P266" s="3"/>
    </row>
    <row r="267" spans="8:16" x14ac:dyDescent="0.25">
      <c r="H267" s="3"/>
      <c r="K267" s="3"/>
      <c r="M267" s="3"/>
      <c r="P267" s="3"/>
    </row>
    <row r="268" spans="8:16" x14ac:dyDescent="0.25">
      <c r="H268" s="3"/>
      <c r="K268" s="3"/>
      <c r="M268" s="3"/>
      <c r="P268" s="3"/>
    </row>
    <row r="269" spans="8:16" x14ac:dyDescent="0.25">
      <c r="H269" s="3"/>
      <c r="K269" s="3"/>
      <c r="M269" s="3"/>
      <c r="P269" s="3"/>
    </row>
    <row r="270" spans="8:16" x14ac:dyDescent="0.25">
      <c r="H270" s="3"/>
      <c r="K270" s="3"/>
      <c r="M270" s="3"/>
      <c r="P270" s="3"/>
    </row>
    <row r="271" spans="8:16" x14ac:dyDescent="0.25">
      <c r="H271" s="3"/>
      <c r="K271" s="3"/>
      <c r="M271" s="3"/>
      <c r="P271" s="3"/>
    </row>
    <row r="272" spans="8:16" x14ac:dyDescent="0.25">
      <c r="H272" s="3"/>
      <c r="K272" s="3"/>
      <c r="M272" s="3"/>
      <c r="P272" s="3"/>
    </row>
    <row r="273" spans="8:16" x14ac:dyDescent="0.25">
      <c r="H273" s="3"/>
      <c r="K273" s="3"/>
      <c r="M273" s="3"/>
      <c r="P273" s="3"/>
    </row>
    <row r="274" spans="8:16" x14ac:dyDescent="0.25">
      <c r="H274" s="3"/>
      <c r="K274" s="3"/>
      <c r="M274" s="3"/>
      <c r="P274" s="3"/>
    </row>
    <row r="275" spans="8:16" x14ac:dyDescent="0.25">
      <c r="H275" s="3"/>
      <c r="K275" s="3"/>
      <c r="M275" s="3"/>
      <c r="P275" s="3"/>
    </row>
    <row r="276" spans="8:16" x14ac:dyDescent="0.25">
      <c r="H276" s="3"/>
      <c r="K276" s="3"/>
      <c r="M276" s="3"/>
      <c r="P276" s="3"/>
    </row>
    <row r="277" spans="8:16" x14ac:dyDescent="0.25">
      <c r="H277" s="3"/>
      <c r="K277" s="3"/>
      <c r="M277" s="3"/>
      <c r="P277" s="3"/>
    </row>
    <row r="278" spans="8:16" x14ac:dyDescent="0.25">
      <c r="H278" s="3"/>
      <c r="K278" s="3"/>
      <c r="M278" s="3"/>
      <c r="P278" s="3"/>
    </row>
    <row r="279" spans="8:16" x14ac:dyDescent="0.25">
      <c r="H279" s="3"/>
      <c r="K279" s="3"/>
      <c r="M279" s="3"/>
      <c r="P279" s="3"/>
    </row>
    <row r="280" spans="8:16" x14ac:dyDescent="0.25">
      <c r="H280" s="3"/>
      <c r="K280" s="3"/>
      <c r="M280" s="3"/>
      <c r="P280" s="3"/>
    </row>
    <row r="281" spans="8:16" x14ac:dyDescent="0.25">
      <c r="H281" s="3"/>
      <c r="K281" s="3"/>
      <c r="M281" s="3"/>
      <c r="P281" s="3"/>
    </row>
    <row r="282" spans="8:16" x14ac:dyDescent="0.25">
      <c r="H282" s="3"/>
      <c r="K282" s="3"/>
      <c r="M282" s="3"/>
      <c r="P282" s="3"/>
    </row>
    <row r="283" spans="8:16" x14ac:dyDescent="0.25">
      <c r="H283" s="3"/>
      <c r="K283" s="3"/>
      <c r="M283" s="3"/>
      <c r="P283" s="3"/>
    </row>
    <row r="284" spans="8:16" x14ac:dyDescent="0.25">
      <c r="H284" s="3"/>
      <c r="K284" s="3"/>
      <c r="M284" s="3"/>
      <c r="P284" s="3"/>
    </row>
    <row r="285" spans="8:16" x14ac:dyDescent="0.25">
      <c r="H285" s="3"/>
      <c r="K285" s="3"/>
      <c r="M285" s="3"/>
      <c r="P285" s="3"/>
    </row>
    <row r="286" spans="8:16" x14ac:dyDescent="0.25">
      <c r="H286" s="3"/>
      <c r="K286" s="3"/>
      <c r="M286" s="3"/>
      <c r="P286" s="3"/>
    </row>
    <row r="287" spans="8:16" x14ac:dyDescent="0.25">
      <c r="H287" s="3"/>
      <c r="K287" s="3"/>
      <c r="M287" s="3"/>
      <c r="P287" s="3"/>
    </row>
    <row r="288" spans="8:16" x14ac:dyDescent="0.25">
      <c r="H288" s="3"/>
      <c r="K288" s="3"/>
      <c r="M288" s="3"/>
      <c r="P288" s="3"/>
    </row>
    <row r="289" spans="8:16" x14ac:dyDescent="0.25">
      <c r="H289" s="3"/>
      <c r="K289" s="3"/>
      <c r="M289" s="3"/>
      <c r="P289" s="3"/>
    </row>
    <row r="290" spans="8:16" x14ac:dyDescent="0.25">
      <c r="H290" s="3"/>
      <c r="K290" s="3"/>
      <c r="M290" s="3"/>
      <c r="P290" s="3"/>
    </row>
    <row r="291" spans="8:16" x14ac:dyDescent="0.25">
      <c r="H291" s="3"/>
      <c r="K291" s="3"/>
      <c r="M291" s="3"/>
      <c r="P291" s="3"/>
    </row>
    <row r="292" spans="8:16" x14ac:dyDescent="0.25">
      <c r="H292" s="3"/>
      <c r="K292" s="3"/>
      <c r="M292" s="3"/>
      <c r="P292" s="3"/>
    </row>
    <row r="293" spans="8:16" x14ac:dyDescent="0.25">
      <c r="H293" s="3"/>
      <c r="K293" s="3"/>
      <c r="M293" s="3"/>
      <c r="P293" s="3"/>
    </row>
    <row r="294" spans="8:16" x14ac:dyDescent="0.25">
      <c r="H294" s="3"/>
      <c r="K294" s="3"/>
      <c r="M294" s="3"/>
      <c r="P294" s="3"/>
    </row>
    <row r="295" spans="8:16" x14ac:dyDescent="0.25">
      <c r="H295" s="3"/>
      <c r="K295" s="3"/>
      <c r="M295" s="3"/>
      <c r="P295" s="3"/>
    </row>
    <row r="296" spans="8:16" x14ac:dyDescent="0.25">
      <c r="H296" s="3"/>
      <c r="K296" s="3"/>
      <c r="M296" s="3"/>
      <c r="P296" s="3"/>
    </row>
    <row r="297" spans="8:16" x14ac:dyDescent="0.25">
      <c r="H297" s="3"/>
      <c r="K297" s="3"/>
      <c r="M297" s="3"/>
      <c r="P297" s="3"/>
    </row>
    <row r="298" spans="8:16" x14ac:dyDescent="0.25">
      <c r="H298" s="3"/>
      <c r="K298" s="3"/>
      <c r="M298" s="3"/>
      <c r="P298" s="3"/>
    </row>
    <row r="299" spans="8:16" x14ac:dyDescent="0.25">
      <c r="H299" s="3"/>
      <c r="K299" s="3"/>
      <c r="M299" s="3"/>
      <c r="P299" s="3"/>
    </row>
    <row r="300" spans="8:16" x14ac:dyDescent="0.25">
      <c r="H300" s="3"/>
      <c r="K300" s="3"/>
      <c r="M300" s="3"/>
      <c r="P300" s="3"/>
    </row>
    <row r="301" spans="8:16" x14ac:dyDescent="0.25">
      <c r="H301" s="3"/>
      <c r="K301" s="3"/>
      <c r="M301" s="3"/>
      <c r="P301" s="3"/>
    </row>
    <row r="302" spans="8:16" x14ac:dyDescent="0.25">
      <c r="H302" s="3"/>
      <c r="K302" s="3"/>
      <c r="M302" s="3"/>
      <c r="P302" s="3"/>
    </row>
    <row r="303" spans="8:16" x14ac:dyDescent="0.25">
      <c r="H303" s="3"/>
      <c r="K303" s="3"/>
      <c r="M303" s="3"/>
      <c r="P303" s="3"/>
    </row>
    <row r="304" spans="8:16" x14ac:dyDescent="0.25">
      <c r="H304" s="3"/>
      <c r="K304" s="3"/>
      <c r="M304" s="3"/>
      <c r="P304" s="3"/>
    </row>
    <row r="305" spans="8:16" x14ac:dyDescent="0.25">
      <c r="H305" s="3"/>
      <c r="K305" s="3"/>
      <c r="M305" s="3"/>
      <c r="P305" s="3"/>
    </row>
    <row r="306" spans="8:16" x14ac:dyDescent="0.25">
      <c r="H306" s="3"/>
      <c r="K306" s="3"/>
      <c r="M306" s="3"/>
      <c r="P306" s="3"/>
    </row>
    <row r="307" spans="8:16" x14ac:dyDescent="0.25">
      <c r="H307" s="3"/>
      <c r="K307" s="3"/>
      <c r="M307" s="3"/>
      <c r="P307" s="3"/>
    </row>
    <row r="308" spans="8:16" x14ac:dyDescent="0.25">
      <c r="H308" s="3"/>
      <c r="K308" s="3"/>
      <c r="M308" s="3"/>
      <c r="P308" s="3"/>
    </row>
    <row r="309" spans="8:16" x14ac:dyDescent="0.25">
      <c r="H309" s="3"/>
      <c r="K309" s="3"/>
      <c r="M309" s="3"/>
      <c r="P309" s="3"/>
    </row>
    <row r="310" spans="8:16" x14ac:dyDescent="0.25">
      <c r="H310" s="3"/>
      <c r="K310" s="3"/>
      <c r="M310" s="3"/>
      <c r="P310" s="3"/>
    </row>
    <row r="311" spans="8:16" x14ac:dyDescent="0.25">
      <c r="H311" s="3"/>
      <c r="K311" s="3"/>
      <c r="M311" s="3"/>
      <c r="P311" s="3"/>
    </row>
    <row r="312" spans="8:16" x14ac:dyDescent="0.25">
      <c r="H312" s="3"/>
      <c r="K312" s="3"/>
      <c r="M312" s="3"/>
      <c r="P312" s="3"/>
    </row>
    <row r="313" spans="8:16" x14ac:dyDescent="0.25">
      <c r="H313" s="3"/>
      <c r="K313" s="3"/>
      <c r="M313" s="3"/>
      <c r="P313" s="3"/>
    </row>
    <row r="314" spans="8:16" x14ac:dyDescent="0.25">
      <c r="H314" s="3"/>
      <c r="K314" s="3"/>
      <c r="M314" s="3"/>
      <c r="P314" s="3"/>
    </row>
    <row r="315" spans="8:16" x14ac:dyDescent="0.25">
      <c r="H315" s="3"/>
      <c r="K315" s="3"/>
      <c r="M315" s="3"/>
      <c r="P315" s="3"/>
    </row>
    <row r="316" spans="8:16" x14ac:dyDescent="0.25">
      <c r="H316" s="3"/>
      <c r="K316" s="3"/>
      <c r="M316" s="3"/>
      <c r="P316" s="3"/>
    </row>
    <row r="317" spans="8:16" x14ac:dyDescent="0.25">
      <c r="H317" s="3"/>
      <c r="K317" s="3"/>
      <c r="M317" s="3"/>
      <c r="P317" s="3"/>
    </row>
    <row r="318" spans="8:16" x14ac:dyDescent="0.25">
      <c r="H318" s="3"/>
      <c r="K318" s="3"/>
      <c r="M318" s="3"/>
      <c r="P318" s="3"/>
    </row>
    <row r="319" spans="8:16" x14ac:dyDescent="0.25">
      <c r="H319" s="3"/>
      <c r="K319" s="3"/>
      <c r="M319" s="3"/>
      <c r="P319" s="3"/>
    </row>
    <row r="320" spans="8:16" x14ac:dyDescent="0.25">
      <c r="H320" s="3"/>
      <c r="K320" s="3"/>
      <c r="M320" s="3"/>
      <c r="P320" s="3"/>
    </row>
    <row r="321" spans="8:16" x14ac:dyDescent="0.25">
      <c r="H321" s="3"/>
      <c r="K321" s="3"/>
      <c r="M321" s="3"/>
      <c r="P321" s="3"/>
    </row>
    <row r="322" spans="8:16" x14ac:dyDescent="0.25">
      <c r="H322" s="3"/>
      <c r="K322" s="3"/>
      <c r="M322" s="3"/>
      <c r="P322" s="3"/>
    </row>
    <row r="323" spans="8:16" x14ac:dyDescent="0.25">
      <c r="H323" s="3"/>
      <c r="K323" s="3"/>
      <c r="M323" s="3"/>
      <c r="P323" s="3"/>
    </row>
    <row r="324" spans="8:16" x14ac:dyDescent="0.25">
      <c r="H324" s="3"/>
      <c r="K324" s="3"/>
      <c r="M324" s="3"/>
      <c r="P324" s="3"/>
    </row>
    <row r="325" spans="8:16" x14ac:dyDescent="0.25">
      <c r="H325" s="3"/>
      <c r="K325" s="3"/>
      <c r="M325" s="3"/>
      <c r="P325" s="3"/>
    </row>
    <row r="326" spans="8:16" x14ac:dyDescent="0.25">
      <c r="H326" s="3"/>
      <c r="K326" s="3"/>
      <c r="M326" s="3"/>
      <c r="P326" s="3"/>
    </row>
    <row r="327" spans="8:16" x14ac:dyDescent="0.25">
      <c r="H327" s="3"/>
      <c r="K327" s="3"/>
      <c r="M327" s="3"/>
      <c r="P327" s="3"/>
    </row>
    <row r="328" spans="8:16" x14ac:dyDescent="0.25">
      <c r="H328" s="3"/>
      <c r="K328" s="3"/>
      <c r="M328" s="3"/>
      <c r="P328" s="3"/>
    </row>
    <row r="329" spans="8:16" x14ac:dyDescent="0.25">
      <c r="H329" s="3"/>
      <c r="K329" s="3"/>
      <c r="M329" s="3"/>
      <c r="P329" s="3"/>
    </row>
    <row r="330" spans="8:16" x14ac:dyDescent="0.25">
      <c r="H330" s="3"/>
      <c r="K330" s="3"/>
      <c r="M330" s="3"/>
      <c r="P330" s="3"/>
    </row>
    <row r="331" spans="8:16" x14ac:dyDescent="0.25">
      <c r="H331" s="3"/>
      <c r="K331" s="3"/>
      <c r="M331" s="3"/>
      <c r="P331" s="3"/>
    </row>
    <row r="332" spans="8:16" x14ac:dyDescent="0.25">
      <c r="H332" s="3"/>
      <c r="K332" s="3"/>
      <c r="M332" s="3"/>
      <c r="P332" s="3"/>
    </row>
    <row r="333" spans="8:16" x14ac:dyDescent="0.25">
      <c r="H333" s="3"/>
      <c r="K333" s="3"/>
      <c r="M333" s="3"/>
      <c r="P333" s="3"/>
    </row>
    <row r="334" spans="8:16" x14ac:dyDescent="0.25">
      <c r="H334" s="3"/>
      <c r="K334" s="3"/>
      <c r="M334" s="3"/>
      <c r="P334" s="3"/>
    </row>
    <row r="335" spans="8:16" x14ac:dyDescent="0.25">
      <c r="H335" s="3"/>
      <c r="K335" s="3"/>
      <c r="M335" s="3"/>
      <c r="P335" s="3"/>
    </row>
    <row r="336" spans="8:16" x14ac:dyDescent="0.25">
      <c r="H336" s="3"/>
      <c r="K336" s="3"/>
      <c r="M336" s="3"/>
      <c r="P336" s="3"/>
    </row>
    <row r="337" spans="8:16" x14ac:dyDescent="0.25">
      <c r="H337" s="3"/>
      <c r="K337" s="3"/>
      <c r="M337" s="3"/>
      <c r="P337" s="3"/>
    </row>
    <row r="338" spans="8:16" x14ac:dyDescent="0.25">
      <c r="H338" s="3"/>
      <c r="K338" s="3"/>
      <c r="M338" s="3"/>
      <c r="P338" s="3"/>
    </row>
    <row r="339" spans="8:16" x14ac:dyDescent="0.25">
      <c r="H339" s="3"/>
      <c r="K339" s="3"/>
      <c r="M339" s="3"/>
      <c r="P339" s="3"/>
    </row>
    <row r="340" spans="8:16" x14ac:dyDescent="0.25">
      <c r="H340" s="3"/>
      <c r="K340" s="3"/>
      <c r="M340" s="3"/>
      <c r="P340" s="3"/>
    </row>
    <row r="341" spans="8:16" x14ac:dyDescent="0.25">
      <c r="H341" s="3"/>
      <c r="K341" s="3"/>
      <c r="M341" s="3"/>
      <c r="P341" s="3"/>
    </row>
    <row r="342" spans="8:16" x14ac:dyDescent="0.25">
      <c r="H342" s="3"/>
      <c r="K342" s="3"/>
      <c r="M342" s="3"/>
      <c r="P342" s="3"/>
    </row>
    <row r="343" spans="8:16" x14ac:dyDescent="0.25">
      <c r="H343" s="3"/>
      <c r="K343" s="3"/>
      <c r="M343" s="3"/>
      <c r="P343" s="3"/>
    </row>
    <row r="344" spans="8:16" x14ac:dyDescent="0.25">
      <c r="H344" s="3"/>
      <c r="K344" s="3"/>
      <c r="M344" s="3"/>
      <c r="P344" s="3"/>
    </row>
    <row r="345" spans="8:16" x14ac:dyDescent="0.25">
      <c r="H345" s="3"/>
      <c r="K345" s="3"/>
      <c r="M345" s="3"/>
      <c r="P345" s="3"/>
    </row>
    <row r="346" spans="8:16" x14ac:dyDescent="0.25">
      <c r="H346" s="3"/>
      <c r="K346" s="3"/>
      <c r="M346" s="3"/>
      <c r="P346" s="3"/>
    </row>
    <row r="347" spans="8:16" x14ac:dyDescent="0.25">
      <c r="H347" s="3"/>
      <c r="K347" s="3"/>
      <c r="M347" s="3"/>
      <c r="P347" s="3"/>
    </row>
    <row r="348" spans="8:16" x14ac:dyDescent="0.25">
      <c r="H348" s="3"/>
      <c r="K348" s="3"/>
      <c r="M348" s="3"/>
      <c r="P348" s="3"/>
    </row>
    <row r="349" spans="8:16" x14ac:dyDescent="0.25">
      <c r="H349" s="3"/>
      <c r="K349" s="3"/>
      <c r="M349" s="3"/>
      <c r="P349" s="3"/>
    </row>
    <row r="350" spans="8:16" x14ac:dyDescent="0.25">
      <c r="H350" s="3"/>
      <c r="K350" s="3"/>
      <c r="M350" s="3"/>
      <c r="P350" s="3"/>
    </row>
    <row r="351" spans="8:16" x14ac:dyDescent="0.25">
      <c r="H351" s="3"/>
      <c r="K351" s="3"/>
      <c r="M351" s="3"/>
      <c r="P351" s="3"/>
    </row>
    <row r="352" spans="8:16" x14ac:dyDescent="0.25">
      <c r="H352" s="3"/>
      <c r="K352" s="3"/>
      <c r="M352" s="3"/>
      <c r="P352" s="3"/>
    </row>
    <row r="353" spans="8:16" x14ac:dyDescent="0.25">
      <c r="H353" s="3"/>
      <c r="K353" s="3"/>
      <c r="M353" s="3"/>
      <c r="P353" s="3"/>
    </row>
    <row r="354" spans="8:16" x14ac:dyDescent="0.25">
      <c r="H354" s="3"/>
      <c r="K354" s="3"/>
      <c r="M354" s="3"/>
      <c r="P354" s="3"/>
    </row>
    <row r="355" spans="8:16" x14ac:dyDescent="0.25">
      <c r="H355" s="3"/>
      <c r="K355" s="3"/>
      <c r="M355" s="3"/>
      <c r="P355" s="3"/>
    </row>
    <row r="356" spans="8:16" x14ac:dyDescent="0.25">
      <c r="H356" s="3"/>
      <c r="K356" s="3"/>
      <c r="M356" s="3"/>
      <c r="P356" s="3"/>
    </row>
    <row r="357" spans="8:16" x14ac:dyDescent="0.25">
      <c r="H357" s="3"/>
      <c r="K357" s="3"/>
      <c r="M357" s="3"/>
      <c r="P357" s="3"/>
    </row>
    <row r="358" spans="8:16" x14ac:dyDescent="0.25">
      <c r="H358" s="3"/>
      <c r="K358" s="3"/>
      <c r="M358" s="3"/>
      <c r="P358" s="3"/>
    </row>
    <row r="359" spans="8:16" x14ac:dyDescent="0.25">
      <c r="H359" s="3"/>
      <c r="K359" s="3"/>
      <c r="M359" s="3"/>
      <c r="P359" s="3"/>
    </row>
    <row r="360" spans="8:16" x14ac:dyDescent="0.25">
      <c r="H360" s="3"/>
      <c r="K360" s="3"/>
      <c r="M360" s="3"/>
      <c r="P360" s="3"/>
    </row>
    <row r="361" spans="8:16" x14ac:dyDescent="0.25">
      <c r="H361" s="3"/>
      <c r="K361" s="3"/>
      <c r="M361" s="3"/>
      <c r="P361" s="3"/>
    </row>
    <row r="362" spans="8:16" x14ac:dyDescent="0.25">
      <c r="H362" s="3"/>
      <c r="K362" s="3"/>
      <c r="M362" s="3"/>
      <c r="P362" s="3"/>
    </row>
    <row r="363" spans="8:16" x14ac:dyDescent="0.25">
      <c r="H363" s="3"/>
      <c r="K363" s="3"/>
      <c r="M363" s="3"/>
      <c r="P363" s="3"/>
    </row>
    <row r="364" spans="8:16" x14ac:dyDescent="0.25">
      <c r="H364" s="3"/>
      <c r="K364" s="3"/>
      <c r="M364" s="3"/>
      <c r="P364" s="3"/>
    </row>
    <row r="365" spans="8:16" x14ac:dyDescent="0.25">
      <c r="H365" s="3"/>
      <c r="K365" s="3"/>
      <c r="M365" s="3"/>
      <c r="P365" s="3"/>
    </row>
    <row r="366" spans="8:16" x14ac:dyDescent="0.25">
      <c r="H366" s="3"/>
      <c r="K366" s="3"/>
      <c r="M366" s="3"/>
      <c r="P366" s="3"/>
    </row>
    <row r="367" spans="8:16" x14ac:dyDescent="0.25">
      <c r="H367" s="3"/>
      <c r="K367" s="3"/>
      <c r="M367" s="3"/>
      <c r="P367" s="3"/>
    </row>
    <row r="368" spans="8:16" x14ac:dyDescent="0.25">
      <c r="H368" s="3"/>
      <c r="K368" s="3"/>
      <c r="M368" s="3"/>
      <c r="P368" s="3"/>
    </row>
    <row r="369" spans="8:16" x14ac:dyDescent="0.25">
      <c r="H369" s="3"/>
      <c r="K369" s="3"/>
      <c r="M369" s="3"/>
      <c r="P369" s="3"/>
    </row>
    <row r="370" spans="8:16" x14ac:dyDescent="0.25">
      <c r="H370" s="3"/>
      <c r="K370" s="3"/>
      <c r="M370" s="3"/>
      <c r="P370" s="3"/>
    </row>
    <row r="371" spans="8:16" x14ac:dyDescent="0.25">
      <c r="H371" s="3"/>
      <c r="K371" s="3"/>
      <c r="M371" s="3"/>
      <c r="P371" s="3"/>
    </row>
    <row r="372" spans="8:16" x14ac:dyDescent="0.25">
      <c r="H372" s="3"/>
      <c r="K372" s="3"/>
      <c r="M372" s="3"/>
      <c r="P372" s="3"/>
    </row>
    <row r="373" spans="8:16" x14ac:dyDescent="0.25">
      <c r="H373" s="3"/>
      <c r="K373" s="3"/>
      <c r="M373" s="3"/>
      <c r="P373" s="3"/>
    </row>
    <row r="374" spans="8:16" x14ac:dyDescent="0.25">
      <c r="H374" s="3"/>
      <c r="K374" s="3"/>
      <c r="M374" s="3"/>
      <c r="P374" s="3"/>
    </row>
    <row r="375" spans="8:16" x14ac:dyDescent="0.25">
      <c r="H375" s="3"/>
      <c r="K375" s="3"/>
      <c r="M375" s="3"/>
      <c r="P375" s="3"/>
    </row>
    <row r="376" spans="8:16" x14ac:dyDescent="0.25">
      <c r="H376" s="3"/>
      <c r="K376" s="3"/>
      <c r="M376" s="3"/>
      <c r="P376" s="3"/>
    </row>
    <row r="377" spans="8:16" x14ac:dyDescent="0.25">
      <c r="H377" s="3"/>
      <c r="K377" s="3"/>
      <c r="M377" s="3"/>
      <c r="P377" s="3"/>
    </row>
    <row r="378" spans="8:16" x14ac:dyDescent="0.25">
      <c r="H378" s="3"/>
      <c r="K378" s="3"/>
      <c r="M378" s="3"/>
      <c r="P378" s="3"/>
    </row>
    <row r="379" spans="8:16" x14ac:dyDescent="0.25">
      <c r="H379" s="3"/>
      <c r="K379" s="3"/>
      <c r="M379" s="3"/>
      <c r="P379" s="3"/>
    </row>
    <row r="380" spans="8:16" x14ac:dyDescent="0.25">
      <c r="H380" s="3"/>
      <c r="K380" s="3"/>
      <c r="M380" s="3"/>
      <c r="P380" s="3"/>
    </row>
    <row r="381" spans="8:16" x14ac:dyDescent="0.25">
      <c r="H381" s="3"/>
      <c r="K381" s="3"/>
      <c r="M381" s="3"/>
      <c r="P381" s="3"/>
    </row>
    <row r="382" spans="8:16" x14ac:dyDescent="0.25">
      <c r="H382" s="3"/>
      <c r="K382" s="3"/>
      <c r="M382" s="3"/>
      <c r="P382" s="3"/>
    </row>
    <row r="383" spans="8:16" x14ac:dyDescent="0.25">
      <c r="H383" s="3"/>
      <c r="K383" s="3"/>
      <c r="M383" s="3"/>
      <c r="P383" s="3"/>
    </row>
    <row r="384" spans="8:16" x14ac:dyDescent="0.25">
      <c r="H384" s="3"/>
      <c r="K384" s="3"/>
      <c r="M384" s="3"/>
      <c r="P384" s="3"/>
    </row>
    <row r="385" spans="8:16" x14ac:dyDescent="0.25">
      <c r="H385" s="3"/>
      <c r="K385" s="3"/>
      <c r="M385" s="3"/>
      <c r="P385" s="3"/>
    </row>
    <row r="386" spans="8:16" x14ac:dyDescent="0.25">
      <c r="H386" s="3"/>
      <c r="K386" s="3"/>
      <c r="M386" s="3"/>
      <c r="P386" s="3"/>
    </row>
    <row r="387" spans="8:16" x14ac:dyDescent="0.25">
      <c r="H387" s="3"/>
      <c r="K387" s="3"/>
      <c r="M387" s="3"/>
      <c r="P387" s="3"/>
    </row>
    <row r="388" spans="8:16" x14ac:dyDescent="0.25">
      <c r="H388" s="3"/>
      <c r="K388" s="3"/>
      <c r="M388" s="3"/>
      <c r="P388" s="3"/>
    </row>
    <row r="389" spans="8:16" x14ac:dyDescent="0.25">
      <c r="H389" s="3"/>
      <c r="K389" s="3"/>
      <c r="M389" s="3"/>
      <c r="P389" s="3"/>
    </row>
    <row r="390" spans="8:16" x14ac:dyDescent="0.25">
      <c r="H390" s="3"/>
      <c r="K390" s="3"/>
      <c r="M390" s="3"/>
      <c r="P390" s="3"/>
    </row>
    <row r="391" spans="8:16" x14ac:dyDescent="0.25">
      <c r="H391" s="3"/>
      <c r="K391" s="3"/>
      <c r="M391" s="3"/>
      <c r="P391" s="3"/>
    </row>
    <row r="392" spans="8:16" x14ac:dyDescent="0.25">
      <c r="H392" s="3"/>
      <c r="K392" s="3"/>
      <c r="M392" s="3"/>
      <c r="P392" s="3"/>
    </row>
    <row r="393" spans="8:16" x14ac:dyDescent="0.25">
      <c r="H393" s="3"/>
      <c r="K393" s="3"/>
      <c r="M393" s="3"/>
      <c r="P393" s="3"/>
    </row>
    <row r="394" spans="8:16" x14ac:dyDescent="0.25">
      <c r="H394" s="3"/>
      <c r="K394" s="3"/>
      <c r="M394" s="3"/>
      <c r="P394" s="3"/>
    </row>
    <row r="395" spans="8:16" x14ac:dyDescent="0.25">
      <c r="H395" s="3"/>
      <c r="K395" s="3"/>
      <c r="M395" s="3"/>
      <c r="P395" s="3"/>
    </row>
    <row r="396" spans="8:16" x14ac:dyDescent="0.25">
      <c r="H396" s="3"/>
      <c r="K396" s="3"/>
      <c r="M396" s="3"/>
      <c r="P396" s="3"/>
    </row>
    <row r="397" spans="8:16" x14ac:dyDescent="0.25">
      <c r="H397" s="3"/>
      <c r="K397" s="3"/>
      <c r="M397" s="3"/>
      <c r="P397" s="3"/>
    </row>
    <row r="398" spans="8:16" x14ac:dyDescent="0.25">
      <c r="H398" s="3"/>
      <c r="K398" s="3"/>
      <c r="M398" s="3"/>
      <c r="P398" s="3"/>
    </row>
    <row r="399" spans="8:16" x14ac:dyDescent="0.25">
      <c r="H399" s="3"/>
      <c r="K399" s="3"/>
      <c r="M399" s="3"/>
      <c r="P399" s="3"/>
    </row>
    <row r="400" spans="8:16" x14ac:dyDescent="0.25">
      <c r="H400" s="3"/>
      <c r="K400" s="3"/>
      <c r="M400" s="3"/>
      <c r="P400" s="3"/>
    </row>
    <row r="401" spans="8:16" x14ac:dyDescent="0.25">
      <c r="H401" s="3"/>
      <c r="K401" s="3"/>
      <c r="M401" s="3"/>
      <c r="P401" s="3"/>
    </row>
    <row r="402" spans="8:16" x14ac:dyDescent="0.25">
      <c r="H402" s="3"/>
      <c r="K402" s="3"/>
      <c r="M402" s="3"/>
      <c r="P402" s="3"/>
    </row>
    <row r="403" spans="8:16" x14ac:dyDescent="0.25">
      <c r="H403" s="3"/>
      <c r="K403" s="3"/>
      <c r="M403" s="3"/>
      <c r="P403" s="3"/>
    </row>
    <row r="404" spans="8:16" x14ac:dyDescent="0.25">
      <c r="H404" s="3"/>
      <c r="K404" s="3"/>
      <c r="M404" s="3"/>
      <c r="P404" s="3"/>
    </row>
    <row r="405" spans="8:16" x14ac:dyDescent="0.25">
      <c r="H405" s="3"/>
      <c r="K405" s="3"/>
      <c r="M405" s="3"/>
      <c r="P405" s="3"/>
    </row>
    <row r="406" spans="8:16" x14ac:dyDescent="0.25">
      <c r="H406" s="3"/>
      <c r="K406" s="3"/>
      <c r="M406" s="3"/>
      <c r="P406" s="3"/>
    </row>
    <row r="407" spans="8:16" x14ac:dyDescent="0.25">
      <c r="H407" s="3"/>
      <c r="K407" s="3"/>
      <c r="M407" s="3"/>
      <c r="P407" s="3"/>
    </row>
    <row r="408" spans="8:16" x14ac:dyDescent="0.25">
      <c r="H408" s="3"/>
      <c r="K408" s="3"/>
      <c r="M408" s="3"/>
      <c r="P408" s="3"/>
    </row>
    <row r="409" spans="8:16" x14ac:dyDescent="0.25">
      <c r="H409" s="3"/>
      <c r="K409" s="3"/>
      <c r="M409" s="3"/>
      <c r="P409" s="3"/>
    </row>
    <row r="410" spans="8:16" x14ac:dyDescent="0.25">
      <c r="H410" s="3"/>
      <c r="K410" s="3"/>
      <c r="M410" s="3"/>
      <c r="P410" s="3"/>
    </row>
    <row r="411" spans="8:16" x14ac:dyDescent="0.25">
      <c r="H411" s="3"/>
      <c r="K411" s="3"/>
      <c r="M411" s="3"/>
      <c r="P411" s="3"/>
    </row>
    <row r="412" spans="8:16" x14ac:dyDescent="0.25">
      <c r="H412" s="3"/>
      <c r="K412" s="3"/>
      <c r="M412" s="3"/>
      <c r="P412" s="3"/>
    </row>
    <row r="413" spans="8:16" x14ac:dyDescent="0.25">
      <c r="H413" s="3"/>
      <c r="K413" s="3"/>
      <c r="M413" s="3"/>
      <c r="P413" s="3"/>
    </row>
    <row r="414" spans="8:16" x14ac:dyDescent="0.25">
      <c r="H414" s="3"/>
      <c r="K414" s="3"/>
      <c r="M414" s="3"/>
      <c r="P414" s="3"/>
    </row>
    <row r="415" spans="8:16" x14ac:dyDescent="0.25">
      <c r="H415" s="3"/>
      <c r="K415" s="3"/>
      <c r="M415" s="3"/>
      <c r="P415" s="3"/>
    </row>
    <row r="416" spans="8:16" x14ac:dyDescent="0.25">
      <c r="H416" s="3"/>
      <c r="K416" s="3"/>
      <c r="M416" s="3"/>
      <c r="P416" s="3"/>
    </row>
    <row r="417" spans="8:16" x14ac:dyDescent="0.25">
      <c r="H417" s="3"/>
      <c r="K417" s="3"/>
      <c r="M417" s="3"/>
      <c r="P417" s="3"/>
    </row>
    <row r="418" spans="8:16" x14ac:dyDescent="0.25">
      <c r="H418" s="3"/>
      <c r="K418" s="3"/>
      <c r="M418" s="3"/>
      <c r="P418" s="3"/>
    </row>
    <row r="419" spans="8:16" x14ac:dyDescent="0.25">
      <c r="H419" s="3"/>
      <c r="K419" s="3"/>
      <c r="M419" s="3"/>
      <c r="P419" s="3"/>
    </row>
    <row r="420" spans="8:16" x14ac:dyDescent="0.25">
      <c r="H420" s="3"/>
      <c r="K420" s="3"/>
      <c r="M420" s="3"/>
      <c r="P420" s="3"/>
    </row>
    <row r="421" spans="8:16" x14ac:dyDescent="0.25">
      <c r="H421" s="3"/>
      <c r="K421" s="3"/>
      <c r="M421" s="3"/>
      <c r="P421" s="3"/>
    </row>
    <row r="422" spans="8:16" x14ac:dyDescent="0.25">
      <c r="H422" s="3"/>
      <c r="K422" s="3"/>
      <c r="M422" s="3"/>
      <c r="P422" s="3"/>
    </row>
    <row r="423" spans="8:16" x14ac:dyDescent="0.25">
      <c r="H423" s="3"/>
      <c r="K423" s="3"/>
      <c r="M423" s="3"/>
      <c r="P423" s="3"/>
    </row>
    <row r="424" spans="8:16" x14ac:dyDescent="0.25">
      <c r="H424" s="3"/>
      <c r="K424" s="3"/>
      <c r="M424" s="3"/>
      <c r="P424" s="3"/>
    </row>
    <row r="425" spans="8:16" x14ac:dyDescent="0.25">
      <c r="H425" s="3"/>
      <c r="K425" s="3"/>
      <c r="M425" s="3"/>
      <c r="P425" s="3"/>
    </row>
    <row r="426" spans="8:16" x14ac:dyDescent="0.25">
      <c r="H426" s="3"/>
      <c r="K426" s="3"/>
      <c r="M426" s="3"/>
      <c r="P426" s="3"/>
    </row>
    <row r="427" spans="8:16" x14ac:dyDescent="0.25">
      <c r="H427" s="3"/>
      <c r="K427" s="3"/>
      <c r="M427" s="3"/>
      <c r="P427" s="3"/>
    </row>
    <row r="428" spans="8:16" x14ac:dyDescent="0.25">
      <c r="H428" s="3"/>
      <c r="K428" s="3"/>
      <c r="M428" s="3"/>
      <c r="P428" s="3"/>
    </row>
    <row r="429" spans="8:16" x14ac:dyDescent="0.25">
      <c r="H429" s="3"/>
      <c r="K429" s="3"/>
      <c r="M429" s="3"/>
      <c r="P429" s="3"/>
    </row>
    <row r="430" spans="8:16" x14ac:dyDescent="0.25">
      <c r="H430" s="3"/>
      <c r="K430" s="3"/>
      <c r="M430" s="3"/>
      <c r="P430" s="3"/>
    </row>
    <row r="431" spans="8:16" x14ac:dyDescent="0.25">
      <c r="H431" s="3"/>
      <c r="K431" s="3"/>
      <c r="M431" s="3"/>
      <c r="P431" s="3"/>
    </row>
    <row r="432" spans="8:16" x14ac:dyDescent="0.25">
      <c r="H432" s="3"/>
      <c r="K432" s="3"/>
      <c r="M432" s="3"/>
      <c r="P432" s="3"/>
    </row>
    <row r="433" spans="8:16" x14ac:dyDescent="0.25">
      <c r="H433" s="3"/>
      <c r="K433" s="3"/>
      <c r="M433" s="3"/>
      <c r="P433" s="3"/>
    </row>
    <row r="434" spans="8:16" x14ac:dyDescent="0.25">
      <c r="H434" s="3"/>
      <c r="K434" s="3"/>
      <c r="M434" s="3"/>
      <c r="P434" s="3"/>
    </row>
    <row r="435" spans="8:16" x14ac:dyDescent="0.25">
      <c r="H435" s="3"/>
      <c r="K435" s="3"/>
      <c r="M435" s="3"/>
      <c r="P435" s="3"/>
    </row>
    <row r="436" spans="8:16" x14ac:dyDescent="0.25">
      <c r="H436" s="3"/>
      <c r="K436" s="3"/>
      <c r="M436" s="3"/>
      <c r="P436" s="3"/>
    </row>
    <row r="437" spans="8:16" x14ac:dyDescent="0.25">
      <c r="H437" s="3"/>
      <c r="K437" s="3"/>
      <c r="M437" s="3"/>
      <c r="P437" s="3"/>
    </row>
    <row r="438" spans="8:16" x14ac:dyDescent="0.25">
      <c r="H438" s="3"/>
      <c r="K438" s="3"/>
      <c r="M438" s="3"/>
      <c r="P438" s="3"/>
    </row>
    <row r="439" spans="8:16" x14ac:dyDescent="0.25">
      <c r="H439" s="3"/>
      <c r="K439" s="3"/>
      <c r="M439" s="3"/>
      <c r="P439" s="3"/>
    </row>
    <row r="440" spans="8:16" x14ac:dyDescent="0.25">
      <c r="H440" s="3"/>
      <c r="K440" s="3"/>
      <c r="M440" s="3"/>
      <c r="P440" s="3"/>
    </row>
    <row r="441" spans="8:16" x14ac:dyDescent="0.25">
      <c r="H441" s="3"/>
      <c r="K441" s="3"/>
      <c r="M441" s="3"/>
      <c r="P441" s="3"/>
    </row>
    <row r="442" spans="8:16" x14ac:dyDescent="0.25">
      <c r="H442" s="3"/>
      <c r="K442" s="3"/>
      <c r="M442" s="3"/>
      <c r="P442" s="3"/>
    </row>
    <row r="443" spans="8:16" x14ac:dyDescent="0.25">
      <c r="H443" s="3"/>
      <c r="K443" s="3"/>
      <c r="M443" s="3"/>
      <c r="P443" s="3"/>
    </row>
    <row r="444" spans="8:16" x14ac:dyDescent="0.25">
      <c r="H444" s="3"/>
      <c r="K444" s="3"/>
      <c r="M444" s="3"/>
      <c r="P444" s="3"/>
    </row>
    <row r="445" spans="8:16" x14ac:dyDescent="0.25">
      <c r="H445" s="3"/>
      <c r="K445" s="3"/>
      <c r="M445" s="3"/>
      <c r="P445" s="3"/>
    </row>
    <row r="446" spans="8:16" x14ac:dyDescent="0.25">
      <c r="H446" s="3"/>
      <c r="K446" s="3"/>
      <c r="M446" s="3"/>
      <c r="P446" s="3"/>
    </row>
    <row r="447" spans="8:16" x14ac:dyDescent="0.25">
      <c r="H447" s="3"/>
      <c r="K447" s="3"/>
      <c r="M447" s="3"/>
      <c r="P447" s="3"/>
    </row>
    <row r="448" spans="8:16" x14ac:dyDescent="0.25">
      <c r="H448" s="3"/>
      <c r="K448" s="3"/>
      <c r="M448" s="3"/>
      <c r="P448" s="3"/>
    </row>
    <row r="449" spans="8:16" x14ac:dyDescent="0.25">
      <c r="H449" s="3"/>
      <c r="K449" s="3"/>
      <c r="M449" s="3"/>
      <c r="P449" s="3"/>
    </row>
    <row r="450" spans="8:16" x14ac:dyDescent="0.25">
      <c r="H450" s="3"/>
      <c r="K450" s="3"/>
      <c r="M450" s="3"/>
      <c r="P450" s="3"/>
    </row>
    <row r="451" spans="8:16" x14ac:dyDescent="0.25">
      <c r="H451" s="3"/>
      <c r="K451" s="3"/>
      <c r="M451" s="3"/>
      <c r="P451" s="3"/>
    </row>
    <row r="452" spans="8:16" x14ac:dyDescent="0.25">
      <c r="H452" s="3"/>
      <c r="K452" s="3"/>
      <c r="M452" s="3"/>
      <c r="P452" s="3"/>
    </row>
    <row r="453" spans="8:16" x14ac:dyDescent="0.25">
      <c r="H453" s="3"/>
      <c r="K453" s="3"/>
      <c r="M453" s="3"/>
      <c r="P453" s="3"/>
    </row>
    <row r="454" spans="8:16" x14ac:dyDescent="0.25">
      <c r="H454" s="3"/>
      <c r="K454" s="3"/>
      <c r="M454" s="3"/>
      <c r="P454" s="3"/>
    </row>
    <row r="455" spans="8:16" x14ac:dyDescent="0.25">
      <c r="H455" s="3"/>
      <c r="K455" s="3"/>
      <c r="M455" s="3"/>
      <c r="P455" s="3"/>
    </row>
    <row r="456" spans="8:16" x14ac:dyDescent="0.25">
      <c r="H456" s="3"/>
      <c r="K456" s="3"/>
      <c r="M456" s="3"/>
      <c r="P456" s="3"/>
    </row>
    <row r="457" spans="8:16" x14ac:dyDescent="0.25">
      <c r="H457" s="3"/>
      <c r="K457" s="3"/>
      <c r="M457" s="3"/>
      <c r="P457" s="3"/>
    </row>
    <row r="458" spans="8:16" x14ac:dyDescent="0.25">
      <c r="H458" s="3"/>
      <c r="K458" s="3"/>
      <c r="M458" s="3"/>
      <c r="P458" s="3"/>
    </row>
    <row r="459" spans="8:16" x14ac:dyDescent="0.25">
      <c r="H459" s="3"/>
      <c r="K459" s="3"/>
      <c r="M459" s="3"/>
      <c r="P459" s="3"/>
    </row>
    <row r="460" spans="8:16" x14ac:dyDescent="0.25">
      <c r="H460" s="3"/>
      <c r="K460" s="3"/>
      <c r="M460" s="3"/>
      <c r="P460" s="3"/>
    </row>
    <row r="461" spans="8:16" x14ac:dyDescent="0.25">
      <c r="H461" s="3"/>
      <c r="K461" s="3"/>
      <c r="M461" s="3"/>
      <c r="P461" s="3"/>
    </row>
    <row r="462" spans="8:16" x14ac:dyDescent="0.25">
      <c r="H462" s="3"/>
      <c r="K462" s="3"/>
      <c r="M462" s="3"/>
      <c r="P462" s="3"/>
    </row>
    <row r="463" spans="8:16" x14ac:dyDescent="0.25">
      <c r="H463" s="3"/>
      <c r="K463" s="3"/>
      <c r="M463" s="3"/>
      <c r="P463" s="3"/>
    </row>
    <row r="464" spans="8:16" x14ac:dyDescent="0.25">
      <c r="H464" s="3"/>
      <c r="K464" s="3"/>
      <c r="M464" s="3"/>
      <c r="P464" s="3"/>
    </row>
    <row r="465" spans="8:16" x14ac:dyDescent="0.25">
      <c r="H465" s="3"/>
      <c r="K465" s="3"/>
      <c r="M465" s="3"/>
      <c r="P465" s="3"/>
    </row>
    <row r="466" spans="8:16" x14ac:dyDescent="0.25">
      <c r="H466" s="3"/>
      <c r="K466" s="3"/>
      <c r="M466" s="3"/>
      <c r="P466" s="3"/>
    </row>
    <row r="467" spans="8:16" x14ac:dyDescent="0.25">
      <c r="H467" s="3"/>
      <c r="K467" s="3"/>
      <c r="M467" s="3"/>
      <c r="P467" s="3"/>
    </row>
    <row r="468" spans="8:16" x14ac:dyDescent="0.25">
      <c r="H468" s="3"/>
      <c r="K468" s="3"/>
      <c r="M468" s="3"/>
      <c r="P468" s="3"/>
    </row>
    <row r="469" spans="8:16" x14ac:dyDescent="0.25">
      <c r="H469" s="3"/>
      <c r="K469" s="3"/>
      <c r="M469" s="3"/>
      <c r="P469" s="3"/>
    </row>
    <row r="470" spans="8:16" x14ac:dyDescent="0.25">
      <c r="H470" s="3"/>
      <c r="K470" s="3"/>
      <c r="M470" s="3"/>
      <c r="P470" s="3"/>
    </row>
    <row r="471" spans="8:16" x14ac:dyDescent="0.25">
      <c r="H471" s="3"/>
      <c r="K471" s="3"/>
      <c r="M471" s="3"/>
      <c r="P471" s="3"/>
    </row>
    <row r="472" spans="8:16" x14ac:dyDescent="0.25">
      <c r="H472" s="3"/>
      <c r="K472" s="3"/>
      <c r="M472" s="3"/>
      <c r="P472" s="3"/>
    </row>
    <row r="473" spans="8:16" x14ac:dyDescent="0.25">
      <c r="H473" s="3"/>
      <c r="K473" s="3"/>
      <c r="M473" s="3"/>
      <c r="P473" s="3"/>
    </row>
    <row r="474" spans="8:16" x14ac:dyDescent="0.25">
      <c r="H474" s="3"/>
      <c r="K474" s="3"/>
      <c r="M474" s="3"/>
      <c r="P474" s="3"/>
    </row>
    <row r="475" spans="8:16" x14ac:dyDescent="0.25">
      <c r="H475" s="3"/>
      <c r="K475" s="3"/>
      <c r="M475" s="3"/>
      <c r="P475" s="3"/>
    </row>
    <row r="476" spans="8:16" x14ac:dyDescent="0.25">
      <c r="H476" s="3"/>
      <c r="K476" s="3"/>
      <c r="M476" s="3"/>
      <c r="P476" s="3"/>
    </row>
    <row r="477" spans="8:16" x14ac:dyDescent="0.25">
      <c r="H477" s="3"/>
      <c r="K477" s="3"/>
      <c r="M477" s="3"/>
      <c r="P477" s="3"/>
    </row>
    <row r="478" spans="8:16" x14ac:dyDescent="0.25">
      <c r="H478" s="3"/>
      <c r="K478" s="3"/>
      <c r="M478" s="3"/>
      <c r="P478" s="3"/>
    </row>
    <row r="479" spans="8:16" x14ac:dyDescent="0.25">
      <c r="H479" s="3"/>
      <c r="K479" s="3"/>
      <c r="M479" s="3"/>
      <c r="P479" s="3"/>
    </row>
    <row r="480" spans="8:16" x14ac:dyDescent="0.25">
      <c r="H480" s="3"/>
      <c r="K480" s="3"/>
      <c r="M480" s="3"/>
      <c r="P480" s="3"/>
    </row>
    <row r="481" spans="8:16" x14ac:dyDescent="0.25">
      <c r="H481" s="3"/>
      <c r="K481" s="3"/>
      <c r="M481" s="3"/>
      <c r="P481" s="3"/>
    </row>
    <row r="482" spans="8:16" x14ac:dyDescent="0.25">
      <c r="H482" s="3"/>
      <c r="K482" s="3"/>
      <c r="M482" s="3"/>
      <c r="P482" s="3"/>
    </row>
    <row r="483" spans="8:16" x14ac:dyDescent="0.25">
      <c r="H483" s="3"/>
      <c r="K483" s="3"/>
      <c r="M483" s="3"/>
      <c r="P483" s="3"/>
    </row>
    <row r="484" spans="8:16" x14ac:dyDescent="0.25">
      <c r="H484" s="3"/>
      <c r="K484" s="3"/>
      <c r="M484" s="3"/>
      <c r="P484" s="3"/>
    </row>
    <row r="485" spans="8:16" x14ac:dyDescent="0.25">
      <c r="H485" s="3"/>
      <c r="K485" s="3"/>
      <c r="M485" s="3"/>
      <c r="P485" s="3"/>
    </row>
    <row r="486" spans="8:16" x14ac:dyDescent="0.25">
      <c r="H486" s="3"/>
      <c r="K486" s="3"/>
      <c r="M486" s="3"/>
      <c r="P486" s="3"/>
    </row>
    <row r="487" spans="8:16" x14ac:dyDescent="0.25">
      <c r="H487" s="3"/>
      <c r="K487" s="3"/>
      <c r="M487" s="3"/>
      <c r="P487" s="3"/>
    </row>
    <row r="488" spans="8:16" x14ac:dyDescent="0.25">
      <c r="H488" s="3"/>
      <c r="K488" s="3"/>
      <c r="M488" s="3"/>
      <c r="P488" s="3"/>
    </row>
    <row r="489" spans="8:16" x14ac:dyDescent="0.25">
      <c r="H489" s="3"/>
      <c r="K489" s="3"/>
      <c r="M489" s="3"/>
      <c r="P489" s="3"/>
    </row>
    <row r="490" spans="8:16" x14ac:dyDescent="0.25">
      <c r="H490" s="3"/>
      <c r="K490" s="3"/>
      <c r="M490" s="3"/>
      <c r="P490" s="3"/>
    </row>
    <row r="491" spans="8:16" x14ac:dyDescent="0.25">
      <c r="H491" s="3"/>
      <c r="K491" s="3"/>
      <c r="M491" s="3"/>
      <c r="P491" s="3"/>
    </row>
    <row r="492" spans="8:16" x14ac:dyDescent="0.25">
      <c r="H492" s="3"/>
      <c r="K492" s="3"/>
      <c r="M492" s="3"/>
      <c r="P492" s="3"/>
    </row>
    <row r="493" spans="8:16" x14ac:dyDescent="0.25">
      <c r="H493" s="3"/>
      <c r="K493" s="3"/>
      <c r="M493" s="3"/>
      <c r="P493" s="3"/>
    </row>
    <row r="494" spans="8:16" x14ac:dyDescent="0.25">
      <c r="H494" s="3"/>
      <c r="K494" s="3"/>
      <c r="M494" s="3"/>
      <c r="P494" s="3"/>
    </row>
    <row r="495" spans="8:16" x14ac:dyDescent="0.25">
      <c r="H495" s="3"/>
      <c r="K495" s="3"/>
      <c r="M495" s="3"/>
      <c r="P495" s="3"/>
    </row>
    <row r="496" spans="8:16" x14ac:dyDescent="0.25">
      <c r="H496" s="3"/>
      <c r="K496" s="3"/>
      <c r="M496" s="3"/>
      <c r="P496" s="3"/>
    </row>
    <row r="497" spans="8:16" x14ac:dyDescent="0.25">
      <c r="H497" s="3"/>
      <c r="K497" s="3"/>
      <c r="M497" s="3"/>
      <c r="P497" s="3"/>
    </row>
    <row r="498" spans="8:16" x14ac:dyDescent="0.25">
      <c r="H498" s="3"/>
      <c r="K498" s="3"/>
      <c r="M498" s="3"/>
      <c r="P498" s="3"/>
    </row>
    <row r="499" spans="8:16" x14ac:dyDescent="0.25">
      <c r="H499" s="3"/>
      <c r="K499" s="3"/>
      <c r="M499" s="3"/>
      <c r="P499" s="3"/>
    </row>
    <row r="500" spans="8:16" x14ac:dyDescent="0.25">
      <c r="H500" s="3"/>
      <c r="K500" s="3"/>
      <c r="M500" s="3"/>
      <c r="P500" s="3"/>
    </row>
    <row r="501" spans="8:16" x14ac:dyDescent="0.25">
      <c r="H501" s="3"/>
      <c r="K501" s="3"/>
      <c r="M501" s="3"/>
      <c r="P501" s="3"/>
    </row>
    <row r="502" spans="8:16" x14ac:dyDescent="0.25">
      <c r="H502" s="3"/>
      <c r="K502" s="3"/>
      <c r="M502" s="3"/>
      <c r="P502" s="3"/>
    </row>
    <row r="503" spans="8:16" x14ac:dyDescent="0.25">
      <c r="H503" s="3"/>
      <c r="K503" s="3"/>
      <c r="M503" s="3"/>
      <c r="P503" s="3"/>
    </row>
    <row r="504" spans="8:16" x14ac:dyDescent="0.25">
      <c r="H504" s="3"/>
      <c r="K504" s="3"/>
      <c r="M504" s="3"/>
      <c r="P504" s="3"/>
    </row>
    <row r="505" spans="8:16" x14ac:dyDescent="0.25">
      <c r="H505" s="3"/>
      <c r="K505" s="3"/>
      <c r="M505" s="3"/>
      <c r="P505" s="3"/>
    </row>
    <row r="506" spans="8:16" x14ac:dyDescent="0.25">
      <c r="H506" s="3"/>
      <c r="K506" s="3"/>
      <c r="M506" s="3"/>
      <c r="P506" s="3"/>
    </row>
    <row r="507" spans="8:16" x14ac:dyDescent="0.25">
      <c r="H507" s="3"/>
      <c r="K507" s="3"/>
      <c r="M507" s="3"/>
      <c r="P507" s="3"/>
    </row>
    <row r="508" spans="8:16" x14ac:dyDescent="0.25">
      <c r="H508" s="3"/>
      <c r="K508" s="3"/>
      <c r="M508" s="3"/>
      <c r="P508" s="3"/>
    </row>
    <row r="509" spans="8:16" x14ac:dyDescent="0.25">
      <c r="H509" s="3"/>
      <c r="K509" s="3"/>
      <c r="M509" s="3"/>
      <c r="P509" s="3"/>
    </row>
    <row r="510" spans="8:16" x14ac:dyDescent="0.25">
      <c r="H510" s="3"/>
      <c r="K510" s="3"/>
      <c r="M510" s="3"/>
      <c r="P510" s="3"/>
    </row>
    <row r="511" spans="8:16" x14ac:dyDescent="0.25">
      <c r="H511" s="3"/>
      <c r="K511" s="3"/>
      <c r="M511" s="3"/>
      <c r="P511" s="3"/>
    </row>
    <row r="512" spans="8:16" x14ac:dyDescent="0.25">
      <c r="H512" s="3"/>
      <c r="K512" s="3"/>
      <c r="M512" s="3"/>
      <c r="P512" s="3"/>
    </row>
    <row r="513" spans="8:16" x14ac:dyDescent="0.25">
      <c r="H513" s="3"/>
      <c r="K513" s="3"/>
      <c r="M513" s="3"/>
      <c r="P513" s="3"/>
    </row>
    <row r="514" spans="8:16" x14ac:dyDescent="0.25">
      <c r="H514" s="3"/>
      <c r="K514" s="3"/>
      <c r="M514" s="3"/>
      <c r="P514" s="3"/>
    </row>
    <row r="515" spans="8:16" x14ac:dyDescent="0.25">
      <c r="H515" s="3"/>
      <c r="K515" s="3"/>
      <c r="M515" s="3"/>
      <c r="P515" s="3"/>
    </row>
    <row r="516" spans="8:16" x14ac:dyDescent="0.25">
      <c r="H516" s="3"/>
      <c r="K516" s="3"/>
      <c r="M516" s="3"/>
      <c r="P516" s="3"/>
    </row>
    <row r="517" spans="8:16" x14ac:dyDescent="0.25">
      <c r="H517" s="3"/>
      <c r="K517" s="3"/>
      <c r="M517" s="3"/>
      <c r="P517" s="3"/>
    </row>
    <row r="518" spans="8:16" x14ac:dyDescent="0.25">
      <c r="H518" s="3"/>
      <c r="K518" s="3"/>
      <c r="M518" s="3"/>
      <c r="P518" s="3"/>
    </row>
    <row r="519" spans="8:16" x14ac:dyDescent="0.25">
      <c r="H519" s="3"/>
      <c r="K519" s="3"/>
      <c r="M519" s="3"/>
      <c r="P519" s="3"/>
    </row>
    <row r="520" spans="8:16" x14ac:dyDescent="0.25">
      <c r="H520" s="3"/>
      <c r="K520" s="3"/>
      <c r="M520" s="3"/>
      <c r="P520" s="3"/>
    </row>
    <row r="521" spans="8:16" x14ac:dyDescent="0.25">
      <c r="H521" s="3"/>
      <c r="K521" s="3"/>
      <c r="M521" s="3"/>
      <c r="P521" s="3"/>
    </row>
    <row r="522" spans="8:16" x14ac:dyDescent="0.25">
      <c r="H522" s="3"/>
      <c r="K522" s="3"/>
      <c r="M522" s="3"/>
      <c r="P522" s="3"/>
    </row>
    <row r="523" spans="8:16" x14ac:dyDescent="0.25">
      <c r="H523" s="3"/>
      <c r="K523" s="3"/>
      <c r="M523" s="3"/>
      <c r="P523" s="3"/>
    </row>
    <row r="524" spans="8:16" x14ac:dyDescent="0.25">
      <c r="H524" s="3"/>
      <c r="K524" s="3"/>
      <c r="M524" s="3"/>
      <c r="P524" s="3"/>
    </row>
    <row r="525" spans="8:16" x14ac:dyDescent="0.25">
      <c r="H525" s="3"/>
      <c r="K525" s="3"/>
      <c r="M525" s="3"/>
      <c r="P525" s="3"/>
    </row>
    <row r="526" spans="8:16" x14ac:dyDescent="0.25">
      <c r="H526" s="3"/>
      <c r="K526" s="3"/>
      <c r="M526" s="3"/>
      <c r="P526" s="3"/>
    </row>
    <row r="527" spans="8:16" x14ac:dyDescent="0.25">
      <c r="H527" s="3"/>
      <c r="K527" s="3"/>
      <c r="M527" s="3"/>
      <c r="P527" s="3"/>
    </row>
    <row r="528" spans="8:16" x14ac:dyDescent="0.25">
      <c r="H528" s="3"/>
      <c r="K528" s="3"/>
      <c r="M528" s="3"/>
      <c r="P528" s="3"/>
    </row>
    <row r="529" spans="8:16" x14ac:dyDescent="0.25">
      <c r="H529" s="3"/>
      <c r="K529" s="3"/>
      <c r="M529" s="3"/>
      <c r="P529" s="3"/>
    </row>
    <row r="530" spans="8:16" x14ac:dyDescent="0.25">
      <c r="H530" s="3"/>
      <c r="K530" s="3"/>
      <c r="M530" s="3"/>
      <c r="P530" s="3"/>
    </row>
    <row r="531" spans="8:16" x14ac:dyDescent="0.25">
      <c r="H531" s="3"/>
      <c r="K531" s="3"/>
      <c r="M531" s="3"/>
      <c r="P531" s="3"/>
    </row>
    <row r="532" spans="8:16" x14ac:dyDescent="0.25">
      <c r="H532" s="3"/>
      <c r="K532" s="3"/>
      <c r="M532" s="3"/>
      <c r="P532" s="3"/>
    </row>
    <row r="533" spans="8:16" x14ac:dyDescent="0.25">
      <c r="H533" s="3"/>
      <c r="K533" s="3"/>
      <c r="M533" s="3"/>
      <c r="P533" s="3"/>
    </row>
    <row r="534" spans="8:16" x14ac:dyDescent="0.25">
      <c r="H534" s="3"/>
      <c r="K534" s="3"/>
      <c r="M534" s="3"/>
      <c r="P534" s="3"/>
    </row>
    <row r="535" spans="8:16" x14ac:dyDescent="0.25">
      <c r="H535" s="3"/>
      <c r="K535" s="3"/>
      <c r="M535" s="3"/>
      <c r="P535" s="3"/>
    </row>
    <row r="536" spans="8:16" x14ac:dyDescent="0.25">
      <c r="H536" s="3"/>
      <c r="K536" s="3"/>
      <c r="M536" s="3"/>
      <c r="P536" s="3"/>
    </row>
    <row r="537" spans="8:16" x14ac:dyDescent="0.25">
      <c r="H537" s="3"/>
      <c r="K537" s="3"/>
      <c r="M537" s="3"/>
      <c r="P537" s="3"/>
    </row>
    <row r="538" spans="8:16" x14ac:dyDescent="0.25">
      <c r="H538" s="3"/>
      <c r="K538" s="3"/>
      <c r="M538" s="3"/>
      <c r="P538" s="3"/>
    </row>
    <row r="539" spans="8:16" x14ac:dyDescent="0.25">
      <c r="H539" s="3"/>
      <c r="K539" s="3"/>
      <c r="M539" s="3"/>
      <c r="P539" s="3"/>
    </row>
    <row r="540" spans="8:16" x14ac:dyDescent="0.25">
      <c r="H540" s="3"/>
      <c r="K540" s="3"/>
      <c r="M540" s="3"/>
      <c r="P540" s="3"/>
    </row>
    <row r="541" spans="8:16" x14ac:dyDescent="0.25">
      <c r="H541" s="3"/>
      <c r="K541" s="3"/>
      <c r="M541" s="3"/>
      <c r="P541" s="3"/>
    </row>
    <row r="542" spans="8:16" x14ac:dyDescent="0.25">
      <c r="H542" s="3"/>
      <c r="K542" s="3"/>
      <c r="M542" s="3"/>
      <c r="P542" s="3"/>
    </row>
    <row r="543" spans="8:16" x14ac:dyDescent="0.25">
      <c r="H543" s="3"/>
      <c r="K543" s="3"/>
      <c r="M543" s="3"/>
      <c r="P543" s="3"/>
    </row>
    <row r="544" spans="8:16" x14ac:dyDescent="0.25">
      <c r="H544" s="3"/>
      <c r="K544" s="3"/>
      <c r="M544" s="3"/>
      <c r="P544" s="3"/>
    </row>
    <row r="545" spans="8:16" x14ac:dyDescent="0.25">
      <c r="H545" s="3"/>
      <c r="K545" s="3"/>
      <c r="M545" s="3"/>
      <c r="P545" s="3"/>
    </row>
    <row r="546" spans="8:16" x14ac:dyDescent="0.25">
      <c r="H546" s="3"/>
      <c r="K546" s="3"/>
      <c r="M546" s="3"/>
      <c r="P546" s="3"/>
    </row>
    <row r="547" spans="8:16" x14ac:dyDescent="0.25">
      <c r="H547" s="3"/>
      <c r="K547" s="3"/>
      <c r="M547" s="3"/>
      <c r="P547" s="3"/>
    </row>
    <row r="548" spans="8:16" x14ac:dyDescent="0.25">
      <c r="H548" s="3"/>
      <c r="K548" s="3"/>
      <c r="M548" s="3"/>
      <c r="P548" s="3"/>
    </row>
    <row r="549" spans="8:16" x14ac:dyDescent="0.25">
      <c r="H549" s="3"/>
      <c r="K549" s="3"/>
      <c r="M549" s="3"/>
      <c r="P549" s="3"/>
    </row>
    <row r="550" spans="8:16" x14ac:dyDescent="0.25">
      <c r="H550" s="3"/>
      <c r="K550" s="3"/>
      <c r="M550" s="3"/>
      <c r="P550" s="3"/>
    </row>
    <row r="551" spans="8:16" x14ac:dyDescent="0.25">
      <c r="H551" s="3"/>
      <c r="K551" s="3"/>
      <c r="M551" s="3"/>
      <c r="P551" s="3"/>
    </row>
    <row r="552" spans="8:16" x14ac:dyDescent="0.25">
      <c r="H552" s="3"/>
      <c r="K552" s="3"/>
      <c r="M552" s="3"/>
      <c r="P552" s="3"/>
    </row>
    <row r="553" spans="8:16" x14ac:dyDescent="0.25">
      <c r="H553" s="3"/>
      <c r="K553" s="3"/>
      <c r="M553" s="3"/>
      <c r="P553" s="3"/>
    </row>
    <row r="554" spans="8:16" x14ac:dyDescent="0.25">
      <c r="H554" s="3"/>
      <c r="K554" s="3"/>
      <c r="M554" s="3"/>
      <c r="P554" s="3"/>
    </row>
    <row r="555" spans="8:16" x14ac:dyDescent="0.25">
      <c r="H555" s="3"/>
      <c r="K555" s="3"/>
      <c r="M555" s="3"/>
      <c r="P555" s="3"/>
    </row>
    <row r="556" spans="8:16" x14ac:dyDescent="0.25">
      <c r="H556" s="3"/>
      <c r="K556" s="3"/>
      <c r="M556" s="3"/>
      <c r="P556" s="3"/>
    </row>
    <row r="557" spans="8:16" x14ac:dyDescent="0.25">
      <c r="H557" s="3"/>
      <c r="K557" s="3"/>
      <c r="M557" s="3"/>
      <c r="P557" s="3"/>
    </row>
    <row r="558" spans="8:16" x14ac:dyDescent="0.25">
      <c r="H558" s="3"/>
      <c r="K558" s="3"/>
      <c r="M558" s="3"/>
      <c r="P558" s="3"/>
    </row>
    <row r="559" spans="8:16" x14ac:dyDescent="0.25">
      <c r="H559" s="3"/>
      <c r="K559" s="3"/>
      <c r="M559" s="3"/>
      <c r="P559" s="3"/>
    </row>
    <row r="560" spans="8:16" x14ac:dyDescent="0.25">
      <c r="H560" s="3"/>
      <c r="K560" s="3"/>
      <c r="M560" s="3"/>
      <c r="P560" s="3"/>
    </row>
    <row r="561" spans="8:16" x14ac:dyDescent="0.25">
      <c r="H561" s="3"/>
      <c r="K561" s="3"/>
      <c r="M561" s="3"/>
      <c r="P561" s="3"/>
    </row>
    <row r="562" spans="8:16" x14ac:dyDescent="0.25">
      <c r="H562" s="3"/>
      <c r="K562" s="3"/>
      <c r="M562" s="3"/>
      <c r="P562" s="3"/>
    </row>
    <row r="563" spans="8:16" x14ac:dyDescent="0.25">
      <c r="H563" s="3"/>
      <c r="K563" s="3"/>
      <c r="M563" s="3"/>
      <c r="P563" s="3"/>
    </row>
    <row r="564" spans="8:16" x14ac:dyDescent="0.25">
      <c r="H564" s="3"/>
      <c r="K564" s="3"/>
      <c r="M564" s="3"/>
      <c r="P564" s="3"/>
    </row>
    <row r="565" spans="8:16" x14ac:dyDescent="0.25">
      <c r="H565" s="3"/>
      <c r="K565" s="3"/>
      <c r="M565" s="3"/>
      <c r="P565" s="3"/>
    </row>
    <row r="566" spans="8:16" x14ac:dyDescent="0.25">
      <c r="H566" s="3"/>
      <c r="K566" s="3"/>
      <c r="M566" s="3"/>
      <c r="P566" s="3"/>
    </row>
    <row r="567" spans="8:16" x14ac:dyDescent="0.25">
      <c r="H567" s="3"/>
      <c r="K567" s="3"/>
      <c r="M567" s="3"/>
      <c r="P567" s="3"/>
    </row>
    <row r="568" spans="8:16" x14ac:dyDescent="0.25">
      <c r="H568" s="3"/>
      <c r="K568" s="3"/>
      <c r="M568" s="3"/>
      <c r="P568" s="3"/>
    </row>
    <row r="569" spans="8:16" x14ac:dyDescent="0.25">
      <c r="H569" s="3"/>
      <c r="K569" s="3"/>
      <c r="M569" s="3"/>
      <c r="P569" s="3"/>
    </row>
    <row r="570" spans="8:16" x14ac:dyDescent="0.25">
      <c r="H570" s="3"/>
      <c r="K570" s="3"/>
      <c r="M570" s="3"/>
      <c r="P570" s="3"/>
    </row>
    <row r="571" spans="8:16" x14ac:dyDescent="0.25">
      <c r="H571" s="3"/>
      <c r="K571" s="3"/>
      <c r="M571" s="3"/>
      <c r="P571" s="3"/>
    </row>
    <row r="572" spans="8:16" x14ac:dyDescent="0.25">
      <c r="H572" s="3"/>
      <c r="K572" s="3"/>
      <c r="M572" s="3"/>
      <c r="P572" s="3"/>
    </row>
    <row r="573" spans="8:16" x14ac:dyDescent="0.25">
      <c r="H573" s="3"/>
      <c r="K573" s="3"/>
      <c r="M573" s="3"/>
      <c r="P573" s="3"/>
    </row>
    <row r="574" spans="8:16" x14ac:dyDescent="0.25">
      <c r="H574" s="3"/>
      <c r="K574" s="3"/>
      <c r="M574" s="3"/>
      <c r="P574" s="3"/>
    </row>
    <row r="575" spans="8:16" x14ac:dyDescent="0.25">
      <c r="H575" s="3"/>
      <c r="K575" s="3"/>
      <c r="M575" s="3"/>
      <c r="P575" s="3"/>
    </row>
    <row r="576" spans="8:16" x14ac:dyDescent="0.25">
      <c r="H576" s="3"/>
      <c r="K576" s="3"/>
      <c r="M576" s="3"/>
      <c r="P576" s="3"/>
    </row>
    <row r="577" spans="8:16" x14ac:dyDescent="0.25">
      <c r="H577" s="3"/>
      <c r="K577" s="3"/>
      <c r="M577" s="3"/>
      <c r="P577" s="3"/>
    </row>
    <row r="578" spans="8:16" x14ac:dyDescent="0.25">
      <c r="H578" s="3"/>
      <c r="K578" s="3"/>
      <c r="M578" s="3"/>
      <c r="P578" s="3"/>
    </row>
    <row r="579" spans="8:16" x14ac:dyDescent="0.25">
      <c r="H579" s="3"/>
      <c r="K579" s="3"/>
      <c r="M579" s="3"/>
      <c r="P579" s="3"/>
    </row>
    <row r="580" spans="8:16" x14ac:dyDescent="0.25">
      <c r="H580" s="3"/>
      <c r="K580" s="3"/>
      <c r="M580" s="3"/>
      <c r="P580" s="3"/>
    </row>
    <row r="581" spans="8:16" x14ac:dyDescent="0.25">
      <c r="H581" s="3"/>
      <c r="K581" s="3"/>
      <c r="M581" s="3"/>
      <c r="P581" s="3"/>
    </row>
    <row r="582" spans="8:16" x14ac:dyDescent="0.25">
      <c r="H582" s="3"/>
      <c r="K582" s="3"/>
      <c r="M582" s="3"/>
      <c r="P582" s="3"/>
    </row>
    <row r="583" spans="8:16" x14ac:dyDescent="0.25">
      <c r="H583" s="3"/>
      <c r="K583" s="3"/>
      <c r="M583" s="3"/>
      <c r="P583" s="3"/>
    </row>
    <row r="584" spans="8:16" x14ac:dyDescent="0.25">
      <c r="H584" s="3"/>
      <c r="K584" s="3"/>
      <c r="M584" s="3"/>
      <c r="P584" s="3"/>
    </row>
    <row r="585" spans="8:16" x14ac:dyDescent="0.25">
      <c r="H585" s="3"/>
      <c r="K585" s="3"/>
      <c r="M585" s="3"/>
      <c r="P585" s="3"/>
    </row>
    <row r="586" spans="8:16" x14ac:dyDescent="0.25">
      <c r="H586" s="3"/>
      <c r="K586" s="3"/>
      <c r="M586" s="3"/>
      <c r="P586" s="3"/>
    </row>
    <row r="587" spans="8:16" x14ac:dyDescent="0.25">
      <c r="H587" s="3"/>
      <c r="K587" s="3"/>
      <c r="M587" s="3"/>
      <c r="P587" s="3"/>
    </row>
    <row r="588" spans="8:16" x14ac:dyDescent="0.25">
      <c r="H588" s="3"/>
      <c r="K588" s="3"/>
      <c r="M588" s="3"/>
      <c r="P588" s="3"/>
    </row>
    <row r="589" spans="8:16" x14ac:dyDescent="0.25">
      <c r="H589" s="3"/>
      <c r="K589" s="3"/>
      <c r="M589" s="3"/>
      <c r="P589" s="3"/>
    </row>
    <row r="590" spans="8:16" x14ac:dyDescent="0.25">
      <c r="H590" s="3"/>
      <c r="K590" s="3"/>
      <c r="M590" s="3"/>
      <c r="P590" s="3"/>
    </row>
    <row r="591" spans="8:16" x14ac:dyDescent="0.25">
      <c r="H591" s="3"/>
      <c r="K591" s="3"/>
      <c r="M591" s="3"/>
      <c r="P591" s="3"/>
    </row>
    <row r="592" spans="8:16" x14ac:dyDescent="0.25">
      <c r="H592" s="3"/>
      <c r="K592" s="3"/>
      <c r="M592" s="3"/>
      <c r="P592" s="3"/>
    </row>
    <row r="593" spans="8:16" x14ac:dyDescent="0.25">
      <c r="H593" s="3"/>
      <c r="K593" s="3"/>
      <c r="M593" s="3"/>
      <c r="P593" s="3"/>
    </row>
    <row r="594" spans="8:16" x14ac:dyDescent="0.25">
      <c r="H594" s="3"/>
      <c r="K594" s="3"/>
      <c r="M594" s="3"/>
      <c r="P594" s="3"/>
    </row>
    <row r="595" spans="8:16" x14ac:dyDescent="0.25">
      <c r="H595" s="3"/>
      <c r="K595" s="3"/>
      <c r="M595" s="3"/>
      <c r="P595" s="3"/>
    </row>
    <row r="596" spans="8:16" x14ac:dyDescent="0.25">
      <c r="H596" s="3"/>
      <c r="K596" s="3"/>
      <c r="M596" s="3"/>
      <c r="P596" s="3"/>
    </row>
    <row r="597" spans="8:16" x14ac:dyDescent="0.25">
      <c r="H597" s="3"/>
      <c r="K597" s="3"/>
      <c r="M597" s="3"/>
      <c r="P597" s="3"/>
    </row>
    <row r="598" spans="8:16" x14ac:dyDescent="0.25">
      <c r="H598" s="3"/>
      <c r="K598" s="3"/>
      <c r="M598" s="3"/>
      <c r="P598" s="3"/>
    </row>
    <row r="599" spans="8:16" x14ac:dyDescent="0.25">
      <c r="H599" s="3"/>
      <c r="K599" s="3"/>
      <c r="M599" s="3"/>
      <c r="P599" s="3"/>
    </row>
    <row r="600" spans="8:16" x14ac:dyDescent="0.25">
      <c r="H600" s="3"/>
      <c r="K600" s="3"/>
      <c r="M600" s="3"/>
      <c r="P600" s="3"/>
    </row>
    <row r="601" spans="8:16" x14ac:dyDescent="0.25">
      <c r="H601" s="3"/>
      <c r="K601" s="3"/>
      <c r="M601" s="3"/>
      <c r="P601" s="3"/>
    </row>
    <row r="602" spans="8:16" x14ac:dyDescent="0.25">
      <c r="H602" s="3"/>
      <c r="K602" s="3"/>
      <c r="M602" s="3"/>
      <c r="P602" s="3"/>
    </row>
    <row r="603" spans="8:16" x14ac:dyDescent="0.25">
      <c r="H603" s="3"/>
      <c r="K603" s="3"/>
      <c r="M603" s="3"/>
      <c r="P603" s="3"/>
    </row>
    <row r="604" spans="8:16" x14ac:dyDescent="0.25">
      <c r="H604" s="3"/>
      <c r="K604" s="3"/>
      <c r="M604" s="3"/>
      <c r="P604" s="3"/>
    </row>
    <row r="605" spans="8:16" x14ac:dyDescent="0.25">
      <c r="H605" s="3"/>
      <c r="K605" s="3"/>
      <c r="M605" s="3"/>
      <c r="P605" s="3"/>
    </row>
    <row r="606" spans="8:16" x14ac:dyDescent="0.25">
      <c r="H606" s="3"/>
      <c r="K606" s="3"/>
      <c r="M606" s="3"/>
      <c r="P606" s="3"/>
    </row>
    <row r="607" spans="8:16" x14ac:dyDescent="0.25">
      <c r="H607" s="3"/>
      <c r="K607" s="3"/>
      <c r="M607" s="3"/>
      <c r="P607" s="3"/>
    </row>
    <row r="608" spans="8:16" x14ac:dyDescent="0.25">
      <c r="H608" s="3"/>
      <c r="K608" s="3"/>
      <c r="M608" s="3"/>
      <c r="P608" s="3"/>
    </row>
    <row r="609" spans="8:16" x14ac:dyDescent="0.25">
      <c r="H609" s="3"/>
      <c r="K609" s="3"/>
      <c r="M609" s="3"/>
      <c r="P609" s="3"/>
    </row>
    <row r="610" spans="8:16" x14ac:dyDescent="0.25">
      <c r="H610" s="3"/>
      <c r="K610" s="3"/>
      <c r="M610" s="3"/>
      <c r="P610" s="3"/>
    </row>
    <row r="611" spans="8:16" x14ac:dyDescent="0.25">
      <c r="H611" s="3"/>
      <c r="K611" s="3"/>
      <c r="M611" s="3"/>
      <c r="P611" s="3"/>
    </row>
    <row r="612" spans="8:16" x14ac:dyDescent="0.25">
      <c r="H612" s="3"/>
      <c r="K612" s="3"/>
      <c r="M612" s="3"/>
      <c r="P612" s="3"/>
    </row>
    <row r="613" spans="8:16" x14ac:dyDescent="0.25">
      <c r="H613" s="3"/>
      <c r="K613" s="3"/>
      <c r="M613" s="3"/>
      <c r="P613" s="3"/>
    </row>
    <row r="614" spans="8:16" x14ac:dyDescent="0.25">
      <c r="H614" s="3"/>
      <c r="K614" s="3"/>
      <c r="M614" s="3"/>
      <c r="P614" s="3"/>
    </row>
    <row r="615" spans="8:16" x14ac:dyDescent="0.25">
      <c r="H615" s="3"/>
      <c r="K615" s="3"/>
      <c r="M615" s="3"/>
      <c r="P615" s="3"/>
    </row>
    <row r="616" spans="8:16" x14ac:dyDescent="0.25">
      <c r="H616" s="3"/>
      <c r="K616" s="3"/>
      <c r="M616" s="3"/>
      <c r="P616" s="3"/>
    </row>
    <row r="617" spans="8:16" x14ac:dyDescent="0.25">
      <c r="H617" s="3"/>
      <c r="K617" s="3"/>
      <c r="M617" s="3"/>
      <c r="P617" s="3"/>
    </row>
    <row r="618" spans="8:16" x14ac:dyDescent="0.25">
      <c r="H618" s="3"/>
      <c r="K618" s="3"/>
      <c r="M618" s="3"/>
      <c r="P618" s="3"/>
    </row>
    <row r="619" spans="8:16" x14ac:dyDescent="0.25">
      <c r="H619" s="3"/>
      <c r="K619" s="3"/>
      <c r="M619" s="3"/>
      <c r="P619" s="3"/>
    </row>
    <row r="620" spans="8:16" x14ac:dyDescent="0.25">
      <c r="H620" s="3"/>
      <c r="K620" s="3"/>
      <c r="M620" s="3"/>
      <c r="P620" s="3"/>
    </row>
    <row r="621" spans="8:16" x14ac:dyDescent="0.25">
      <c r="H621" s="3"/>
      <c r="K621" s="3"/>
      <c r="M621" s="3"/>
      <c r="P621" s="3"/>
    </row>
    <row r="622" spans="8:16" x14ac:dyDescent="0.25">
      <c r="H622" s="3"/>
      <c r="K622" s="3"/>
      <c r="M622" s="3"/>
      <c r="P622" s="3"/>
    </row>
    <row r="623" spans="8:16" x14ac:dyDescent="0.25">
      <c r="H623" s="3"/>
      <c r="K623" s="3"/>
      <c r="M623" s="3"/>
      <c r="P623" s="3"/>
    </row>
    <row r="624" spans="8:16" x14ac:dyDescent="0.25">
      <c r="H624" s="3"/>
      <c r="K624" s="3"/>
      <c r="M624" s="3"/>
      <c r="P624" s="3"/>
    </row>
    <row r="625" spans="8:16" x14ac:dyDescent="0.25">
      <c r="H625" s="3"/>
      <c r="K625" s="3"/>
      <c r="M625" s="3"/>
      <c r="P625" s="3"/>
    </row>
    <row r="626" spans="8:16" x14ac:dyDescent="0.25">
      <c r="H626" s="3"/>
      <c r="K626" s="3"/>
      <c r="M626" s="3"/>
      <c r="P626" s="3"/>
    </row>
    <row r="627" spans="8:16" x14ac:dyDescent="0.25">
      <c r="H627" s="3"/>
      <c r="K627" s="3"/>
      <c r="M627" s="3"/>
      <c r="P627" s="3"/>
    </row>
    <row r="628" spans="8:16" x14ac:dyDescent="0.25">
      <c r="H628" s="3"/>
      <c r="K628" s="3"/>
      <c r="M628" s="3"/>
      <c r="P628" s="3"/>
    </row>
    <row r="629" spans="8:16" x14ac:dyDescent="0.25">
      <c r="H629" s="3"/>
      <c r="K629" s="3"/>
      <c r="M629" s="3"/>
      <c r="P629" s="3"/>
    </row>
    <row r="630" spans="8:16" x14ac:dyDescent="0.25">
      <c r="H630" s="3"/>
      <c r="K630" s="3"/>
      <c r="M630" s="3"/>
      <c r="P630" s="3"/>
    </row>
    <row r="631" spans="8:16" x14ac:dyDescent="0.25">
      <c r="H631" s="3"/>
      <c r="K631" s="3"/>
      <c r="M631" s="3"/>
      <c r="P631" s="3"/>
    </row>
    <row r="632" spans="8:16" x14ac:dyDescent="0.25">
      <c r="H632" s="3"/>
      <c r="K632" s="3"/>
      <c r="M632" s="3"/>
      <c r="P632" s="3"/>
    </row>
    <row r="633" spans="8:16" x14ac:dyDescent="0.25">
      <c r="H633" s="3"/>
      <c r="K633" s="3"/>
      <c r="M633" s="3"/>
      <c r="P633" s="3"/>
    </row>
    <row r="634" spans="8:16" x14ac:dyDescent="0.25">
      <c r="H634" s="3"/>
      <c r="K634" s="3"/>
      <c r="M634" s="3"/>
      <c r="P634" s="3"/>
    </row>
    <row r="635" spans="8:16" x14ac:dyDescent="0.25">
      <c r="H635" s="3"/>
      <c r="K635" s="3"/>
      <c r="M635" s="3"/>
      <c r="P635" s="3"/>
    </row>
    <row r="636" spans="8:16" x14ac:dyDescent="0.25">
      <c r="H636" s="3"/>
      <c r="K636" s="3"/>
      <c r="M636" s="3"/>
      <c r="P636" s="3"/>
    </row>
    <row r="637" spans="8:16" x14ac:dyDescent="0.25">
      <c r="H637" s="3"/>
      <c r="K637" s="3"/>
      <c r="M637" s="3"/>
      <c r="P637" s="3"/>
    </row>
    <row r="638" spans="8:16" x14ac:dyDescent="0.25">
      <c r="H638" s="3"/>
      <c r="K638" s="3"/>
      <c r="M638" s="3"/>
      <c r="P638" s="3"/>
    </row>
    <row r="639" spans="8:16" x14ac:dyDescent="0.25">
      <c r="H639" s="3"/>
      <c r="K639" s="3"/>
      <c r="M639" s="3"/>
      <c r="P639" s="3"/>
    </row>
    <row r="640" spans="8:16" x14ac:dyDescent="0.25">
      <c r="H640" s="3"/>
      <c r="K640" s="3"/>
      <c r="M640" s="3"/>
      <c r="P640" s="3"/>
    </row>
    <row r="641" spans="8:16" x14ac:dyDescent="0.25">
      <c r="H641" s="3"/>
      <c r="K641" s="3"/>
      <c r="M641" s="3"/>
      <c r="P641" s="3"/>
    </row>
    <row r="642" spans="8:16" x14ac:dyDescent="0.25">
      <c r="H642" s="3"/>
      <c r="K642" s="3"/>
      <c r="M642" s="3"/>
      <c r="P642" s="3"/>
    </row>
    <row r="643" spans="8:16" x14ac:dyDescent="0.25">
      <c r="H643" s="3"/>
      <c r="K643" s="3"/>
      <c r="M643" s="3"/>
      <c r="P643" s="3"/>
    </row>
    <row r="644" spans="8:16" x14ac:dyDescent="0.25">
      <c r="H644" s="3"/>
      <c r="K644" s="3"/>
      <c r="M644" s="3"/>
      <c r="P644" s="3"/>
    </row>
    <row r="645" spans="8:16" x14ac:dyDescent="0.25">
      <c r="H645" s="3"/>
      <c r="K645" s="3"/>
      <c r="M645" s="3"/>
      <c r="P645" s="3"/>
    </row>
    <row r="646" spans="8:16" x14ac:dyDescent="0.25">
      <c r="H646" s="3"/>
      <c r="K646" s="3"/>
      <c r="M646" s="3"/>
      <c r="P646" s="3"/>
    </row>
    <row r="647" spans="8:16" x14ac:dyDescent="0.25">
      <c r="H647" s="3"/>
      <c r="K647" s="3"/>
      <c r="M647" s="3"/>
      <c r="P647" s="3"/>
    </row>
    <row r="648" spans="8:16" x14ac:dyDescent="0.25">
      <c r="H648" s="3"/>
      <c r="K648" s="3"/>
      <c r="M648" s="3"/>
      <c r="P648" s="3"/>
    </row>
    <row r="649" spans="8:16" x14ac:dyDescent="0.25">
      <c r="H649" s="3"/>
      <c r="K649" s="3"/>
      <c r="M649" s="3"/>
      <c r="P649" s="3"/>
    </row>
    <row r="650" spans="8:16" x14ac:dyDescent="0.25">
      <c r="H650" s="3"/>
      <c r="K650" s="3"/>
      <c r="M650" s="3"/>
      <c r="P650" s="3"/>
    </row>
    <row r="651" spans="8:16" x14ac:dyDescent="0.25">
      <c r="H651" s="3"/>
      <c r="K651" s="3"/>
      <c r="M651" s="3"/>
      <c r="P651" s="3"/>
    </row>
    <row r="652" spans="8:16" x14ac:dyDescent="0.25">
      <c r="H652" s="3"/>
      <c r="K652" s="3"/>
      <c r="M652" s="3"/>
      <c r="P652" s="3"/>
    </row>
    <row r="653" spans="8:16" x14ac:dyDescent="0.25">
      <c r="H653" s="3"/>
      <c r="K653" s="3"/>
      <c r="M653" s="3"/>
      <c r="P653" s="3"/>
    </row>
    <row r="654" spans="8:16" x14ac:dyDescent="0.25">
      <c r="H654" s="3"/>
      <c r="K654" s="3"/>
      <c r="M654" s="3"/>
      <c r="P654" s="3"/>
    </row>
    <row r="655" spans="8:16" x14ac:dyDescent="0.25">
      <c r="H655" s="3"/>
      <c r="K655" s="3"/>
      <c r="M655" s="3"/>
      <c r="P655" s="3"/>
    </row>
    <row r="656" spans="8:16" x14ac:dyDescent="0.25">
      <c r="H656" s="3"/>
      <c r="K656" s="3"/>
      <c r="M656" s="3"/>
      <c r="P656" s="3"/>
    </row>
    <row r="657" spans="8:16" x14ac:dyDescent="0.25">
      <c r="H657" s="3"/>
      <c r="K657" s="3"/>
      <c r="M657" s="3"/>
      <c r="P657" s="3"/>
    </row>
    <row r="658" spans="8:16" x14ac:dyDescent="0.25">
      <c r="H658" s="3"/>
      <c r="K658" s="3"/>
      <c r="M658" s="3"/>
      <c r="P658" s="3"/>
    </row>
    <row r="659" spans="8:16" x14ac:dyDescent="0.25">
      <c r="H659" s="3"/>
      <c r="K659" s="3"/>
      <c r="M659" s="3"/>
      <c r="P659" s="3"/>
    </row>
    <row r="660" spans="8:16" x14ac:dyDescent="0.25">
      <c r="H660" s="3"/>
      <c r="K660" s="3"/>
      <c r="M660" s="3"/>
      <c r="P660" s="3"/>
    </row>
    <row r="661" spans="8:16" x14ac:dyDescent="0.25">
      <c r="H661" s="3"/>
      <c r="K661" s="3"/>
      <c r="M661" s="3"/>
      <c r="P661" s="3"/>
    </row>
    <row r="662" spans="8:16" x14ac:dyDescent="0.25">
      <c r="H662" s="3"/>
      <c r="K662" s="3"/>
      <c r="M662" s="3"/>
      <c r="P662" s="3"/>
    </row>
    <row r="663" spans="8:16" x14ac:dyDescent="0.25">
      <c r="H663" s="3"/>
      <c r="K663" s="3"/>
      <c r="M663" s="3"/>
      <c r="P663" s="3"/>
    </row>
    <row r="664" spans="8:16" x14ac:dyDescent="0.25">
      <c r="H664" s="3"/>
      <c r="K664" s="3"/>
      <c r="M664" s="3"/>
      <c r="P664" s="3"/>
    </row>
    <row r="665" spans="8:16" x14ac:dyDescent="0.25">
      <c r="H665" s="3"/>
      <c r="K665" s="3"/>
      <c r="M665" s="3"/>
      <c r="P665" s="3"/>
    </row>
    <row r="666" spans="8:16" x14ac:dyDescent="0.25">
      <c r="H666" s="3"/>
      <c r="K666" s="3"/>
      <c r="M666" s="3"/>
      <c r="P666" s="3"/>
    </row>
    <row r="667" spans="8:16" x14ac:dyDescent="0.25">
      <c r="H667" s="3"/>
      <c r="K667" s="3"/>
      <c r="M667" s="3"/>
      <c r="P667" s="3"/>
    </row>
    <row r="668" spans="8:16" x14ac:dyDescent="0.25">
      <c r="H668" s="3"/>
      <c r="K668" s="3"/>
      <c r="M668" s="3"/>
      <c r="P668" s="3"/>
    </row>
    <row r="669" spans="8:16" x14ac:dyDescent="0.25">
      <c r="H669" s="3"/>
      <c r="K669" s="3"/>
      <c r="M669" s="3"/>
      <c r="P669" s="3"/>
    </row>
    <row r="670" spans="8:16" x14ac:dyDescent="0.25">
      <c r="H670" s="3"/>
      <c r="K670" s="3"/>
      <c r="M670" s="3"/>
      <c r="P670" s="3"/>
    </row>
    <row r="671" spans="8:16" x14ac:dyDescent="0.25">
      <c r="H671" s="3"/>
      <c r="K671" s="3"/>
      <c r="M671" s="3"/>
      <c r="P671" s="3"/>
    </row>
    <row r="672" spans="8:16" x14ac:dyDescent="0.25">
      <c r="H672" s="3"/>
      <c r="K672" s="3"/>
      <c r="M672" s="3"/>
      <c r="P672" s="3"/>
    </row>
    <row r="673" spans="8:16" x14ac:dyDescent="0.25">
      <c r="H673" s="3"/>
      <c r="K673" s="3"/>
      <c r="M673" s="3"/>
      <c r="P673" s="3"/>
    </row>
    <row r="674" spans="8:16" x14ac:dyDescent="0.25">
      <c r="H674" s="3"/>
      <c r="K674" s="3"/>
      <c r="M674" s="3"/>
      <c r="P674" s="3"/>
    </row>
    <row r="675" spans="8:16" x14ac:dyDescent="0.25">
      <c r="H675" s="3"/>
      <c r="K675" s="3"/>
      <c r="M675" s="3"/>
      <c r="P675" s="3"/>
    </row>
    <row r="676" spans="8:16" x14ac:dyDescent="0.25">
      <c r="H676" s="3"/>
      <c r="K676" s="3"/>
      <c r="M676" s="3"/>
      <c r="P676" s="3"/>
    </row>
    <row r="677" spans="8:16" x14ac:dyDescent="0.25">
      <c r="H677" s="3"/>
      <c r="K677" s="3"/>
      <c r="M677" s="3"/>
      <c r="P677" s="3"/>
    </row>
    <row r="678" spans="8:16" x14ac:dyDescent="0.25">
      <c r="H678" s="3"/>
      <c r="K678" s="3"/>
      <c r="M678" s="3"/>
      <c r="P678" s="3"/>
    </row>
    <row r="679" spans="8:16" x14ac:dyDescent="0.25">
      <c r="H679" s="3"/>
      <c r="K679" s="3"/>
      <c r="M679" s="3"/>
      <c r="P679" s="3"/>
    </row>
    <row r="680" spans="8:16" x14ac:dyDescent="0.25">
      <c r="H680" s="3"/>
      <c r="K680" s="3"/>
      <c r="M680" s="3"/>
      <c r="P680" s="3"/>
    </row>
    <row r="681" spans="8:16" x14ac:dyDescent="0.25">
      <c r="H681" s="3"/>
      <c r="K681" s="3"/>
      <c r="M681" s="3"/>
      <c r="P681" s="3"/>
    </row>
    <row r="682" spans="8:16" x14ac:dyDescent="0.25">
      <c r="H682" s="3"/>
      <c r="K682" s="3"/>
      <c r="M682" s="3"/>
      <c r="P682" s="3"/>
    </row>
    <row r="683" spans="8:16" x14ac:dyDescent="0.25">
      <c r="H683" s="3"/>
      <c r="K683" s="3"/>
      <c r="M683" s="3"/>
      <c r="P683" s="3"/>
    </row>
    <row r="684" spans="8:16" x14ac:dyDescent="0.25">
      <c r="H684" s="3"/>
      <c r="K684" s="3"/>
      <c r="M684" s="3"/>
      <c r="P684" s="3"/>
    </row>
    <row r="685" spans="8:16" x14ac:dyDescent="0.25">
      <c r="H685" s="3"/>
      <c r="K685" s="3"/>
      <c r="M685" s="3"/>
      <c r="P685" s="3"/>
    </row>
    <row r="686" spans="8:16" x14ac:dyDescent="0.25">
      <c r="H686" s="3"/>
      <c r="K686" s="3"/>
      <c r="M686" s="3"/>
      <c r="P686" s="3"/>
    </row>
    <row r="687" spans="8:16" x14ac:dyDescent="0.25">
      <c r="H687" s="3"/>
      <c r="K687" s="3"/>
      <c r="M687" s="3"/>
      <c r="P687" s="3"/>
    </row>
    <row r="688" spans="8:16" x14ac:dyDescent="0.25">
      <c r="H688" s="3"/>
      <c r="K688" s="3"/>
      <c r="M688" s="3"/>
      <c r="P688" s="3"/>
    </row>
    <row r="689" spans="8:16" x14ac:dyDescent="0.25">
      <c r="H689" s="3"/>
      <c r="K689" s="3"/>
      <c r="M689" s="3"/>
      <c r="P689" s="3"/>
    </row>
    <row r="690" spans="8:16" x14ac:dyDescent="0.25">
      <c r="H690" s="3"/>
      <c r="K690" s="3"/>
      <c r="M690" s="3"/>
      <c r="P690" s="3"/>
    </row>
    <row r="691" spans="8:16" x14ac:dyDescent="0.25">
      <c r="H691" s="3"/>
      <c r="K691" s="3"/>
      <c r="M691" s="3"/>
      <c r="P691" s="3"/>
    </row>
    <row r="692" spans="8:16" x14ac:dyDescent="0.25">
      <c r="H692" s="3"/>
      <c r="K692" s="3"/>
      <c r="M692" s="3"/>
      <c r="P692" s="3"/>
    </row>
    <row r="693" spans="8:16" x14ac:dyDescent="0.25">
      <c r="H693" s="3"/>
      <c r="K693" s="3"/>
      <c r="M693" s="3"/>
      <c r="P693" s="3"/>
    </row>
    <row r="694" spans="8:16" x14ac:dyDescent="0.25">
      <c r="H694" s="3"/>
      <c r="K694" s="3"/>
      <c r="M694" s="3"/>
      <c r="P694" s="3"/>
    </row>
    <row r="695" spans="8:16" x14ac:dyDescent="0.25">
      <c r="H695" s="3"/>
      <c r="K695" s="3"/>
      <c r="M695" s="3"/>
      <c r="P695" s="3"/>
    </row>
    <row r="696" spans="8:16" x14ac:dyDescent="0.25">
      <c r="H696" s="3"/>
      <c r="K696" s="3"/>
      <c r="M696" s="3"/>
      <c r="P696" s="3"/>
    </row>
    <row r="697" spans="8:16" x14ac:dyDescent="0.25">
      <c r="H697" s="3"/>
      <c r="K697" s="3"/>
      <c r="M697" s="3"/>
      <c r="P697" s="3"/>
    </row>
    <row r="698" spans="8:16" x14ac:dyDescent="0.25">
      <c r="H698" s="3"/>
      <c r="K698" s="3"/>
      <c r="M698" s="3"/>
      <c r="P698" s="3"/>
    </row>
    <row r="699" spans="8:16" x14ac:dyDescent="0.25">
      <c r="H699" s="3"/>
      <c r="K699" s="3"/>
      <c r="M699" s="3"/>
      <c r="P699" s="3"/>
    </row>
    <row r="700" spans="8:16" x14ac:dyDescent="0.25">
      <c r="H700" s="3"/>
      <c r="K700" s="3"/>
      <c r="M700" s="3"/>
      <c r="P700" s="3"/>
    </row>
    <row r="701" spans="8:16" x14ac:dyDescent="0.25">
      <c r="H701" s="3"/>
      <c r="K701" s="3"/>
      <c r="M701" s="3"/>
      <c r="P701" s="3"/>
    </row>
    <row r="702" spans="8:16" x14ac:dyDescent="0.25">
      <c r="H702" s="3"/>
      <c r="K702" s="3"/>
      <c r="M702" s="3"/>
      <c r="P702" s="3"/>
    </row>
    <row r="703" spans="8:16" x14ac:dyDescent="0.25">
      <c r="H703" s="3"/>
      <c r="K703" s="3"/>
      <c r="M703" s="3"/>
      <c r="P703" s="3"/>
    </row>
    <row r="704" spans="8:16" x14ac:dyDescent="0.25">
      <c r="H704" s="3"/>
      <c r="K704" s="3"/>
      <c r="M704" s="3"/>
      <c r="P704" s="3"/>
    </row>
    <row r="705" spans="8:16" x14ac:dyDescent="0.25">
      <c r="H705" s="3"/>
      <c r="K705" s="3"/>
      <c r="M705" s="3"/>
      <c r="P705" s="3"/>
    </row>
    <row r="706" spans="8:16" x14ac:dyDescent="0.25">
      <c r="H706" s="3"/>
      <c r="K706" s="3"/>
      <c r="M706" s="3"/>
      <c r="P706" s="3"/>
    </row>
    <row r="707" spans="8:16" x14ac:dyDescent="0.25">
      <c r="H707" s="3"/>
      <c r="K707" s="3"/>
      <c r="M707" s="3"/>
      <c r="P707" s="3"/>
    </row>
    <row r="708" spans="8:16" x14ac:dyDescent="0.25">
      <c r="H708" s="3"/>
      <c r="K708" s="3"/>
      <c r="M708" s="3"/>
      <c r="P708" s="3"/>
    </row>
    <row r="709" spans="8:16" x14ac:dyDescent="0.25">
      <c r="H709" s="3"/>
      <c r="K709" s="3"/>
      <c r="M709" s="3"/>
      <c r="P709" s="3"/>
    </row>
    <row r="710" spans="8:16" x14ac:dyDescent="0.25">
      <c r="H710" s="3"/>
      <c r="K710" s="3"/>
      <c r="M710" s="3"/>
      <c r="P710" s="3"/>
    </row>
    <row r="711" spans="8:16" x14ac:dyDescent="0.25">
      <c r="H711" s="3"/>
      <c r="K711" s="3"/>
      <c r="M711" s="3"/>
      <c r="P711" s="3"/>
    </row>
    <row r="712" spans="8:16" x14ac:dyDescent="0.25">
      <c r="H712" s="3"/>
      <c r="K712" s="3"/>
      <c r="M712" s="3"/>
      <c r="P712" s="3"/>
    </row>
    <row r="713" spans="8:16" x14ac:dyDescent="0.25">
      <c r="H713" s="3"/>
      <c r="K713" s="3"/>
      <c r="M713" s="3"/>
      <c r="P713" s="3"/>
    </row>
    <row r="714" spans="8:16" x14ac:dyDescent="0.25">
      <c r="H714" s="3"/>
      <c r="K714" s="3"/>
      <c r="M714" s="3"/>
      <c r="P714" s="3"/>
    </row>
    <row r="715" spans="8:16" x14ac:dyDescent="0.25">
      <c r="H715" s="3"/>
      <c r="K715" s="3"/>
      <c r="M715" s="3"/>
      <c r="P715" s="3"/>
    </row>
    <row r="716" spans="8:16" x14ac:dyDescent="0.25">
      <c r="H716" s="3"/>
      <c r="K716" s="3"/>
      <c r="M716" s="3"/>
      <c r="P716" s="3"/>
    </row>
    <row r="717" spans="8:16" x14ac:dyDescent="0.25">
      <c r="H717" s="3"/>
      <c r="K717" s="3"/>
      <c r="M717" s="3"/>
      <c r="P717" s="3"/>
    </row>
    <row r="718" spans="8:16" x14ac:dyDescent="0.25">
      <c r="H718" s="3"/>
      <c r="K718" s="3"/>
      <c r="M718" s="3"/>
      <c r="P718" s="3"/>
    </row>
    <row r="719" spans="8:16" x14ac:dyDescent="0.25">
      <c r="H719" s="3"/>
      <c r="K719" s="3"/>
      <c r="M719" s="3"/>
      <c r="P719" s="3"/>
    </row>
    <row r="720" spans="8:16" x14ac:dyDescent="0.25">
      <c r="H720" s="3"/>
      <c r="K720" s="3"/>
      <c r="M720" s="3"/>
      <c r="P720" s="3"/>
    </row>
    <row r="721" spans="8:16" x14ac:dyDescent="0.25">
      <c r="H721" s="3"/>
      <c r="K721" s="3"/>
      <c r="M721" s="3"/>
      <c r="P721" s="3"/>
    </row>
    <row r="722" spans="8:16" x14ac:dyDescent="0.25">
      <c r="H722" s="3"/>
      <c r="K722" s="3"/>
      <c r="M722" s="3"/>
      <c r="P722" s="3"/>
    </row>
    <row r="723" spans="8:16" x14ac:dyDescent="0.25">
      <c r="H723" s="3"/>
      <c r="K723" s="3"/>
      <c r="M723" s="3"/>
      <c r="P723" s="3"/>
    </row>
    <row r="724" spans="8:16" x14ac:dyDescent="0.25">
      <c r="H724" s="3"/>
      <c r="K724" s="3"/>
      <c r="M724" s="3"/>
      <c r="P724" s="3"/>
    </row>
    <row r="725" spans="8:16" x14ac:dyDescent="0.25">
      <c r="H725" s="3"/>
      <c r="K725" s="3"/>
      <c r="M725" s="3"/>
      <c r="P725" s="3"/>
    </row>
    <row r="726" spans="8:16" x14ac:dyDescent="0.25">
      <c r="H726" s="3"/>
      <c r="K726" s="3"/>
      <c r="M726" s="3"/>
      <c r="P726" s="3"/>
    </row>
    <row r="727" spans="8:16" x14ac:dyDescent="0.25">
      <c r="H727" s="3"/>
      <c r="K727" s="3"/>
      <c r="M727" s="3"/>
      <c r="P727" s="3"/>
    </row>
    <row r="728" spans="8:16" x14ac:dyDescent="0.25">
      <c r="H728" s="3"/>
      <c r="K728" s="3"/>
      <c r="M728" s="3"/>
      <c r="P728" s="3"/>
    </row>
    <row r="729" spans="8:16" x14ac:dyDescent="0.25">
      <c r="H729" s="3"/>
      <c r="K729" s="3"/>
      <c r="M729" s="3"/>
      <c r="P729" s="3"/>
    </row>
    <row r="730" spans="8:16" x14ac:dyDescent="0.25">
      <c r="H730" s="3"/>
      <c r="K730" s="3"/>
      <c r="M730" s="3"/>
      <c r="P730" s="3"/>
    </row>
    <row r="731" spans="8:16" x14ac:dyDescent="0.25">
      <c r="H731" s="3"/>
      <c r="K731" s="3"/>
      <c r="M731" s="3"/>
      <c r="P731" s="3"/>
    </row>
    <row r="732" spans="8:16" x14ac:dyDescent="0.25">
      <c r="H732" s="3"/>
      <c r="K732" s="3"/>
      <c r="M732" s="3"/>
      <c r="P732" s="3"/>
    </row>
    <row r="733" spans="8:16" x14ac:dyDescent="0.25">
      <c r="H733" s="3"/>
      <c r="K733" s="3"/>
      <c r="M733" s="3"/>
      <c r="P733" s="3"/>
    </row>
    <row r="734" spans="8:16" x14ac:dyDescent="0.25">
      <c r="H734" s="3"/>
      <c r="K734" s="3"/>
      <c r="M734" s="3"/>
      <c r="P734" s="3"/>
    </row>
    <row r="735" spans="8:16" x14ac:dyDescent="0.25">
      <c r="H735" s="3"/>
      <c r="K735" s="3"/>
      <c r="M735" s="3"/>
      <c r="P735" s="3"/>
    </row>
    <row r="736" spans="8:16" x14ac:dyDescent="0.25">
      <c r="H736" s="3"/>
      <c r="K736" s="3"/>
      <c r="M736" s="3"/>
      <c r="P736" s="3"/>
    </row>
    <row r="737" spans="8:16" x14ac:dyDescent="0.25">
      <c r="H737" s="3"/>
      <c r="K737" s="3"/>
      <c r="M737" s="3"/>
      <c r="P737" s="3"/>
    </row>
    <row r="738" spans="8:16" x14ac:dyDescent="0.25">
      <c r="H738" s="3"/>
      <c r="K738" s="3"/>
      <c r="M738" s="3"/>
      <c r="P738" s="3"/>
    </row>
    <row r="739" spans="8:16" x14ac:dyDescent="0.25">
      <c r="H739" s="3"/>
      <c r="K739" s="3"/>
      <c r="M739" s="3"/>
      <c r="P739" s="3"/>
    </row>
    <row r="740" spans="8:16" x14ac:dyDescent="0.25">
      <c r="H740" s="3"/>
      <c r="K740" s="3"/>
      <c r="M740" s="3"/>
      <c r="P740" s="3"/>
    </row>
    <row r="741" spans="8:16" x14ac:dyDescent="0.25">
      <c r="H741" s="3"/>
      <c r="K741" s="3"/>
      <c r="M741" s="3"/>
      <c r="P741" s="3"/>
    </row>
    <row r="742" spans="8:16" x14ac:dyDescent="0.25">
      <c r="H742" s="3"/>
      <c r="K742" s="3"/>
      <c r="M742" s="3"/>
      <c r="P742" s="3"/>
    </row>
    <row r="743" spans="8:16" x14ac:dyDescent="0.25">
      <c r="H743" s="3"/>
      <c r="K743" s="3"/>
      <c r="M743" s="3"/>
      <c r="P743" s="3"/>
    </row>
    <row r="744" spans="8:16" x14ac:dyDescent="0.25">
      <c r="H744" s="3"/>
      <c r="K744" s="3"/>
      <c r="M744" s="3"/>
      <c r="P744" s="3"/>
    </row>
    <row r="745" spans="8:16" x14ac:dyDescent="0.25">
      <c r="H745" s="3"/>
      <c r="K745" s="3"/>
      <c r="M745" s="3"/>
      <c r="P745" s="3"/>
    </row>
    <row r="746" spans="8:16" x14ac:dyDescent="0.25">
      <c r="H746" s="3"/>
      <c r="K746" s="3"/>
      <c r="M746" s="3"/>
      <c r="P746" s="3"/>
    </row>
    <row r="747" spans="8:16" x14ac:dyDescent="0.25">
      <c r="H747" s="3"/>
      <c r="K747" s="3"/>
      <c r="M747" s="3"/>
      <c r="P747" s="3"/>
    </row>
    <row r="748" spans="8:16" x14ac:dyDescent="0.25">
      <c r="H748" s="3"/>
      <c r="K748" s="3"/>
      <c r="M748" s="3"/>
      <c r="P748" s="3"/>
    </row>
    <row r="749" spans="8:16" x14ac:dyDescent="0.25">
      <c r="H749" s="3"/>
      <c r="K749" s="3"/>
      <c r="M749" s="3"/>
      <c r="P749" s="3"/>
    </row>
    <row r="750" spans="8:16" x14ac:dyDescent="0.25">
      <c r="H750" s="3"/>
      <c r="K750" s="3"/>
      <c r="M750" s="3"/>
      <c r="P750" s="3"/>
    </row>
    <row r="751" spans="8:16" x14ac:dyDescent="0.25">
      <c r="H751" s="3"/>
      <c r="K751" s="3"/>
      <c r="M751" s="3"/>
      <c r="P751" s="3"/>
    </row>
    <row r="752" spans="8:16" x14ac:dyDescent="0.25">
      <c r="H752" s="3"/>
      <c r="K752" s="3"/>
      <c r="M752" s="3"/>
      <c r="P752" s="3"/>
    </row>
    <row r="753" spans="8:16" x14ac:dyDescent="0.25">
      <c r="H753" s="3"/>
      <c r="K753" s="3"/>
      <c r="M753" s="3"/>
      <c r="P753" s="3"/>
    </row>
    <row r="754" spans="8:16" x14ac:dyDescent="0.25">
      <c r="H754" s="3"/>
      <c r="K754" s="3"/>
      <c r="M754" s="3"/>
      <c r="P754" s="3"/>
    </row>
    <row r="755" spans="8:16" x14ac:dyDescent="0.25">
      <c r="H755" s="3"/>
      <c r="K755" s="3"/>
      <c r="M755" s="3"/>
      <c r="P755" s="3"/>
    </row>
    <row r="756" spans="8:16" x14ac:dyDescent="0.25">
      <c r="H756" s="3"/>
      <c r="K756" s="3"/>
      <c r="M756" s="3"/>
      <c r="P756" s="3"/>
    </row>
    <row r="757" spans="8:16" x14ac:dyDescent="0.25">
      <c r="H757" s="3"/>
      <c r="K757" s="3"/>
      <c r="M757" s="3"/>
      <c r="P757" s="3"/>
    </row>
    <row r="758" spans="8:16" x14ac:dyDescent="0.25">
      <c r="H758" s="3"/>
      <c r="K758" s="3"/>
      <c r="M758" s="3"/>
      <c r="P758" s="3"/>
    </row>
    <row r="759" spans="8:16" x14ac:dyDescent="0.25">
      <c r="H759" s="3"/>
      <c r="K759" s="3"/>
      <c r="M759" s="3"/>
      <c r="P759" s="3"/>
    </row>
    <row r="760" spans="8:16" x14ac:dyDescent="0.25">
      <c r="H760" s="3"/>
      <c r="K760" s="3"/>
      <c r="M760" s="3"/>
      <c r="P760" s="3"/>
    </row>
    <row r="761" spans="8:16" x14ac:dyDescent="0.25">
      <c r="H761" s="3"/>
      <c r="K761" s="3"/>
      <c r="M761" s="3"/>
      <c r="P761" s="3"/>
    </row>
    <row r="762" spans="8:16" x14ac:dyDescent="0.25">
      <c r="H762" s="3"/>
      <c r="K762" s="3"/>
      <c r="M762" s="3"/>
      <c r="P762" s="3"/>
    </row>
    <row r="763" spans="8:16" x14ac:dyDescent="0.25">
      <c r="H763" s="3"/>
      <c r="K763" s="3"/>
      <c r="M763" s="3"/>
      <c r="P763" s="3"/>
    </row>
    <row r="764" spans="8:16" x14ac:dyDescent="0.25">
      <c r="H764" s="3"/>
      <c r="K764" s="3"/>
      <c r="M764" s="3"/>
      <c r="P764" s="3"/>
    </row>
    <row r="765" spans="8:16" x14ac:dyDescent="0.25">
      <c r="H765" s="3"/>
      <c r="K765" s="3"/>
      <c r="M765" s="3"/>
      <c r="P765" s="3"/>
    </row>
    <row r="766" spans="8:16" x14ac:dyDescent="0.25">
      <c r="H766" s="3"/>
      <c r="K766" s="3"/>
      <c r="M766" s="3"/>
      <c r="P766" s="3"/>
    </row>
    <row r="767" spans="8:16" x14ac:dyDescent="0.25">
      <c r="H767" s="3"/>
      <c r="K767" s="3"/>
      <c r="M767" s="3"/>
      <c r="P767" s="3"/>
    </row>
    <row r="768" spans="8:16" x14ac:dyDescent="0.25">
      <c r="H768" s="3"/>
      <c r="K768" s="3"/>
      <c r="M768" s="3"/>
      <c r="P768" s="3"/>
    </row>
    <row r="769" spans="8:16" x14ac:dyDescent="0.25">
      <c r="H769" s="3"/>
      <c r="K769" s="3"/>
      <c r="M769" s="3"/>
      <c r="P769" s="3"/>
    </row>
    <row r="770" spans="8:16" x14ac:dyDescent="0.25">
      <c r="H770" s="3"/>
      <c r="K770" s="3"/>
      <c r="M770" s="3"/>
      <c r="P770" s="3"/>
    </row>
    <row r="771" spans="8:16" x14ac:dyDescent="0.25">
      <c r="H771" s="3"/>
      <c r="K771" s="3"/>
      <c r="M771" s="3"/>
      <c r="P771" s="3"/>
    </row>
    <row r="772" spans="8:16" x14ac:dyDescent="0.25">
      <c r="H772" s="3"/>
      <c r="K772" s="3"/>
      <c r="M772" s="3"/>
      <c r="P772" s="3"/>
    </row>
    <row r="773" spans="8:16" x14ac:dyDescent="0.25">
      <c r="H773" s="3"/>
      <c r="K773" s="3"/>
      <c r="M773" s="3"/>
      <c r="P773" s="3"/>
    </row>
    <row r="774" spans="8:16" x14ac:dyDescent="0.25">
      <c r="H774" s="3"/>
      <c r="K774" s="3"/>
      <c r="M774" s="3"/>
      <c r="P774" s="3"/>
    </row>
    <row r="775" spans="8:16" x14ac:dyDescent="0.25">
      <c r="H775" s="3"/>
      <c r="K775" s="3"/>
      <c r="M775" s="3"/>
      <c r="P775" s="3"/>
    </row>
    <row r="776" spans="8:16" x14ac:dyDescent="0.25">
      <c r="H776" s="3"/>
      <c r="K776" s="3"/>
      <c r="M776" s="3"/>
      <c r="P776" s="3"/>
    </row>
    <row r="777" spans="8:16" x14ac:dyDescent="0.25">
      <c r="H777" s="3"/>
      <c r="K777" s="3"/>
      <c r="M777" s="3"/>
      <c r="P777" s="3"/>
    </row>
    <row r="778" spans="8:16" x14ac:dyDescent="0.25">
      <c r="H778" s="3"/>
      <c r="K778" s="3"/>
      <c r="M778" s="3"/>
      <c r="P778" s="3"/>
    </row>
    <row r="779" spans="8:16" x14ac:dyDescent="0.25">
      <c r="H779" s="3"/>
      <c r="K779" s="3"/>
      <c r="M779" s="3"/>
      <c r="P779" s="3"/>
    </row>
    <row r="780" spans="8:16" x14ac:dyDescent="0.25">
      <c r="H780" s="3"/>
      <c r="K780" s="3"/>
      <c r="M780" s="3"/>
      <c r="P780" s="3"/>
    </row>
    <row r="781" spans="8:16" x14ac:dyDescent="0.25">
      <c r="H781" s="3"/>
      <c r="K781" s="3"/>
      <c r="M781" s="3"/>
      <c r="P781" s="3"/>
    </row>
    <row r="782" spans="8:16" x14ac:dyDescent="0.25">
      <c r="H782" s="3"/>
      <c r="K782" s="3"/>
      <c r="M782" s="3"/>
      <c r="P782" s="3"/>
    </row>
    <row r="783" spans="8:16" x14ac:dyDescent="0.25">
      <c r="H783" s="3"/>
      <c r="K783" s="3"/>
      <c r="M783" s="3"/>
      <c r="P783" s="3"/>
    </row>
    <row r="784" spans="8:16" x14ac:dyDescent="0.25">
      <c r="H784" s="3"/>
      <c r="K784" s="3"/>
      <c r="M784" s="3"/>
      <c r="P784" s="3"/>
    </row>
    <row r="785" spans="8:16" x14ac:dyDescent="0.25">
      <c r="H785" s="3"/>
      <c r="K785" s="3"/>
      <c r="M785" s="3"/>
      <c r="P785" s="3"/>
    </row>
    <row r="786" spans="8:16" x14ac:dyDescent="0.25">
      <c r="H786" s="3"/>
      <c r="K786" s="3"/>
      <c r="M786" s="3"/>
      <c r="P786" s="3"/>
    </row>
    <row r="787" spans="8:16" x14ac:dyDescent="0.25">
      <c r="H787" s="3"/>
      <c r="K787" s="3"/>
      <c r="M787" s="3"/>
      <c r="P787" s="3"/>
    </row>
    <row r="788" spans="8:16" x14ac:dyDescent="0.25">
      <c r="H788" s="3"/>
      <c r="K788" s="3"/>
      <c r="M788" s="3"/>
      <c r="P788" s="3"/>
    </row>
    <row r="789" spans="8:16" x14ac:dyDescent="0.25">
      <c r="H789" s="3"/>
      <c r="K789" s="3"/>
      <c r="M789" s="3"/>
      <c r="P789" s="3"/>
    </row>
    <row r="790" spans="8:16" x14ac:dyDescent="0.25">
      <c r="H790" s="3"/>
      <c r="K790" s="3"/>
      <c r="M790" s="3"/>
      <c r="P790" s="3"/>
    </row>
    <row r="791" spans="8:16" x14ac:dyDescent="0.25">
      <c r="H791" s="3"/>
      <c r="K791" s="3"/>
      <c r="M791" s="3"/>
      <c r="P791" s="3"/>
    </row>
    <row r="792" spans="8:16" x14ac:dyDescent="0.25">
      <c r="H792" s="3"/>
      <c r="K792" s="3"/>
      <c r="M792" s="3"/>
      <c r="P792" s="3"/>
    </row>
    <row r="793" spans="8:16" x14ac:dyDescent="0.25">
      <c r="H793" s="3"/>
      <c r="K793" s="3"/>
      <c r="M793" s="3"/>
      <c r="P793" s="3"/>
    </row>
    <row r="794" spans="8:16" x14ac:dyDescent="0.25">
      <c r="H794" s="3"/>
      <c r="K794" s="3"/>
      <c r="M794" s="3"/>
      <c r="P794" s="3"/>
    </row>
    <row r="795" spans="8:16" x14ac:dyDescent="0.25">
      <c r="H795" s="3"/>
      <c r="K795" s="3"/>
      <c r="M795" s="3"/>
      <c r="P795" s="3"/>
    </row>
    <row r="796" spans="8:16" x14ac:dyDescent="0.25">
      <c r="H796" s="3"/>
      <c r="K796" s="3"/>
      <c r="M796" s="3"/>
      <c r="P796" s="3"/>
    </row>
    <row r="797" spans="8:16" x14ac:dyDescent="0.25">
      <c r="H797" s="3"/>
      <c r="K797" s="3"/>
      <c r="M797" s="3"/>
      <c r="P797" s="3"/>
    </row>
    <row r="798" spans="8:16" x14ac:dyDescent="0.25">
      <c r="H798" s="3"/>
      <c r="K798" s="3"/>
      <c r="M798" s="3"/>
      <c r="P798" s="3"/>
    </row>
    <row r="799" spans="8:16" x14ac:dyDescent="0.25">
      <c r="H799" s="3"/>
      <c r="K799" s="3"/>
      <c r="M799" s="3"/>
      <c r="P799" s="3"/>
    </row>
    <row r="800" spans="8:16" x14ac:dyDescent="0.25">
      <c r="H800" s="3"/>
      <c r="K800" s="3"/>
      <c r="M800" s="3"/>
      <c r="P800" s="3"/>
    </row>
    <row r="801" spans="8:16" x14ac:dyDescent="0.25">
      <c r="H801" s="3"/>
      <c r="K801" s="3"/>
      <c r="M801" s="3"/>
      <c r="P801" s="3"/>
    </row>
    <row r="802" spans="8:16" x14ac:dyDescent="0.25">
      <c r="H802" s="3"/>
      <c r="K802" s="3"/>
      <c r="M802" s="3"/>
      <c r="P802" s="3"/>
    </row>
    <row r="803" spans="8:16" x14ac:dyDescent="0.25">
      <c r="H803" s="3"/>
      <c r="K803" s="3"/>
      <c r="M803" s="3"/>
      <c r="P803" s="3"/>
    </row>
    <row r="804" spans="8:16" x14ac:dyDescent="0.25">
      <c r="H804" s="3"/>
      <c r="K804" s="3"/>
      <c r="M804" s="3"/>
      <c r="P804" s="3"/>
    </row>
    <row r="805" spans="8:16" x14ac:dyDescent="0.25">
      <c r="H805" s="3"/>
      <c r="K805" s="3"/>
      <c r="M805" s="3"/>
      <c r="P805" s="3"/>
    </row>
    <row r="806" spans="8:16" x14ac:dyDescent="0.25">
      <c r="H806" s="3"/>
      <c r="K806" s="3"/>
      <c r="M806" s="3"/>
      <c r="P806" s="3"/>
    </row>
    <row r="807" spans="8:16" x14ac:dyDescent="0.25">
      <c r="H807" s="3"/>
      <c r="K807" s="3"/>
      <c r="M807" s="3"/>
      <c r="P807" s="3"/>
    </row>
    <row r="808" spans="8:16" x14ac:dyDescent="0.25">
      <c r="H808" s="3"/>
      <c r="K808" s="3"/>
      <c r="M808" s="3"/>
      <c r="P808" s="3"/>
    </row>
    <row r="809" spans="8:16" x14ac:dyDescent="0.25">
      <c r="H809" s="3"/>
      <c r="K809" s="3"/>
      <c r="M809" s="3"/>
      <c r="P809" s="3"/>
    </row>
    <row r="810" spans="8:16" x14ac:dyDescent="0.25">
      <c r="H810" s="3"/>
      <c r="K810" s="3"/>
      <c r="M810" s="3"/>
      <c r="P810" s="3"/>
    </row>
    <row r="811" spans="8:16" x14ac:dyDescent="0.25">
      <c r="H811" s="3"/>
      <c r="K811" s="3"/>
      <c r="M811" s="3"/>
      <c r="P811" s="3"/>
    </row>
    <row r="812" spans="8:16" x14ac:dyDescent="0.25">
      <c r="H812" s="3"/>
      <c r="K812" s="3"/>
      <c r="M812" s="3"/>
      <c r="P812" s="3"/>
    </row>
    <row r="813" spans="8:16" x14ac:dyDescent="0.25">
      <c r="H813" s="3"/>
      <c r="K813" s="3"/>
      <c r="M813" s="3"/>
      <c r="P813" s="3"/>
    </row>
    <row r="814" spans="8:16" x14ac:dyDescent="0.25">
      <c r="H814" s="3"/>
      <c r="K814" s="3"/>
      <c r="M814" s="3"/>
      <c r="P814" s="3"/>
    </row>
    <row r="815" spans="8:16" x14ac:dyDescent="0.25">
      <c r="H815" s="3"/>
      <c r="K815" s="3"/>
      <c r="M815" s="3"/>
      <c r="P815" s="3"/>
    </row>
    <row r="816" spans="8:16" x14ac:dyDescent="0.25">
      <c r="H816" s="3"/>
      <c r="K816" s="3"/>
      <c r="M816" s="3"/>
      <c r="P816" s="3"/>
    </row>
    <row r="817" spans="8:16" x14ac:dyDescent="0.25">
      <c r="H817" s="3"/>
      <c r="K817" s="3"/>
      <c r="M817" s="3"/>
      <c r="P817" s="3"/>
    </row>
    <row r="818" spans="8:16" x14ac:dyDescent="0.25">
      <c r="H818" s="3"/>
      <c r="K818" s="3"/>
      <c r="M818" s="3"/>
      <c r="P818" s="3"/>
    </row>
    <row r="819" spans="8:16" x14ac:dyDescent="0.25">
      <c r="H819" s="3"/>
      <c r="K819" s="3"/>
      <c r="M819" s="3"/>
      <c r="P819" s="3"/>
    </row>
    <row r="820" spans="8:16" x14ac:dyDescent="0.25">
      <c r="H820" s="3"/>
      <c r="K820" s="3"/>
      <c r="M820" s="3"/>
      <c r="P820" s="3"/>
    </row>
    <row r="821" spans="8:16" x14ac:dyDescent="0.25">
      <c r="H821" s="3"/>
      <c r="K821" s="3"/>
      <c r="M821" s="3"/>
      <c r="P821" s="3"/>
    </row>
    <row r="822" spans="8:16" x14ac:dyDescent="0.25">
      <c r="H822" s="3"/>
      <c r="K822" s="3"/>
      <c r="M822" s="3"/>
      <c r="P822" s="3"/>
    </row>
    <row r="823" spans="8:16" x14ac:dyDescent="0.25">
      <c r="H823" s="3"/>
      <c r="K823" s="3"/>
      <c r="M823" s="3"/>
      <c r="P823" s="3"/>
    </row>
    <row r="824" spans="8:16" x14ac:dyDescent="0.25">
      <c r="H824" s="3"/>
      <c r="K824" s="3"/>
      <c r="M824" s="3"/>
      <c r="P824" s="3"/>
    </row>
    <row r="825" spans="8:16" x14ac:dyDescent="0.25">
      <c r="H825" s="3"/>
      <c r="K825" s="3"/>
      <c r="M825" s="3"/>
      <c r="P825" s="3"/>
    </row>
    <row r="826" spans="8:16" x14ac:dyDescent="0.25">
      <c r="H826" s="3"/>
      <c r="K826" s="3"/>
      <c r="M826" s="3"/>
      <c r="P826" s="3"/>
    </row>
    <row r="827" spans="8:16" x14ac:dyDescent="0.25">
      <c r="H827" s="3"/>
      <c r="K827" s="3"/>
      <c r="M827" s="3"/>
      <c r="P827" s="3"/>
    </row>
    <row r="828" spans="8:16" x14ac:dyDescent="0.25">
      <c r="H828" s="3"/>
      <c r="K828" s="3"/>
      <c r="M828" s="3"/>
      <c r="P828" s="3"/>
    </row>
    <row r="829" spans="8:16" x14ac:dyDescent="0.25">
      <c r="H829" s="3"/>
      <c r="K829" s="3"/>
      <c r="M829" s="3"/>
      <c r="P829" s="3"/>
    </row>
    <row r="830" spans="8:16" x14ac:dyDescent="0.25">
      <c r="H830" s="3"/>
      <c r="K830" s="3"/>
      <c r="M830" s="3"/>
      <c r="P830" s="3"/>
    </row>
    <row r="831" spans="8:16" x14ac:dyDescent="0.25">
      <c r="H831" s="3"/>
      <c r="K831" s="3"/>
      <c r="M831" s="3"/>
      <c r="P831" s="3"/>
    </row>
    <row r="832" spans="8:16" x14ac:dyDescent="0.25">
      <c r="H832" s="3"/>
      <c r="K832" s="3"/>
      <c r="M832" s="3"/>
      <c r="P832" s="3"/>
    </row>
    <row r="833" spans="8:16" x14ac:dyDescent="0.25">
      <c r="H833" s="3"/>
      <c r="K833" s="3"/>
      <c r="M833" s="3"/>
      <c r="P833" s="3"/>
    </row>
    <row r="834" spans="8:16" x14ac:dyDescent="0.25">
      <c r="H834" s="3"/>
      <c r="K834" s="3"/>
      <c r="M834" s="3"/>
      <c r="P834" s="3"/>
    </row>
    <row r="835" spans="8:16" x14ac:dyDescent="0.25">
      <c r="H835" s="3"/>
      <c r="K835" s="3"/>
      <c r="M835" s="3"/>
      <c r="P835" s="3"/>
    </row>
    <row r="836" spans="8:16" x14ac:dyDescent="0.25">
      <c r="H836" s="3"/>
      <c r="K836" s="3"/>
      <c r="M836" s="3"/>
      <c r="P836" s="3"/>
    </row>
    <row r="837" spans="8:16" x14ac:dyDescent="0.25">
      <c r="H837" s="3"/>
      <c r="K837" s="3"/>
      <c r="M837" s="3"/>
      <c r="P837" s="3"/>
    </row>
    <row r="838" spans="8:16" x14ac:dyDescent="0.25">
      <c r="H838" s="3"/>
      <c r="K838" s="3"/>
      <c r="M838" s="3"/>
      <c r="P838" s="3"/>
    </row>
    <row r="839" spans="8:16" x14ac:dyDescent="0.25">
      <c r="H839" s="3"/>
      <c r="K839" s="3"/>
      <c r="M839" s="3"/>
      <c r="P839" s="3"/>
    </row>
    <row r="840" spans="8:16" x14ac:dyDescent="0.25">
      <c r="H840" s="3"/>
      <c r="K840" s="3"/>
      <c r="M840" s="3"/>
      <c r="P840" s="3"/>
    </row>
    <row r="841" spans="8:16" x14ac:dyDescent="0.25">
      <c r="H841" s="3"/>
      <c r="K841" s="3"/>
      <c r="M841" s="3"/>
      <c r="P841" s="3"/>
    </row>
    <row r="842" spans="8:16" x14ac:dyDescent="0.25">
      <c r="H842" s="3"/>
      <c r="K842" s="3"/>
      <c r="M842" s="3"/>
      <c r="P842" s="3"/>
    </row>
    <row r="843" spans="8:16" x14ac:dyDescent="0.25">
      <c r="H843" s="3"/>
      <c r="K843" s="3"/>
      <c r="M843" s="3"/>
      <c r="P843" s="3"/>
    </row>
    <row r="844" spans="8:16" x14ac:dyDescent="0.25">
      <c r="H844" s="3"/>
      <c r="K844" s="3"/>
      <c r="M844" s="3"/>
      <c r="P844" s="3"/>
    </row>
    <row r="845" spans="8:16" x14ac:dyDescent="0.25">
      <c r="H845" s="3"/>
      <c r="K845" s="3"/>
      <c r="M845" s="3"/>
      <c r="P845" s="3"/>
    </row>
    <row r="846" spans="8:16" x14ac:dyDescent="0.25">
      <c r="H846" s="3"/>
      <c r="K846" s="3"/>
      <c r="M846" s="3"/>
      <c r="P846" s="3"/>
    </row>
    <row r="847" spans="8:16" x14ac:dyDescent="0.25">
      <c r="H847" s="3"/>
      <c r="K847" s="3"/>
      <c r="M847" s="3"/>
      <c r="P847" s="3"/>
    </row>
    <row r="848" spans="8:16" x14ac:dyDescent="0.25">
      <c r="H848" s="3"/>
      <c r="K848" s="3"/>
      <c r="M848" s="3"/>
      <c r="P848" s="3"/>
    </row>
    <row r="849" spans="8:16" x14ac:dyDescent="0.25">
      <c r="H849" s="3"/>
      <c r="K849" s="3"/>
      <c r="M849" s="3"/>
      <c r="P849" s="3"/>
    </row>
    <row r="850" spans="8:16" x14ac:dyDescent="0.25">
      <c r="H850" s="3"/>
      <c r="K850" s="3"/>
      <c r="M850" s="3"/>
      <c r="P850" s="3"/>
    </row>
    <row r="851" spans="8:16" x14ac:dyDescent="0.25">
      <c r="H851" s="3"/>
      <c r="K851" s="3"/>
      <c r="M851" s="3"/>
      <c r="P851" s="3"/>
    </row>
    <row r="852" spans="8:16" x14ac:dyDescent="0.25">
      <c r="H852" s="3"/>
      <c r="K852" s="3"/>
      <c r="M852" s="3"/>
      <c r="P852" s="3"/>
    </row>
    <row r="853" spans="8:16" x14ac:dyDescent="0.25">
      <c r="H853" s="3"/>
      <c r="K853" s="3"/>
      <c r="M853" s="3"/>
      <c r="P853" s="3"/>
    </row>
    <row r="854" spans="8:16" x14ac:dyDescent="0.25">
      <c r="H854" s="3"/>
      <c r="K854" s="3"/>
      <c r="M854" s="3"/>
      <c r="P854" s="3"/>
    </row>
    <row r="855" spans="8:16" x14ac:dyDescent="0.25">
      <c r="H855" s="3"/>
      <c r="K855" s="3"/>
      <c r="M855" s="3"/>
      <c r="P855" s="3"/>
    </row>
    <row r="856" spans="8:16" x14ac:dyDescent="0.25">
      <c r="H856" s="3"/>
      <c r="K856" s="3"/>
      <c r="M856" s="3"/>
      <c r="P856" s="3"/>
    </row>
    <row r="857" spans="8:16" x14ac:dyDescent="0.25">
      <c r="H857" s="3"/>
      <c r="K857" s="3"/>
      <c r="M857" s="3"/>
      <c r="P857" s="3"/>
    </row>
    <row r="858" spans="8:16" x14ac:dyDescent="0.25">
      <c r="H858" s="3"/>
      <c r="K858" s="3"/>
      <c r="M858" s="3"/>
      <c r="P858" s="3"/>
    </row>
    <row r="859" spans="8:16" x14ac:dyDescent="0.25">
      <c r="H859" s="3"/>
      <c r="K859" s="3"/>
      <c r="M859" s="3"/>
      <c r="P859" s="3"/>
    </row>
    <row r="860" spans="8:16" x14ac:dyDescent="0.25">
      <c r="H860" s="3"/>
      <c r="K860" s="3"/>
      <c r="M860" s="3"/>
      <c r="P860" s="3"/>
    </row>
    <row r="861" spans="8:16" x14ac:dyDescent="0.25">
      <c r="H861" s="3"/>
      <c r="K861" s="3"/>
      <c r="M861" s="3"/>
      <c r="P861" s="3"/>
    </row>
    <row r="862" spans="8:16" x14ac:dyDescent="0.25">
      <c r="H862" s="3"/>
      <c r="K862" s="3"/>
      <c r="M862" s="3"/>
      <c r="P862" s="3"/>
    </row>
    <row r="863" spans="8:16" x14ac:dyDescent="0.25">
      <c r="H863" s="3"/>
      <c r="K863" s="3"/>
      <c r="M863" s="3"/>
      <c r="P863" s="3"/>
    </row>
    <row r="864" spans="8:16" x14ac:dyDescent="0.25">
      <c r="H864" s="3"/>
      <c r="K864" s="3"/>
      <c r="M864" s="3"/>
      <c r="P864" s="3"/>
    </row>
    <row r="865" spans="8:16" x14ac:dyDescent="0.25">
      <c r="H865" s="3"/>
      <c r="K865" s="3"/>
      <c r="M865" s="3"/>
      <c r="P865" s="3"/>
    </row>
    <row r="866" spans="8:16" x14ac:dyDescent="0.25">
      <c r="H866" s="3"/>
      <c r="K866" s="3"/>
      <c r="M866" s="3"/>
      <c r="P866" s="3"/>
    </row>
    <row r="867" spans="8:16" x14ac:dyDescent="0.25">
      <c r="H867" s="3"/>
      <c r="K867" s="3"/>
      <c r="M867" s="3"/>
      <c r="P867" s="3"/>
    </row>
    <row r="868" spans="8:16" x14ac:dyDescent="0.25">
      <c r="H868" s="3"/>
      <c r="K868" s="3"/>
      <c r="M868" s="3"/>
      <c r="P868" s="3"/>
    </row>
    <row r="869" spans="8:16" x14ac:dyDescent="0.25">
      <c r="H869" s="3"/>
      <c r="K869" s="3"/>
      <c r="M869" s="3"/>
      <c r="P869" s="3"/>
    </row>
    <row r="870" spans="8:16" x14ac:dyDescent="0.25">
      <c r="H870" s="3"/>
      <c r="K870" s="3"/>
      <c r="M870" s="3"/>
      <c r="P870" s="3"/>
    </row>
    <row r="871" spans="8:16" x14ac:dyDescent="0.25">
      <c r="H871" s="3"/>
      <c r="K871" s="3"/>
      <c r="M871" s="3"/>
      <c r="P871" s="3"/>
    </row>
    <row r="872" spans="8:16" x14ac:dyDescent="0.25">
      <c r="H872" s="3"/>
      <c r="K872" s="3"/>
      <c r="M872" s="3"/>
      <c r="P872" s="3"/>
    </row>
    <row r="873" spans="8:16" x14ac:dyDescent="0.25">
      <c r="H873" s="3"/>
      <c r="K873" s="3"/>
      <c r="M873" s="3"/>
      <c r="P873" s="3"/>
    </row>
    <row r="874" spans="8:16" x14ac:dyDescent="0.25">
      <c r="H874" s="3"/>
      <c r="K874" s="3"/>
      <c r="M874" s="3"/>
      <c r="P874" s="3"/>
    </row>
    <row r="875" spans="8:16" x14ac:dyDescent="0.25">
      <c r="H875" s="3"/>
      <c r="K875" s="3"/>
      <c r="M875" s="3"/>
      <c r="P875" s="3"/>
    </row>
    <row r="876" spans="8:16" x14ac:dyDescent="0.25">
      <c r="H876" s="3"/>
      <c r="K876" s="3"/>
      <c r="M876" s="3"/>
      <c r="P876" s="3"/>
    </row>
    <row r="877" spans="8:16" x14ac:dyDescent="0.25">
      <c r="H877" s="3"/>
      <c r="K877" s="3"/>
      <c r="M877" s="3"/>
      <c r="P877" s="3"/>
    </row>
    <row r="878" spans="8:16" x14ac:dyDescent="0.25">
      <c r="H878" s="3"/>
      <c r="K878" s="3"/>
      <c r="M878" s="3"/>
      <c r="P878" s="3"/>
    </row>
    <row r="879" spans="8:16" x14ac:dyDescent="0.25">
      <c r="H879" s="3"/>
      <c r="K879" s="3"/>
      <c r="M879" s="3"/>
      <c r="P879" s="3"/>
    </row>
    <row r="880" spans="8:16" x14ac:dyDescent="0.25">
      <c r="H880" s="3"/>
      <c r="K880" s="3"/>
      <c r="M880" s="3"/>
      <c r="P880" s="3"/>
    </row>
    <row r="881" spans="8:16" x14ac:dyDescent="0.25">
      <c r="H881" s="3"/>
      <c r="K881" s="3"/>
      <c r="M881" s="3"/>
      <c r="P881" s="3"/>
    </row>
    <row r="882" spans="8:16" x14ac:dyDescent="0.25">
      <c r="H882" s="3"/>
      <c r="K882" s="3"/>
      <c r="M882" s="3"/>
      <c r="P882" s="3"/>
    </row>
    <row r="883" spans="8:16" x14ac:dyDescent="0.25">
      <c r="H883" s="3"/>
      <c r="K883" s="3"/>
      <c r="M883" s="3"/>
      <c r="P883" s="3"/>
    </row>
    <row r="884" spans="8:16" x14ac:dyDescent="0.25">
      <c r="H884" s="3"/>
      <c r="K884" s="3"/>
      <c r="M884" s="3"/>
      <c r="P884" s="3"/>
    </row>
    <row r="885" spans="8:16" x14ac:dyDescent="0.25">
      <c r="H885" s="3"/>
      <c r="K885" s="3"/>
      <c r="M885" s="3"/>
      <c r="P885" s="3"/>
    </row>
    <row r="886" spans="8:16" x14ac:dyDescent="0.25">
      <c r="H886" s="3"/>
      <c r="K886" s="3"/>
      <c r="M886" s="3"/>
      <c r="P886" s="3"/>
    </row>
    <row r="887" spans="8:16" x14ac:dyDescent="0.25">
      <c r="H887" s="3"/>
      <c r="K887" s="3"/>
      <c r="M887" s="3"/>
      <c r="P887" s="3"/>
    </row>
    <row r="888" spans="8:16" x14ac:dyDescent="0.25">
      <c r="H888" s="3"/>
      <c r="K888" s="3"/>
      <c r="M888" s="3"/>
      <c r="P888" s="3"/>
    </row>
    <row r="889" spans="8:16" x14ac:dyDescent="0.25">
      <c r="H889" s="3"/>
      <c r="K889" s="3"/>
      <c r="M889" s="3"/>
      <c r="P889" s="3"/>
    </row>
    <row r="890" spans="8:16" x14ac:dyDescent="0.25">
      <c r="H890" s="3"/>
      <c r="K890" s="3"/>
      <c r="M890" s="3"/>
      <c r="P890" s="3"/>
    </row>
    <row r="891" spans="8:16" x14ac:dyDescent="0.25">
      <c r="H891" s="3"/>
      <c r="K891" s="3"/>
      <c r="M891" s="3"/>
      <c r="P891" s="3"/>
    </row>
    <row r="892" spans="8:16" x14ac:dyDescent="0.25">
      <c r="H892" s="3"/>
      <c r="K892" s="3"/>
      <c r="M892" s="3"/>
      <c r="P892" s="3"/>
    </row>
    <row r="893" spans="8:16" x14ac:dyDescent="0.25">
      <c r="H893" s="3"/>
      <c r="K893" s="3"/>
      <c r="M893" s="3"/>
      <c r="P893" s="3"/>
    </row>
    <row r="894" spans="8:16" x14ac:dyDescent="0.25">
      <c r="H894" s="3"/>
      <c r="K894" s="3"/>
      <c r="M894" s="3"/>
      <c r="P894" s="3"/>
    </row>
    <row r="895" spans="8:16" x14ac:dyDescent="0.25">
      <c r="H895" s="3"/>
      <c r="K895" s="3"/>
      <c r="M895" s="3"/>
      <c r="P895" s="3"/>
    </row>
    <row r="896" spans="8:16" x14ac:dyDescent="0.25">
      <c r="H896" s="3"/>
      <c r="K896" s="3"/>
      <c r="M896" s="3"/>
      <c r="P896" s="3"/>
    </row>
    <row r="897" spans="8:16" x14ac:dyDescent="0.25">
      <c r="H897" s="3"/>
      <c r="K897" s="3"/>
      <c r="M897" s="3"/>
      <c r="P897" s="3"/>
    </row>
    <row r="898" spans="8:16" x14ac:dyDescent="0.25">
      <c r="H898" s="3"/>
      <c r="K898" s="3"/>
      <c r="M898" s="3"/>
      <c r="P898" s="3"/>
    </row>
    <row r="899" spans="8:16" x14ac:dyDescent="0.25">
      <c r="H899" s="3"/>
      <c r="K899" s="3"/>
      <c r="M899" s="3"/>
      <c r="P899" s="3"/>
    </row>
    <row r="900" spans="8:16" x14ac:dyDescent="0.25">
      <c r="H900" s="3"/>
      <c r="K900" s="3"/>
      <c r="M900" s="3"/>
      <c r="P900" s="3"/>
    </row>
    <row r="901" spans="8:16" x14ac:dyDescent="0.25">
      <c r="H901" s="3"/>
      <c r="K901" s="3"/>
      <c r="M901" s="3"/>
      <c r="P901" s="3"/>
    </row>
    <row r="902" spans="8:16" x14ac:dyDescent="0.25">
      <c r="H902" s="3"/>
      <c r="K902" s="3"/>
      <c r="M902" s="3"/>
      <c r="P902" s="3"/>
    </row>
    <row r="903" spans="8:16" x14ac:dyDescent="0.25">
      <c r="H903" s="3"/>
      <c r="K903" s="3"/>
      <c r="M903" s="3"/>
      <c r="P903" s="3"/>
    </row>
    <row r="904" spans="8:16" x14ac:dyDescent="0.25">
      <c r="H904" s="3"/>
      <c r="K904" s="3"/>
      <c r="M904" s="3"/>
      <c r="P904" s="3"/>
    </row>
    <row r="905" spans="8:16" x14ac:dyDescent="0.25">
      <c r="H905" s="3"/>
      <c r="K905" s="3"/>
      <c r="M905" s="3"/>
      <c r="P905" s="3"/>
    </row>
    <row r="906" spans="8:16" x14ac:dyDescent="0.25">
      <c r="H906" s="3"/>
      <c r="K906" s="3"/>
      <c r="M906" s="3"/>
      <c r="P906" s="3"/>
    </row>
    <row r="907" spans="8:16" x14ac:dyDescent="0.25">
      <c r="H907" s="3"/>
      <c r="K907" s="3"/>
      <c r="M907" s="3"/>
      <c r="P907" s="3"/>
    </row>
    <row r="908" spans="8:16" x14ac:dyDescent="0.25">
      <c r="H908" s="3"/>
      <c r="K908" s="3"/>
      <c r="M908" s="3"/>
      <c r="P908" s="3"/>
    </row>
    <row r="909" spans="8:16" x14ac:dyDescent="0.25">
      <c r="H909" s="3"/>
      <c r="K909" s="3"/>
      <c r="M909" s="3"/>
      <c r="P909" s="3"/>
    </row>
    <row r="910" spans="8:16" x14ac:dyDescent="0.25">
      <c r="H910" s="3"/>
      <c r="K910" s="3"/>
      <c r="M910" s="3"/>
      <c r="P910" s="3"/>
    </row>
    <row r="911" spans="8:16" x14ac:dyDescent="0.25">
      <c r="H911" s="3"/>
      <c r="K911" s="3"/>
      <c r="M911" s="3"/>
      <c r="P911" s="3"/>
    </row>
    <row r="912" spans="8:16" x14ac:dyDescent="0.25">
      <c r="H912" s="3"/>
      <c r="K912" s="3"/>
      <c r="M912" s="3"/>
      <c r="P912" s="3"/>
    </row>
    <row r="913" spans="8:16" x14ac:dyDescent="0.25">
      <c r="H913" s="3"/>
      <c r="K913" s="3"/>
      <c r="M913" s="3"/>
      <c r="P913" s="3"/>
    </row>
    <row r="914" spans="8:16" x14ac:dyDescent="0.25">
      <c r="H914" s="3"/>
      <c r="K914" s="3"/>
      <c r="M914" s="3"/>
      <c r="P914" s="3"/>
    </row>
    <row r="915" spans="8:16" x14ac:dyDescent="0.25">
      <c r="H915" s="3"/>
      <c r="K915" s="3"/>
      <c r="M915" s="3"/>
      <c r="P915" s="3"/>
    </row>
    <row r="916" spans="8:16" x14ac:dyDescent="0.25">
      <c r="H916" s="3"/>
      <c r="K916" s="3"/>
      <c r="M916" s="3"/>
      <c r="P916" s="3"/>
    </row>
    <row r="917" spans="8:16" x14ac:dyDescent="0.25">
      <c r="H917" s="3"/>
      <c r="K917" s="3"/>
      <c r="M917" s="3"/>
      <c r="P917" s="3"/>
    </row>
    <row r="918" spans="8:16" x14ac:dyDescent="0.25">
      <c r="H918" s="3"/>
      <c r="K918" s="3"/>
      <c r="M918" s="3"/>
      <c r="P918" s="3"/>
    </row>
    <row r="919" spans="8:16" x14ac:dyDescent="0.25">
      <c r="H919" s="3"/>
      <c r="K919" s="3"/>
      <c r="M919" s="3"/>
      <c r="P919" s="3"/>
    </row>
    <row r="920" spans="8:16" x14ac:dyDescent="0.25">
      <c r="H920" s="3"/>
      <c r="K920" s="3"/>
      <c r="M920" s="3"/>
      <c r="P920" s="3"/>
    </row>
    <row r="921" spans="8:16" x14ac:dyDescent="0.25">
      <c r="H921" s="3"/>
      <c r="K921" s="3"/>
      <c r="M921" s="3"/>
      <c r="P921" s="3"/>
    </row>
    <row r="922" spans="8:16" x14ac:dyDescent="0.25">
      <c r="H922" s="3"/>
      <c r="K922" s="3"/>
      <c r="M922" s="3"/>
      <c r="P922" s="3"/>
    </row>
    <row r="923" spans="8:16" x14ac:dyDescent="0.25">
      <c r="H923" s="3"/>
      <c r="K923" s="3"/>
      <c r="M923" s="3"/>
      <c r="P923" s="3"/>
    </row>
    <row r="924" spans="8:16" x14ac:dyDescent="0.25">
      <c r="H924" s="3"/>
      <c r="K924" s="3"/>
      <c r="M924" s="3"/>
      <c r="P924" s="3"/>
    </row>
    <row r="925" spans="8:16" x14ac:dyDescent="0.25">
      <c r="H925" s="3"/>
      <c r="K925" s="3"/>
      <c r="M925" s="3"/>
      <c r="P925" s="3"/>
    </row>
    <row r="926" spans="8:16" x14ac:dyDescent="0.25">
      <c r="H926" s="3"/>
      <c r="K926" s="3"/>
      <c r="M926" s="3"/>
      <c r="P926" s="3"/>
    </row>
    <row r="927" spans="8:16" x14ac:dyDescent="0.25">
      <c r="H927" s="3"/>
      <c r="K927" s="3"/>
      <c r="M927" s="3"/>
      <c r="P927" s="3"/>
    </row>
    <row r="928" spans="8:16" x14ac:dyDescent="0.25">
      <c r="H928" s="3"/>
      <c r="K928" s="3"/>
      <c r="M928" s="3"/>
      <c r="P928" s="3"/>
    </row>
    <row r="929" spans="8:16" x14ac:dyDescent="0.25">
      <c r="H929" s="3"/>
      <c r="K929" s="3"/>
      <c r="M929" s="3"/>
      <c r="P929" s="3"/>
    </row>
    <row r="930" spans="8:16" x14ac:dyDescent="0.25">
      <c r="H930" s="3"/>
      <c r="K930" s="3"/>
      <c r="M930" s="3"/>
      <c r="P930" s="3"/>
    </row>
    <row r="931" spans="8:16" x14ac:dyDescent="0.25">
      <c r="H931" s="3"/>
      <c r="K931" s="3"/>
      <c r="M931" s="3"/>
      <c r="P931" s="3"/>
    </row>
    <row r="932" spans="8:16" x14ac:dyDescent="0.25">
      <c r="H932" s="3"/>
      <c r="K932" s="3"/>
      <c r="M932" s="3"/>
      <c r="P932" s="3"/>
    </row>
    <row r="933" spans="8:16" x14ac:dyDescent="0.25">
      <c r="H933" s="3"/>
      <c r="K933" s="3"/>
      <c r="M933" s="3"/>
      <c r="P933" s="3"/>
    </row>
    <row r="934" spans="8:16" x14ac:dyDescent="0.25">
      <c r="H934" s="3"/>
      <c r="K934" s="3"/>
      <c r="M934" s="3"/>
      <c r="P934" s="3"/>
    </row>
    <row r="935" spans="8:16" x14ac:dyDescent="0.25">
      <c r="H935" s="3"/>
      <c r="K935" s="3"/>
      <c r="M935" s="3"/>
      <c r="P935" s="3"/>
    </row>
    <row r="936" spans="8:16" x14ac:dyDescent="0.25">
      <c r="H936" s="3"/>
      <c r="K936" s="3"/>
      <c r="M936" s="3"/>
      <c r="P936" s="3"/>
    </row>
    <row r="937" spans="8:16" x14ac:dyDescent="0.25">
      <c r="H937" s="3"/>
      <c r="K937" s="3"/>
      <c r="M937" s="3"/>
      <c r="P937" s="3"/>
    </row>
    <row r="938" spans="8:16" x14ac:dyDescent="0.25">
      <c r="H938" s="3"/>
      <c r="K938" s="3"/>
      <c r="M938" s="3"/>
      <c r="P938" s="3"/>
    </row>
    <row r="939" spans="8:16" x14ac:dyDescent="0.25">
      <c r="H939" s="3"/>
      <c r="K939" s="3"/>
      <c r="M939" s="3"/>
      <c r="P939" s="3"/>
    </row>
    <row r="940" spans="8:16" x14ac:dyDescent="0.25">
      <c r="H940" s="3"/>
      <c r="K940" s="3"/>
      <c r="M940" s="3"/>
      <c r="P940" s="3"/>
    </row>
    <row r="941" spans="8:16" x14ac:dyDescent="0.25">
      <c r="H941" s="3"/>
      <c r="K941" s="3"/>
      <c r="M941" s="3"/>
      <c r="P941" s="3"/>
    </row>
    <row r="942" spans="8:16" x14ac:dyDescent="0.25">
      <c r="H942" s="3"/>
      <c r="K942" s="3"/>
      <c r="M942" s="3"/>
      <c r="P942" s="3"/>
    </row>
    <row r="943" spans="8:16" x14ac:dyDescent="0.25">
      <c r="H943" s="3"/>
      <c r="K943" s="3"/>
      <c r="M943" s="3"/>
      <c r="P943" s="3"/>
    </row>
    <row r="944" spans="8:16" x14ac:dyDescent="0.25">
      <c r="H944" s="3"/>
      <c r="K944" s="3"/>
      <c r="M944" s="3"/>
      <c r="P944" s="3"/>
    </row>
    <row r="945" spans="8:16" x14ac:dyDescent="0.25">
      <c r="H945" s="3"/>
      <c r="K945" s="3"/>
      <c r="M945" s="3"/>
      <c r="P945" s="3"/>
    </row>
    <row r="946" spans="8:16" x14ac:dyDescent="0.25">
      <c r="H946" s="3"/>
      <c r="K946" s="3"/>
      <c r="M946" s="3"/>
      <c r="P946" s="3"/>
    </row>
    <row r="947" spans="8:16" x14ac:dyDescent="0.25">
      <c r="H947" s="3"/>
      <c r="K947" s="3"/>
      <c r="M947" s="3"/>
      <c r="P947" s="3"/>
    </row>
    <row r="948" spans="8:16" x14ac:dyDescent="0.25">
      <c r="H948" s="3"/>
      <c r="K948" s="3"/>
      <c r="M948" s="3"/>
      <c r="P948" s="3"/>
    </row>
    <row r="949" spans="8:16" x14ac:dyDescent="0.25">
      <c r="H949" s="3"/>
      <c r="K949" s="3"/>
      <c r="M949" s="3"/>
      <c r="P949" s="3"/>
    </row>
    <row r="950" spans="8:16" x14ac:dyDescent="0.25">
      <c r="H950" s="3"/>
      <c r="K950" s="3"/>
      <c r="M950" s="3"/>
      <c r="P950" s="3"/>
    </row>
    <row r="951" spans="8:16" x14ac:dyDescent="0.25">
      <c r="H951" s="3"/>
      <c r="K951" s="3"/>
      <c r="M951" s="3"/>
      <c r="P951" s="3"/>
    </row>
    <row r="952" spans="8:16" x14ac:dyDescent="0.25">
      <c r="H952" s="3"/>
      <c r="K952" s="3"/>
      <c r="M952" s="3"/>
      <c r="P952" s="3"/>
    </row>
    <row r="953" spans="8:16" x14ac:dyDescent="0.25">
      <c r="H953" s="3"/>
      <c r="K953" s="3"/>
      <c r="M953" s="3"/>
      <c r="P953" s="3"/>
    </row>
    <row r="954" spans="8:16" x14ac:dyDescent="0.25">
      <c r="H954" s="3"/>
      <c r="K954" s="3"/>
      <c r="M954" s="3"/>
      <c r="P954" s="3"/>
    </row>
    <row r="955" spans="8:16" x14ac:dyDescent="0.25">
      <c r="H955" s="3"/>
      <c r="K955" s="3"/>
      <c r="M955" s="3"/>
      <c r="P955" s="3"/>
    </row>
    <row r="956" spans="8:16" x14ac:dyDescent="0.25">
      <c r="H956" s="3"/>
      <c r="K956" s="3"/>
      <c r="M956" s="3"/>
      <c r="P956" s="3"/>
    </row>
    <row r="957" spans="8:16" x14ac:dyDescent="0.25">
      <c r="H957" s="3"/>
      <c r="K957" s="3"/>
      <c r="M957" s="3"/>
      <c r="P957" s="3"/>
    </row>
    <row r="958" spans="8:16" x14ac:dyDescent="0.25">
      <c r="H958" s="3"/>
      <c r="K958" s="3"/>
      <c r="M958" s="3"/>
      <c r="P958" s="3"/>
    </row>
    <row r="959" spans="8:16" x14ac:dyDescent="0.25">
      <c r="H959" s="3"/>
      <c r="K959" s="3"/>
      <c r="M959" s="3"/>
      <c r="P959" s="3"/>
    </row>
    <row r="960" spans="8:16" x14ac:dyDescent="0.25">
      <c r="H960" s="3"/>
      <c r="K960" s="3"/>
      <c r="M960" s="3"/>
      <c r="P960" s="3"/>
    </row>
    <row r="961" spans="8:16" x14ac:dyDescent="0.25">
      <c r="H961" s="3"/>
      <c r="K961" s="3"/>
      <c r="M961" s="3"/>
      <c r="P961" s="3"/>
    </row>
    <row r="962" spans="8:16" x14ac:dyDescent="0.25">
      <c r="H962" s="3"/>
      <c r="K962" s="3"/>
      <c r="M962" s="3"/>
      <c r="P962" s="3"/>
    </row>
    <row r="963" spans="8:16" x14ac:dyDescent="0.25">
      <c r="H963" s="3"/>
      <c r="K963" s="3"/>
      <c r="M963" s="3"/>
      <c r="P963" s="3"/>
    </row>
    <row r="964" spans="8:16" x14ac:dyDescent="0.25">
      <c r="H964" s="3"/>
      <c r="K964" s="3"/>
      <c r="M964" s="3"/>
      <c r="P964" s="3"/>
    </row>
    <row r="965" spans="8:16" x14ac:dyDescent="0.25">
      <c r="H965" s="3"/>
      <c r="K965" s="3"/>
      <c r="M965" s="3"/>
      <c r="P965" s="3"/>
    </row>
    <row r="966" spans="8:16" x14ac:dyDescent="0.25">
      <c r="H966" s="3"/>
      <c r="K966" s="3"/>
      <c r="M966" s="3"/>
      <c r="P966" s="3"/>
    </row>
    <row r="967" spans="8:16" x14ac:dyDescent="0.25">
      <c r="H967" s="3"/>
      <c r="K967" s="3"/>
      <c r="M967" s="3"/>
      <c r="P967" s="3"/>
    </row>
    <row r="968" spans="8:16" x14ac:dyDescent="0.25">
      <c r="H968" s="3"/>
      <c r="K968" s="3"/>
      <c r="M968" s="3"/>
      <c r="P968" s="3"/>
    </row>
    <row r="969" spans="8:16" x14ac:dyDescent="0.25">
      <c r="H969" s="3"/>
      <c r="K969" s="3"/>
      <c r="M969" s="3"/>
      <c r="P969" s="3"/>
    </row>
    <row r="970" spans="8:16" x14ac:dyDescent="0.25">
      <c r="H970" s="3"/>
      <c r="K970" s="3"/>
      <c r="M970" s="3"/>
      <c r="P970" s="3"/>
    </row>
    <row r="971" spans="8:16" x14ac:dyDescent="0.25">
      <c r="H971" s="3"/>
      <c r="K971" s="3"/>
      <c r="M971" s="3"/>
      <c r="P971" s="3"/>
    </row>
    <row r="972" spans="8:16" x14ac:dyDescent="0.25">
      <c r="H972" s="3"/>
      <c r="K972" s="3"/>
      <c r="M972" s="3"/>
      <c r="P972" s="3"/>
    </row>
    <row r="973" spans="8:16" x14ac:dyDescent="0.25">
      <c r="H973" s="3"/>
      <c r="K973" s="3"/>
      <c r="M973" s="3"/>
      <c r="P973" s="3"/>
    </row>
    <row r="974" spans="8:16" x14ac:dyDescent="0.25">
      <c r="H974" s="3"/>
      <c r="K974" s="3"/>
      <c r="M974" s="3"/>
      <c r="P974" s="3"/>
    </row>
    <row r="975" spans="8:16" x14ac:dyDescent="0.25">
      <c r="H975" s="3"/>
      <c r="K975" s="3"/>
      <c r="M975" s="3"/>
      <c r="P975" s="3"/>
    </row>
    <row r="976" spans="8:16" x14ac:dyDescent="0.25">
      <c r="H976" s="3"/>
      <c r="K976" s="3"/>
      <c r="M976" s="3"/>
      <c r="P976" s="3"/>
    </row>
    <row r="977" spans="8:16" x14ac:dyDescent="0.25">
      <c r="H977" s="3"/>
      <c r="K977" s="3"/>
      <c r="M977" s="3"/>
      <c r="P977" s="3"/>
    </row>
    <row r="978" spans="8:16" x14ac:dyDescent="0.25">
      <c r="H978" s="3"/>
      <c r="K978" s="3"/>
      <c r="M978" s="3"/>
      <c r="P978" s="3"/>
    </row>
    <row r="979" spans="8:16" x14ac:dyDescent="0.25">
      <c r="H979" s="3"/>
      <c r="K979" s="3"/>
      <c r="M979" s="3"/>
      <c r="P979" s="3"/>
    </row>
    <row r="980" spans="8:16" x14ac:dyDescent="0.25">
      <c r="H980" s="3"/>
      <c r="K980" s="3"/>
      <c r="M980" s="3"/>
      <c r="P980" s="3"/>
    </row>
    <row r="981" spans="8:16" x14ac:dyDescent="0.25">
      <c r="H981" s="3"/>
      <c r="K981" s="3"/>
      <c r="M981" s="3"/>
      <c r="P981" s="3"/>
    </row>
    <row r="982" spans="8:16" x14ac:dyDescent="0.25">
      <c r="H982" s="3"/>
      <c r="K982" s="3"/>
      <c r="M982" s="3"/>
      <c r="P982" s="3"/>
    </row>
    <row r="983" spans="8:16" x14ac:dyDescent="0.25">
      <c r="H983" s="3"/>
      <c r="K983" s="3"/>
      <c r="M983" s="3"/>
      <c r="P983" s="3"/>
    </row>
    <row r="984" spans="8:16" x14ac:dyDescent="0.25">
      <c r="H984" s="3"/>
      <c r="K984" s="3"/>
      <c r="M984" s="3"/>
      <c r="P984" s="3"/>
    </row>
    <row r="985" spans="8:16" x14ac:dyDescent="0.25">
      <c r="H985" s="3"/>
      <c r="K985" s="3"/>
      <c r="M985" s="3"/>
      <c r="P985" s="3"/>
    </row>
    <row r="986" spans="8:16" x14ac:dyDescent="0.25">
      <c r="H986" s="3"/>
      <c r="K986" s="3"/>
      <c r="M986" s="3"/>
      <c r="P986" s="3"/>
    </row>
    <row r="987" spans="8:16" x14ac:dyDescent="0.25">
      <c r="H987" s="3"/>
      <c r="K987" s="3"/>
      <c r="M987" s="3"/>
      <c r="P987" s="3"/>
    </row>
    <row r="988" spans="8:16" x14ac:dyDescent="0.25">
      <c r="H988" s="3"/>
      <c r="K988" s="3"/>
      <c r="M988" s="3"/>
      <c r="P988" s="3"/>
    </row>
    <row r="989" spans="8:16" x14ac:dyDescent="0.25">
      <c r="H989" s="3"/>
      <c r="K989" s="3"/>
      <c r="M989" s="3"/>
      <c r="P989" s="3"/>
    </row>
    <row r="990" spans="8:16" x14ac:dyDescent="0.25">
      <c r="H990" s="3"/>
      <c r="K990" s="3"/>
      <c r="M990" s="3"/>
      <c r="P990" s="3"/>
    </row>
    <row r="991" spans="8:16" x14ac:dyDescent="0.25">
      <c r="H991" s="3"/>
      <c r="K991" s="3"/>
      <c r="M991" s="3"/>
      <c r="P991" s="3"/>
    </row>
    <row r="992" spans="8:16" x14ac:dyDescent="0.25">
      <c r="H992" s="3"/>
      <c r="K992" s="3"/>
      <c r="M992" s="3"/>
      <c r="P992" s="3"/>
    </row>
    <row r="993" spans="8:16" x14ac:dyDescent="0.25">
      <c r="H993" s="3"/>
      <c r="K993" s="3"/>
      <c r="M993" s="3"/>
      <c r="P993" s="3"/>
    </row>
    <row r="994" spans="8:16" x14ac:dyDescent="0.25">
      <c r="H994" s="3"/>
      <c r="K994" s="3"/>
      <c r="M994" s="3"/>
      <c r="P994" s="3"/>
    </row>
    <row r="995" spans="8:16" x14ac:dyDescent="0.25">
      <c r="H995" s="3"/>
      <c r="K995" s="3"/>
      <c r="M995" s="3"/>
      <c r="P995" s="3"/>
    </row>
    <row r="996" spans="8:16" x14ac:dyDescent="0.25">
      <c r="H996" s="3"/>
      <c r="K996" s="3"/>
      <c r="M996" s="3"/>
      <c r="P996" s="3"/>
    </row>
    <row r="997" spans="8:16" x14ac:dyDescent="0.25">
      <c r="H997" s="3"/>
      <c r="K997" s="3"/>
      <c r="M997" s="3"/>
      <c r="P997" s="3"/>
    </row>
    <row r="998" spans="8:16" x14ac:dyDescent="0.25">
      <c r="H998" s="3"/>
      <c r="K998" s="3"/>
      <c r="M998" s="3"/>
      <c r="P998" s="3"/>
    </row>
    <row r="999" spans="8:16" x14ac:dyDescent="0.25">
      <c r="H999" s="3"/>
      <c r="K999" s="3"/>
      <c r="M999" s="3"/>
      <c r="P999" s="3"/>
    </row>
    <row r="1000" spans="8:16" x14ac:dyDescent="0.25">
      <c r="H1000" s="3"/>
      <c r="K1000" s="3"/>
      <c r="M1000" s="3"/>
      <c r="P1000" s="3"/>
    </row>
    <row r="1001" spans="8:16" x14ac:dyDescent="0.25">
      <c r="H1001" s="3"/>
      <c r="K1001" s="3"/>
      <c r="M1001" s="3"/>
      <c r="P1001" s="3"/>
    </row>
    <row r="1002" spans="8:16" x14ac:dyDescent="0.25">
      <c r="H1002" s="3"/>
      <c r="K1002" s="3"/>
      <c r="M1002" s="3"/>
      <c r="P1002" s="3"/>
    </row>
    <row r="1003" spans="8:16" x14ac:dyDescent="0.25">
      <c r="H1003" s="3"/>
      <c r="K1003" s="3"/>
      <c r="M1003" s="3"/>
      <c r="P1003" s="3"/>
    </row>
    <row r="1004" spans="8:16" x14ac:dyDescent="0.25">
      <c r="H1004" s="3"/>
      <c r="K1004" s="3"/>
      <c r="M1004" s="3"/>
      <c r="P1004" s="3"/>
    </row>
    <row r="1005" spans="8:16" x14ac:dyDescent="0.25">
      <c r="H1005" s="3"/>
      <c r="K1005" s="3"/>
      <c r="M1005" s="3"/>
      <c r="P1005" s="3"/>
    </row>
    <row r="1006" spans="8:16" x14ac:dyDescent="0.25">
      <c r="H1006" s="3"/>
      <c r="K1006" s="3"/>
      <c r="M1006" s="3"/>
      <c r="P1006" s="3"/>
    </row>
    <row r="1007" spans="8:16" x14ac:dyDescent="0.25">
      <c r="H1007" s="3"/>
      <c r="K1007" s="3"/>
      <c r="M1007" s="3"/>
      <c r="P1007" s="3"/>
    </row>
    <row r="1008" spans="8:16" x14ac:dyDescent="0.25">
      <c r="H1008" s="3"/>
      <c r="K1008" s="3"/>
      <c r="M1008" s="3"/>
      <c r="P1008" s="3"/>
    </row>
    <row r="1009" spans="8:16" x14ac:dyDescent="0.25">
      <c r="H1009" s="3"/>
      <c r="K1009" s="3"/>
      <c r="M1009" s="3"/>
      <c r="P1009" s="3"/>
    </row>
    <row r="1010" spans="8:16" x14ac:dyDescent="0.25">
      <c r="H1010" s="3"/>
      <c r="K1010" s="3"/>
      <c r="M1010" s="3"/>
      <c r="P1010" s="3"/>
    </row>
    <row r="1011" spans="8:16" x14ac:dyDescent="0.25">
      <c r="H1011" s="3"/>
      <c r="K1011" s="3"/>
      <c r="M1011" s="3"/>
      <c r="P1011" s="3"/>
    </row>
    <row r="1012" spans="8:16" x14ac:dyDescent="0.25">
      <c r="H1012" s="3"/>
      <c r="K1012" s="3"/>
      <c r="M1012" s="3"/>
      <c r="P1012" s="3"/>
    </row>
    <row r="1013" spans="8:16" x14ac:dyDescent="0.25">
      <c r="H1013" s="3"/>
      <c r="K1013" s="3"/>
      <c r="M1013" s="3"/>
      <c r="P1013" s="3"/>
    </row>
    <row r="1014" spans="8:16" x14ac:dyDescent="0.25">
      <c r="H1014" s="3"/>
      <c r="K1014" s="3"/>
      <c r="M1014" s="3"/>
      <c r="P1014" s="3"/>
    </row>
    <row r="1015" spans="8:16" x14ac:dyDescent="0.25">
      <c r="H1015" s="3"/>
      <c r="K1015" s="3"/>
      <c r="M1015" s="3"/>
      <c r="P1015" s="3"/>
    </row>
    <row r="1016" spans="8:16" x14ac:dyDescent="0.25">
      <c r="H1016" s="3"/>
      <c r="K1016" s="3"/>
      <c r="M1016" s="3"/>
      <c r="P1016" s="3"/>
    </row>
    <row r="1017" spans="8:16" x14ac:dyDescent="0.25">
      <c r="H1017" s="3"/>
      <c r="K1017" s="3"/>
      <c r="M1017" s="3"/>
      <c r="P1017" s="3"/>
    </row>
    <row r="1018" spans="8:16" x14ac:dyDescent="0.25">
      <c r="H1018" s="3"/>
      <c r="K1018" s="3"/>
      <c r="M1018" s="3"/>
      <c r="P1018" s="3"/>
    </row>
    <row r="1019" spans="8:16" x14ac:dyDescent="0.25">
      <c r="H1019" s="3"/>
      <c r="K1019" s="3"/>
      <c r="M1019" s="3"/>
      <c r="P1019" s="3"/>
    </row>
    <row r="1020" spans="8:16" x14ac:dyDescent="0.25">
      <c r="H1020" s="3"/>
      <c r="K1020" s="3"/>
      <c r="M1020" s="3"/>
      <c r="P1020" s="3"/>
    </row>
    <row r="1021" spans="8:16" x14ac:dyDescent="0.25">
      <c r="H1021" s="3"/>
      <c r="K1021" s="3"/>
      <c r="M1021" s="3"/>
      <c r="P1021" s="3"/>
    </row>
    <row r="1022" spans="8:16" x14ac:dyDescent="0.25">
      <c r="H1022" s="3"/>
      <c r="K1022" s="3"/>
      <c r="M1022" s="3"/>
      <c r="P1022" s="3"/>
    </row>
    <row r="1023" spans="8:16" x14ac:dyDescent="0.25">
      <c r="H1023" s="3"/>
      <c r="K1023" s="3"/>
      <c r="M1023" s="3"/>
      <c r="P1023" s="3"/>
    </row>
    <row r="1024" spans="8:16" x14ac:dyDescent="0.25">
      <c r="H1024" s="3"/>
      <c r="K1024" s="3"/>
      <c r="M1024" s="3"/>
      <c r="P1024" s="3"/>
    </row>
    <row r="1025" spans="8:16" x14ac:dyDescent="0.25">
      <c r="H1025" s="3"/>
      <c r="K1025" s="3"/>
      <c r="M1025" s="3"/>
      <c r="P1025" s="3"/>
    </row>
    <row r="1026" spans="8:16" x14ac:dyDescent="0.25">
      <c r="H1026" s="3"/>
      <c r="K1026" s="3"/>
      <c r="M1026" s="3"/>
      <c r="P1026" s="3"/>
    </row>
    <row r="1027" spans="8:16" x14ac:dyDescent="0.25">
      <c r="H1027" s="3"/>
      <c r="K1027" s="3"/>
      <c r="M1027" s="3"/>
      <c r="P1027" s="3"/>
    </row>
    <row r="1028" spans="8:16" x14ac:dyDescent="0.25">
      <c r="H1028" s="3"/>
      <c r="K1028" s="3"/>
      <c r="M1028" s="3"/>
      <c r="P1028" s="3"/>
    </row>
    <row r="1029" spans="8:16" x14ac:dyDescent="0.25">
      <c r="H1029" s="3"/>
      <c r="K1029" s="3"/>
      <c r="M1029" s="3"/>
      <c r="P1029" s="3"/>
    </row>
    <row r="1030" spans="8:16" x14ac:dyDescent="0.25">
      <c r="H1030" s="3"/>
      <c r="K1030" s="3"/>
      <c r="M1030" s="3"/>
      <c r="P1030" s="3"/>
    </row>
    <row r="1031" spans="8:16" x14ac:dyDescent="0.25">
      <c r="H1031" s="3"/>
      <c r="K1031" s="3"/>
      <c r="M1031" s="3"/>
      <c r="P1031" s="3"/>
    </row>
    <row r="1032" spans="8:16" x14ac:dyDescent="0.25">
      <c r="H1032" s="3"/>
      <c r="K1032" s="3"/>
      <c r="M1032" s="3"/>
      <c r="P1032" s="3"/>
    </row>
    <row r="1033" spans="8:16" x14ac:dyDescent="0.25">
      <c r="H1033" s="3"/>
      <c r="K1033" s="3"/>
      <c r="M1033" s="3"/>
      <c r="P1033" s="3"/>
    </row>
    <row r="1034" spans="8:16" x14ac:dyDescent="0.25">
      <c r="H1034" s="3"/>
      <c r="K1034" s="3"/>
      <c r="M1034" s="3"/>
      <c r="P1034" s="3"/>
    </row>
    <row r="1035" spans="8:16" x14ac:dyDescent="0.25">
      <c r="H1035" s="3"/>
      <c r="K1035" s="3"/>
      <c r="M1035" s="3"/>
      <c r="P1035" s="3"/>
    </row>
    <row r="1036" spans="8:16" x14ac:dyDescent="0.25">
      <c r="H1036" s="3"/>
      <c r="K1036" s="3"/>
      <c r="M1036" s="3"/>
      <c r="P1036" s="3"/>
    </row>
    <row r="1037" spans="8:16" x14ac:dyDescent="0.25">
      <c r="H1037" s="3"/>
      <c r="K1037" s="3"/>
      <c r="M1037" s="3"/>
      <c r="P1037" s="3"/>
    </row>
    <row r="1038" spans="8:16" x14ac:dyDescent="0.25">
      <c r="H1038" s="3"/>
      <c r="K1038" s="3"/>
      <c r="M1038" s="3"/>
      <c r="P1038" s="3"/>
    </row>
    <row r="1039" spans="8:16" x14ac:dyDescent="0.25">
      <c r="H1039" s="3"/>
      <c r="K1039" s="3"/>
      <c r="M1039" s="3"/>
      <c r="P1039" s="3"/>
    </row>
    <row r="1040" spans="8:16" x14ac:dyDescent="0.25">
      <c r="H1040" s="3"/>
      <c r="K1040" s="3"/>
      <c r="M1040" s="3"/>
      <c r="P1040" s="3"/>
    </row>
    <row r="1041" spans="8:16" x14ac:dyDescent="0.25">
      <c r="H1041" s="3"/>
      <c r="K1041" s="3"/>
      <c r="M1041" s="3"/>
      <c r="P1041" s="3"/>
    </row>
    <row r="1042" spans="8:16" x14ac:dyDescent="0.25">
      <c r="H1042" s="3"/>
      <c r="K1042" s="3"/>
      <c r="M1042" s="3"/>
      <c r="P1042" s="3"/>
    </row>
    <row r="1043" spans="8:16" x14ac:dyDescent="0.25">
      <c r="H1043" s="3"/>
      <c r="K1043" s="3"/>
      <c r="M1043" s="3"/>
      <c r="P1043" s="3"/>
    </row>
    <row r="1044" spans="8:16" x14ac:dyDescent="0.25">
      <c r="H1044" s="3"/>
      <c r="K1044" s="3"/>
      <c r="M1044" s="3"/>
      <c r="P1044" s="3"/>
    </row>
    <row r="1045" spans="8:16" x14ac:dyDescent="0.25">
      <c r="H1045" s="3"/>
      <c r="K1045" s="3"/>
      <c r="M1045" s="3"/>
      <c r="P1045" s="3"/>
    </row>
    <row r="1046" spans="8:16" x14ac:dyDescent="0.25">
      <c r="H1046" s="3"/>
      <c r="K1046" s="3"/>
      <c r="M1046" s="3"/>
      <c r="P1046" s="3"/>
    </row>
    <row r="1047" spans="8:16" x14ac:dyDescent="0.25">
      <c r="H1047" s="3"/>
      <c r="K1047" s="3"/>
      <c r="M1047" s="3"/>
      <c r="P1047" s="3"/>
    </row>
    <row r="1048" spans="8:16" x14ac:dyDescent="0.25">
      <c r="H1048" s="3"/>
      <c r="K1048" s="3"/>
      <c r="M1048" s="3"/>
      <c r="P1048" s="3"/>
    </row>
    <row r="1049" spans="8:16" x14ac:dyDescent="0.25">
      <c r="H1049" s="3"/>
      <c r="K1049" s="3"/>
      <c r="M1049" s="3"/>
      <c r="P1049" s="3"/>
    </row>
    <row r="1050" spans="8:16" x14ac:dyDescent="0.25">
      <c r="H1050" s="3"/>
      <c r="K1050" s="3"/>
      <c r="M1050" s="3"/>
      <c r="P1050" s="3"/>
    </row>
    <row r="1051" spans="8:16" x14ac:dyDescent="0.25">
      <c r="H1051" s="3"/>
      <c r="K1051" s="3"/>
      <c r="M1051" s="3"/>
      <c r="P1051" s="3"/>
    </row>
    <row r="1052" spans="8:16" x14ac:dyDescent="0.25">
      <c r="H1052" s="3"/>
      <c r="K1052" s="3"/>
      <c r="M1052" s="3"/>
      <c r="P1052" s="3"/>
    </row>
    <row r="1053" spans="8:16" x14ac:dyDescent="0.25">
      <c r="H1053" s="3"/>
      <c r="K1053" s="3"/>
      <c r="M1053" s="3"/>
      <c r="P1053" s="3"/>
    </row>
    <row r="1054" spans="8:16" x14ac:dyDescent="0.25">
      <c r="H1054" s="3"/>
      <c r="K1054" s="3"/>
      <c r="M1054" s="3"/>
      <c r="P1054" s="3"/>
    </row>
    <row r="1055" spans="8:16" x14ac:dyDescent="0.25">
      <c r="H1055" s="3"/>
      <c r="K1055" s="3"/>
      <c r="M1055" s="3"/>
      <c r="P1055" s="3"/>
    </row>
    <row r="1056" spans="8:16" x14ac:dyDescent="0.25">
      <c r="H1056" s="3"/>
      <c r="K1056" s="3"/>
      <c r="M1056" s="3"/>
      <c r="P1056" s="3"/>
    </row>
    <row r="1057" spans="8:16" x14ac:dyDescent="0.25">
      <c r="H1057" s="3"/>
      <c r="K1057" s="3"/>
      <c r="M1057" s="3"/>
      <c r="P1057" s="3"/>
    </row>
    <row r="1058" spans="8:16" x14ac:dyDescent="0.25">
      <c r="H1058" s="3"/>
      <c r="K1058" s="3"/>
      <c r="M1058" s="3"/>
      <c r="P1058" s="3"/>
    </row>
    <row r="1059" spans="8:16" x14ac:dyDescent="0.25">
      <c r="H1059" s="3"/>
      <c r="K1059" s="3"/>
      <c r="M1059" s="3"/>
      <c r="P1059" s="3"/>
    </row>
    <row r="1060" spans="8:16" x14ac:dyDescent="0.25">
      <c r="H1060" s="3"/>
      <c r="K1060" s="3"/>
      <c r="M1060" s="3"/>
      <c r="P1060" s="3"/>
    </row>
    <row r="1061" spans="8:16" x14ac:dyDescent="0.25">
      <c r="H1061" s="3"/>
      <c r="K1061" s="3"/>
      <c r="M1061" s="3"/>
      <c r="P1061" s="3"/>
    </row>
    <row r="1062" spans="8:16" x14ac:dyDescent="0.25">
      <c r="H1062" s="3"/>
      <c r="K1062" s="3"/>
      <c r="M1062" s="3"/>
      <c r="P1062" s="3"/>
    </row>
    <row r="1063" spans="8:16" x14ac:dyDescent="0.25">
      <c r="H1063" s="3"/>
      <c r="K1063" s="3"/>
      <c r="M1063" s="3"/>
      <c r="P1063" s="3"/>
    </row>
    <row r="1064" spans="8:16" x14ac:dyDescent="0.25">
      <c r="H1064" s="3"/>
      <c r="K1064" s="3"/>
      <c r="M1064" s="3"/>
      <c r="P1064" s="3"/>
    </row>
    <row r="1065" spans="8:16" x14ac:dyDescent="0.25">
      <c r="H1065" s="3"/>
      <c r="K1065" s="3"/>
      <c r="M1065" s="3"/>
      <c r="P1065" s="3"/>
    </row>
    <row r="1066" spans="8:16" x14ac:dyDescent="0.25">
      <c r="H1066" s="3"/>
      <c r="K1066" s="3"/>
      <c r="M1066" s="3"/>
      <c r="P1066" s="3"/>
    </row>
    <row r="1067" spans="8:16" x14ac:dyDescent="0.25">
      <c r="H1067" s="3"/>
      <c r="K1067" s="3"/>
      <c r="M1067" s="3"/>
      <c r="P1067" s="3"/>
    </row>
    <row r="1068" spans="8:16" x14ac:dyDescent="0.25">
      <c r="H1068" s="3"/>
      <c r="K1068" s="3"/>
      <c r="M1068" s="3"/>
      <c r="P1068" s="3"/>
    </row>
    <row r="1069" spans="8:16" x14ac:dyDescent="0.25">
      <c r="H1069" s="3"/>
      <c r="K1069" s="3"/>
      <c r="M1069" s="3"/>
      <c r="P1069" s="3"/>
    </row>
    <row r="1070" spans="8:16" x14ac:dyDescent="0.25">
      <c r="H1070" s="3"/>
      <c r="K1070" s="3"/>
      <c r="M1070" s="3"/>
      <c r="P1070" s="3"/>
    </row>
    <row r="1071" spans="8:16" x14ac:dyDescent="0.25">
      <c r="H1071" s="3"/>
      <c r="K1071" s="3"/>
      <c r="M1071" s="3"/>
      <c r="P1071" s="3"/>
    </row>
    <row r="1072" spans="8:16" x14ac:dyDescent="0.25">
      <c r="H1072" s="3"/>
      <c r="K1072" s="3"/>
      <c r="M1072" s="3"/>
      <c r="P1072" s="3"/>
    </row>
    <row r="1073" spans="8:16" x14ac:dyDescent="0.25">
      <c r="H1073" s="3"/>
      <c r="K1073" s="3"/>
      <c r="M1073" s="3"/>
      <c r="P1073" s="3"/>
    </row>
    <row r="1074" spans="8:16" x14ac:dyDescent="0.25">
      <c r="H1074" s="3"/>
      <c r="K1074" s="3"/>
      <c r="M1074" s="3"/>
      <c r="P1074" s="3"/>
    </row>
    <row r="1075" spans="8:16" x14ac:dyDescent="0.25">
      <c r="H1075" s="3"/>
      <c r="K1075" s="3"/>
      <c r="M1075" s="3"/>
      <c r="P1075" s="3"/>
    </row>
    <row r="1076" spans="8:16" x14ac:dyDescent="0.25">
      <c r="H1076" s="3"/>
      <c r="K1076" s="3"/>
      <c r="M1076" s="3"/>
      <c r="P1076" s="3"/>
    </row>
    <row r="1077" spans="8:16" x14ac:dyDescent="0.25">
      <c r="H1077" s="3"/>
      <c r="K1077" s="3"/>
      <c r="M1077" s="3"/>
      <c r="P1077" s="3"/>
    </row>
    <row r="1078" spans="8:16" x14ac:dyDescent="0.25">
      <c r="H1078" s="3"/>
      <c r="K1078" s="3"/>
      <c r="M1078" s="3"/>
      <c r="P1078" s="3"/>
    </row>
    <row r="1079" spans="8:16" x14ac:dyDescent="0.25">
      <c r="H1079" s="3"/>
      <c r="K1079" s="3"/>
      <c r="M1079" s="3"/>
      <c r="P1079" s="3"/>
    </row>
    <row r="1080" spans="8:16" x14ac:dyDescent="0.25">
      <c r="H1080" s="3"/>
      <c r="K1080" s="3"/>
      <c r="M1080" s="3"/>
      <c r="P1080" s="3"/>
    </row>
    <row r="1081" spans="8:16" x14ac:dyDescent="0.25">
      <c r="H1081" s="3"/>
      <c r="K1081" s="3"/>
      <c r="M1081" s="3"/>
      <c r="P1081" s="3"/>
    </row>
    <row r="1082" spans="8:16" x14ac:dyDescent="0.25">
      <c r="H1082" s="3"/>
      <c r="K1082" s="3"/>
      <c r="M1082" s="3"/>
      <c r="P1082" s="3"/>
    </row>
    <row r="1083" spans="8:16" x14ac:dyDescent="0.25">
      <c r="H1083" s="3"/>
      <c r="K1083" s="3"/>
      <c r="M1083" s="3"/>
      <c r="P1083" s="3"/>
    </row>
    <row r="1084" spans="8:16" x14ac:dyDescent="0.25">
      <c r="H1084" s="3"/>
      <c r="K1084" s="3"/>
      <c r="M1084" s="3"/>
      <c r="P1084" s="3"/>
    </row>
    <row r="1085" spans="8:16" x14ac:dyDescent="0.25">
      <c r="H1085" s="3"/>
      <c r="K1085" s="3"/>
      <c r="M1085" s="3"/>
      <c r="P1085" s="3"/>
    </row>
    <row r="1086" spans="8:16" x14ac:dyDescent="0.25">
      <c r="H1086" s="3"/>
      <c r="K1086" s="3"/>
      <c r="M1086" s="3"/>
      <c r="P1086" s="3"/>
    </row>
    <row r="1087" spans="8:16" x14ac:dyDescent="0.25">
      <c r="H1087" s="3"/>
      <c r="K1087" s="3"/>
      <c r="M1087" s="3"/>
      <c r="P1087" s="3"/>
    </row>
    <row r="1088" spans="8:16" x14ac:dyDescent="0.25">
      <c r="H1088" s="3"/>
      <c r="K1088" s="3"/>
      <c r="M1088" s="3"/>
      <c r="P1088" s="3"/>
    </row>
    <row r="1089" spans="8:16" x14ac:dyDescent="0.25">
      <c r="H1089" s="3"/>
      <c r="K1089" s="3"/>
      <c r="M1089" s="3"/>
      <c r="P1089" s="3"/>
    </row>
    <row r="1090" spans="8:16" x14ac:dyDescent="0.25">
      <c r="H1090" s="3"/>
      <c r="K1090" s="3"/>
      <c r="M1090" s="3"/>
      <c r="P1090" s="3"/>
    </row>
    <row r="1091" spans="8:16" x14ac:dyDescent="0.25">
      <c r="H1091" s="3"/>
      <c r="K1091" s="3"/>
      <c r="M1091" s="3"/>
      <c r="P1091" s="3"/>
    </row>
    <row r="1092" spans="8:16" x14ac:dyDescent="0.25">
      <c r="H1092" s="3"/>
      <c r="K1092" s="3"/>
      <c r="M1092" s="3"/>
      <c r="P1092" s="3"/>
    </row>
    <row r="1093" spans="8:16" x14ac:dyDescent="0.25">
      <c r="H1093" s="3"/>
      <c r="K1093" s="3"/>
      <c r="M1093" s="3"/>
      <c r="P1093" s="3"/>
    </row>
    <row r="1094" spans="8:16" x14ac:dyDescent="0.25">
      <c r="H1094" s="3"/>
      <c r="K1094" s="3"/>
      <c r="M1094" s="3"/>
      <c r="P1094" s="3"/>
    </row>
    <row r="1095" spans="8:16" x14ac:dyDescent="0.25">
      <c r="H1095" s="3"/>
      <c r="K1095" s="3"/>
      <c r="M1095" s="3"/>
      <c r="P1095" s="3"/>
    </row>
    <row r="1096" spans="8:16" x14ac:dyDescent="0.25">
      <c r="H1096" s="3"/>
      <c r="K1096" s="3"/>
      <c r="M1096" s="3"/>
      <c r="P1096" s="3"/>
    </row>
    <row r="1097" spans="8:16" x14ac:dyDescent="0.25">
      <c r="H1097" s="3"/>
      <c r="K1097" s="3"/>
      <c r="M1097" s="3"/>
      <c r="P1097" s="3"/>
    </row>
    <row r="1098" spans="8:16" x14ac:dyDescent="0.25">
      <c r="H1098" s="3"/>
      <c r="K1098" s="3"/>
      <c r="M1098" s="3"/>
      <c r="P1098" s="3"/>
    </row>
    <row r="1099" spans="8:16" x14ac:dyDescent="0.25">
      <c r="H1099" s="3"/>
      <c r="K1099" s="3"/>
      <c r="M1099" s="3"/>
      <c r="P1099" s="3"/>
    </row>
    <row r="1100" spans="8:16" x14ac:dyDescent="0.25">
      <c r="H1100" s="3"/>
      <c r="K1100" s="3"/>
      <c r="M1100" s="3"/>
      <c r="P1100" s="3"/>
    </row>
    <row r="1101" spans="8:16" x14ac:dyDescent="0.25">
      <c r="H1101" s="3"/>
      <c r="K1101" s="3"/>
      <c r="M1101" s="3"/>
      <c r="P1101" s="3"/>
    </row>
    <row r="1102" spans="8:16" x14ac:dyDescent="0.25">
      <c r="H1102" s="3"/>
      <c r="K1102" s="3"/>
      <c r="M1102" s="3"/>
      <c r="P1102" s="3"/>
    </row>
    <row r="1103" spans="8:16" x14ac:dyDescent="0.25">
      <c r="H1103" s="3"/>
      <c r="K1103" s="3"/>
      <c r="M1103" s="3"/>
      <c r="P1103" s="3"/>
    </row>
    <row r="1104" spans="8:16" x14ac:dyDescent="0.25">
      <c r="H1104" s="3"/>
      <c r="K1104" s="3"/>
      <c r="M1104" s="3"/>
      <c r="P1104" s="3"/>
    </row>
    <row r="1105" spans="8:16" x14ac:dyDescent="0.25">
      <c r="H1105" s="3"/>
      <c r="K1105" s="3"/>
      <c r="M1105" s="3"/>
      <c r="P1105" s="3"/>
    </row>
    <row r="1106" spans="8:16" x14ac:dyDescent="0.25">
      <c r="H1106" s="3"/>
      <c r="K1106" s="3"/>
      <c r="M1106" s="3"/>
      <c r="P1106" s="3"/>
    </row>
    <row r="1107" spans="8:16" x14ac:dyDescent="0.25">
      <c r="H1107" s="3"/>
      <c r="K1107" s="3"/>
      <c r="M1107" s="3"/>
      <c r="P1107" s="3"/>
    </row>
    <row r="1108" spans="8:16" x14ac:dyDescent="0.25">
      <c r="H1108" s="3"/>
      <c r="K1108" s="3"/>
      <c r="M1108" s="3"/>
      <c r="P1108" s="3"/>
    </row>
    <row r="1109" spans="8:16" x14ac:dyDescent="0.25">
      <c r="H1109" s="3"/>
      <c r="K1109" s="3"/>
      <c r="M1109" s="3"/>
      <c r="P1109" s="3"/>
    </row>
    <row r="1110" spans="8:16" x14ac:dyDescent="0.25">
      <c r="H1110" s="3"/>
      <c r="K1110" s="3"/>
      <c r="M1110" s="3"/>
      <c r="P1110" s="3"/>
    </row>
    <row r="1111" spans="8:16" x14ac:dyDescent="0.25">
      <c r="H1111" s="3"/>
      <c r="K1111" s="3"/>
      <c r="M1111" s="3"/>
      <c r="P1111" s="3"/>
    </row>
    <row r="1112" spans="8:16" x14ac:dyDescent="0.25">
      <c r="H1112" s="3"/>
      <c r="K1112" s="3"/>
      <c r="M1112" s="3"/>
      <c r="P1112" s="3"/>
    </row>
    <row r="1113" spans="8:16" x14ac:dyDescent="0.25">
      <c r="H1113" s="3"/>
      <c r="K1113" s="3"/>
      <c r="M1113" s="3"/>
      <c r="P1113" s="3"/>
    </row>
    <row r="1114" spans="8:16" x14ac:dyDescent="0.25">
      <c r="H1114" s="3"/>
      <c r="K1114" s="3"/>
      <c r="M1114" s="3"/>
      <c r="P1114" s="3"/>
    </row>
    <row r="1115" spans="8:16" x14ac:dyDescent="0.25">
      <c r="H1115" s="3"/>
      <c r="K1115" s="3"/>
      <c r="M1115" s="3"/>
      <c r="P1115" s="3"/>
    </row>
    <row r="1116" spans="8:16" x14ac:dyDescent="0.25">
      <c r="H1116" s="3"/>
      <c r="K1116" s="3"/>
      <c r="M1116" s="3"/>
      <c r="P1116" s="3"/>
    </row>
    <row r="1117" spans="8:16" x14ac:dyDescent="0.25">
      <c r="H1117" s="3"/>
      <c r="K1117" s="3"/>
      <c r="M1117" s="3"/>
      <c r="P1117" s="3"/>
    </row>
    <row r="1118" spans="8:16" x14ac:dyDescent="0.25">
      <c r="H1118" s="3"/>
      <c r="K1118" s="3"/>
      <c r="M1118" s="3"/>
      <c r="P1118" s="3"/>
    </row>
    <row r="1119" spans="8:16" x14ac:dyDescent="0.25">
      <c r="H1119" s="3"/>
      <c r="K1119" s="3"/>
      <c r="M1119" s="3"/>
      <c r="P1119" s="3"/>
    </row>
    <row r="1120" spans="8:16" x14ac:dyDescent="0.25">
      <c r="H1120" s="3"/>
      <c r="K1120" s="3"/>
      <c r="M1120" s="3"/>
      <c r="P1120" s="3"/>
    </row>
    <row r="1121" spans="8:16" x14ac:dyDescent="0.25">
      <c r="H1121" s="3"/>
      <c r="K1121" s="3"/>
      <c r="M1121" s="3"/>
      <c r="P1121" s="3"/>
    </row>
    <row r="1122" spans="8:16" x14ac:dyDescent="0.25">
      <c r="H1122" s="3"/>
      <c r="K1122" s="3"/>
      <c r="M1122" s="3"/>
      <c r="P1122" s="3"/>
    </row>
    <row r="1123" spans="8:16" x14ac:dyDescent="0.25">
      <c r="H1123" s="3"/>
      <c r="K1123" s="3"/>
      <c r="M1123" s="3"/>
      <c r="P1123" s="3"/>
    </row>
    <row r="1124" spans="8:16" x14ac:dyDescent="0.25">
      <c r="H1124" s="3"/>
      <c r="K1124" s="3"/>
      <c r="M1124" s="3"/>
      <c r="P1124" s="3"/>
    </row>
    <row r="1125" spans="8:16" x14ac:dyDescent="0.25">
      <c r="H1125" s="3"/>
      <c r="K1125" s="3"/>
      <c r="M1125" s="3"/>
      <c r="P1125" s="3"/>
    </row>
    <row r="1126" spans="8:16" x14ac:dyDescent="0.25">
      <c r="H1126" s="3"/>
      <c r="K1126" s="3"/>
      <c r="M1126" s="3"/>
      <c r="P1126" s="3"/>
    </row>
    <row r="1127" spans="8:16" x14ac:dyDescent="0.25">
      <c r="H1127" s="3"/>
      <c r="K1127" s="3"/>
      <c r="M1127" s="3"/>
      <c r="P1127" s="3"/>
    </row>
    <row r="1128" spans="8:16" x14ac:dyDescent="0.25">
      <c r="H1128" s="3"/>
      <c r="K1128" s="3"/>
      <c r="M1128" s="3"/>
      <c r="P1128" s="3"/>
    </row>
    <row r="1129" spans="8:16" x14ac:dyDescent="0.25">
      <c r="H1129" s="3"/>
      <c r="K1129" s="3"/>
      <c r="M1129" s="3"/>
      <c r="P1129" s="3"/>
    </row>
    <row r="1130" spans="8:16" x14ac:dyDescent="0.25">
      <c r="H1130" s="3"/>
      <c r="K1130" s="3"/>
      <c r="M1130" s="3"/>
      <c r="P1130" s="3"/>
    </row>
    <row r="1131" spans="8:16" x14ac:dyDescent="0.25">
      <c r="H1131" s="3"/>
      <c r="K1131" s="3"/>
      <c r="M1131" s="3"/>
      <c r="P1131" s="3"/>
    </row>
    <row r="1132" spans="8:16" x14ac:dyDescent="0.25">
      <c r="H1132" s="3"/>
      <c r="K1132" s="3"/>
      <c r="M1132" s="3"/>
      <c r="P1132" s="3"/>
    </row>
    <row r="1133" spans="8:16" x14ac:dyDescent="0.25">
      <c r="H1133" s="3"/>
      <c r="K1133" s="3"/>
      <c r="M1133" s="3"/>
      <c r="P1133" s="3"/>
    </row>
    <row r="1134" spans="8:16" x14ac:dyDescent="0.25">
      <c r="H1134" s="3"/>
      <c r="K1134" s="3"/>
      <c r="M1134" s="3"/>
      <c r="P1134" s="3"/>
    </row>
    <row r="1135" spans="8:16" x14ac:dyDescent="0.25">
      <c r="H1135" s="3"/>
      <c r="K1135" s="3"/>
      <c r="M1135" s="3"/>
      <c r="P1135" s="3"/>
    </row>
    <row r="1136" spans="8:16" x14ac:dyDescent="0.25">
      <c r="H1136" s="3"/>
      <c r="K1136" s="3"/>
      <c r="M1136" s="3"/>
      <c r="P1136" s="3"/>
    </row>
    <row r="1137" spans="8:16" x14ac:dyDescent="0.25">
      <c r="H1137" s="3"/>
      <c r="K1137" s="3"/>
      <c r="M1137" s="3"/>
      <c r="P1137" s="3"/>
    </row>
    <row r="1138" spans="8:16" x14ac:dyDescent="0.25">
      <c r="H1138" s="3"/>
      <c r="K1138" s="3"/>
      <c r="M1138" s="3"/>
      <c r="P1138" s="3"/>
    </row>
    <row r="1139" spans="8:16" x14ac:dyDescent="0.25">
      <c r="H1139" s="3"/>
      <c r="K1139" s="3"/>
      <c r="M1139" s="3"/>
      <c r="P1139" s="3"/>
    </row>
    <row r="1140" spans="8:16" x14ac:dyDescent="0.25">
      <c r="H1140" s="3"/>
      <c r="K1140" s="3"/>
      <c r="M1140" s="3"/>
      <c r="P1140" s="3"/>
    </row>
    <row r="1141" spans="8:16" x14ac:dyDescent="0.25">
      <c r="H1141" s="3"/>
      <c r="K1141" s="3"/>
      <c r="M1141" s="3"/>
      <c r="P1141" s="3"/>
    </row>
    <row r="1142" spans="8:16" x14ac:dyDescent="0.25">
      <c r="H1142" s="3"/>
      <c r="K1142" s="3"/>
      <c r="M1142" s="3"/>
      <c r="P1142" s="3"/>
    </row>
    <row r="1143" spans="8:16" x14ac:dyDescent="0.25">
      <c r="H1143" s="3"/>
      <c r="K1143" s="3"/>
      <c r="M1143" s="3"/>
      <c r="P1143" s="3"/>
    </row>
    <row r="1144" spans="8:16" x14ac:dyDescent="0.25">
      <c r="H1144" s="3"/>
      <c r="K1144" s="3"/>
      <c r="M1144" s="3"/>
      <c r="P1144" s="3"/>
    </row>
    <row r="1145" spans="8:16" x14ac:dyDescent="0.25">
      <c r="H1145" s="3"/>
      <c r="K1145" s="3"/>
      <c r="M1145" s="3"/>
      <c r="P1145" s="3"/>
    </row>
    <row r="1146" spans="8:16" x14ac:dyDescent="0.25">
      <c r="H1146" s="3"/>
      <c r="K1146" s="3"/>
      <c r="M1146" s="3"/>
      <c r="P1146" s="3"/>
    </row>
    <row r="1147" spans="8:16" x14ac:dyDescent="0.25">
      <c r="H1147" s="3"/>
      <c r="K1147" s="3"/>
      <c r="M1147" s="3"/>
      <c r="P1147" s="3"/>
    </row>
    <row r="1148" spans="8:16" x14ac:dyDescent="0.25">
      <c r="H1148" s="3"/>
      <c r="K1148" s="3"/>
      <c r="M1148" s="3"/>
      <c r="P1148" s="3"/>
    </row>
    <row r="1149" spans="8:16" x14ac:dyDescent="0.25">
      <c r="H1149" s="3"/>
      <c r="K1149" s="3"/>
      <c r="M1149" s="3"/>
      <c r="P1149" s="3"/>
    </row>
    <row r="1150" spans="8:16" x14ac:dyDescent="0.25">
      <c r="H1150" s="3"/>
      <c r="K1150" s="3"/>
      <c r="M1150" s="3"/>
      <c r="P1150" s="3"/>
    </row>
    <row r="1151" spans="8:16" x14ac:dyDescent="0.25">
      <c r="H1151" s="3"/>
      <c r="K1151" s="3"/>
      <c r="M1151" s="3"/>
      <c r="P1151" s="3"/>
    </row>
    <row r="1152" spans="8:16" x14ac:dyDescent="0.25">
      <c r="H1152" s="3"/>
      <c r="K1152" s="3"/>
      <c r="M1152" s="3"/>
      <c r="P1152" s="3"/>
    </row>
    <row r="1153" spans="8:16" x14ac:dyDescent="0.25">
      <c r="H1153" s="3"/>
      <c r="K1153" s="3"/>
      <c r="M1153" s="3"/>
      <c r="P1153" s="3"/>
    </row>
    <row r="1154" spans="8:16" x14ac:dyDescent="0.25">
      <c r="H1154" s="3"/>
      <c r="K1154" s="3"/>
      <c r="M1154" s="3"/>
      <c r="P1154" s="3"/>
    </row>
    <row r="1155" spans="8:16" x14ac:dyDescent="0.25">
      <c r="H1155" s="3"/>
      <c r="K1155" s="3"/>
      <c r="M1155" s="3"/>
      <c r="P1155" s="3"/>
    </row>
    <row r="1156" spans="8:16" x14ac:dyDescent="0.25">
      <c r="H1156" s="3"/>
      <c r="K1156" s="3"/>
      <c r="M1156" s="3"/>
      <c r="P1156" s="3"/>
    </row>
    <row r="1157" spans="8:16" x14ac:dyDescent="0.25">
      <c r="H1157" s="3"/>
      <c r="K1157" s="3"/>
      <c r="M1157" s="3"/>
      <c r="P1157" s="3"/>
    </row>
    <row r="1158" spans="8:16" x14ac:dyDescent="0.25">
      <c r="H1158" s="3"/>
      <c r="K1158" s="3"/>
      <c r="M1158" s="3"/>
      <c r="P1158" s="3"/>
    </row>
    <row r="1159" spans="8:16" x14ac:dyDescent="0.25">
      <c r="H1159" s="3"/>
      <c r="K1159" s="3"/>
      <c r="M1159" s="3"/>
      <c r="P1159" s="3"/>
    </row>
    <row r="1160" spans="8:16" x14ac:dyDescent="0.25">
      <c r="H1160" s="3"/>
      <c r="K1160" s="3"/>
      <c r="M1160" s="3"/>
      <c r="P1160" s="3"/>
    </row>
    <row r="1161" spans="8:16" x14ac:dyDescent="0.25">
      <c r="H1161" s="3"/>
      <c r="K1161" s="3"/>
      <c r="M1161" s="3"/>
      <c r="P1161" s="3"/>
    </row>
    <row r="1162" spans="8:16" x14ac:dyDescent="0.25">
      <c r="H1162" s="3"/>
      <c r="K1162" s="3"/>
      <c r="M1162" s="3"/>
      <c r="P1162" s="3"/>
    </row>
    <row r="1163" spans="8:16" x14ac:dyDescent="0.25">
      <c r="H1163" s="3"/>
      <c r="K1163" s="3"/>
      <c r="M1163" s="3"/>
      <c r="P1163" s="3"/>
    </row>
    <row r="1164" spans="8:16" x14ac:dyDescent="0.25">
      <c r="H1164" s="3"/>
      <c r="K1164" s="3"/>
      <c r="M1164" s="3"/>
      <c r="P1164" s="3"/>
    </row>
    <row r="1165" spans="8:16" x14ac:dyDescent="0.25">
      <c r="H1165" s="3"/>
      <c r="K1165" s="3"/>
      <c r="M1165" s="3"/>
      <c r="P1165" s="3"/>
    </row>
    <row r="1166" spans="8:16" x14ac:dyDescent="0.25">
      <c r="H1166" s="3"/>
      <c r="K1166" s="3"/>
      <c r="M1166" s="3"/>
      <c r="P1166" s="3"/>
    </row>
    <row r="1167" spans="8:16" x14ac:dyDescent="0.25">
      <c r="H1167" s="3"/>
      <c r="K1167" s="3"/>
      <c r="M1167" s="3"/>
      <c r="P1167" s="3"/>
    </row>
    <row r="1168" spans="8:16" x14ac:dyDescent="0.25">
      <c r="H1168" s="3"/>
      <c r="K1168" s="3"/>
      <c r="M1168" s="3"/>
      <c r="P1168" s="3"/>
    </row>
    <row r="1169" spans="8:16" x14ac:dyDescent="0.25">
      <c r="H1169" s="3"/>
      <c r="K1169" s="3"/>
      <c r="M1169" s="3"/>
      <c r="P1169" s="3"/>
    </row>
    <row r="1170" spans="8:16" x14ac:dyDescent="0.25">
      <c r="H1170" s="3"/>
      <c r="K1170" s="3"/>
      <c r="M1170" s="3"/>
      <c r="P1170" s="3"/>
    </row>
    <row r="1171" spans="8:16" x14ac:dyDescent="0.25">
      <c r="H1171" s="3"/>
      <c r="K1171" s="3"/>
      <c r="M1171" s="3"/>
      <c r="P1171" s="3"/>
    </row>
    <row r="1172" spans="8:16" x14ac:dyDescent="0.25">
      <c r="H1172" s="3"/>
      <c r="K1172" s="3"/>
      <c r="M1172" s="3"/>
      <c r="P1172" s="3"/>
    </row>
    <row r="1173" spans="8:16" x14ac:dyDescent="0.25">
      <c r="H1173" s="3"/>
      <c r="K1173" s="3"/>
      <c r="M1173" s="3"/>
      <c r="P1173" s="3"/>
    </row>
    <row r="1174" spans="8:16" x14ac:dyDescent="0.25">
      <c r="H1174" s="3"/>
      <c r="K1174" s="3"/>
      <c r="M1174" s="3"/>
      <c r="P1174" s="3"/>
    </row>
    <row r="1175" spans="8:16" x14ac:dyDescent="0.25">
      <c r="H1175" s="3"/>
      <c r="K1175" s="3"/>
      <c r="M1175" s="3"/>
      <c r="P1175" s="3"/>
    </row>
    <row r="1176" spans="8:16" x14ac:dyDescent="0.25">
      <c r="H1176" s="3"/>
      <c r="K1176" s="3"/>
      <c r="M1176" s="3"/>
      <c r="P1176" s="3"/>
    </row>
    <row r="1177" spans="8:16" x14ac:dyDescent="0.25">
      <c r="H1177" s="3"/>
      <c r="K1177" s="3"/>
      <c r="M1177" s="3"/>
      <c r="P1177" s="3"/>
    </row>
    <row r="1178" spans="8:16" x14ac:dyDescent="0.25">
      <c r="H1178" s="3"/>
      <c r="K1178" s="3"/>
      <c r="M1178" s="3"/>
      <c r="P1178" s="3"/>
    </row>
    <row r="1179" spans="8:16" x14ac:dyDescent="0.25">
      <c r="H1179" s="3"/>
      <c r="K1179" s="3"/>
      <c r="M1179" s="3"/>
      <c r="P1179" s="3"/>
    </row>
    <row r="1180" spans="8:16" x14ac:dyDescent="0.25">
      <c r="H1180" s="3"/>
      <c r="K1180" s="3"/>
      <c r="M1180" s="3"/>
      <c r="P1180" s="3"/>
    </row>
    <row r="1181" spans="8:16" x14ac:dyDescent="0.25">
      <c r="H1181" s="3"/>
      <c r="K1181" s="3"/>
      <c r="M1181" s="3"/>
      <c r="P1181" s="3"/>
    </row>
    <row r="1182" spans="8:16" x14ac:dyDescent="0.25">
      <c r="H1182" s="3"/>
      <c r="K1182" s="3"/>
      <c r="M1182" s="3"/>
      <c r="P1182" s="3"/>
    </row>
    <row r="1183" spans="8:16" x14ac:dyDescent="0.25">
      <c r="H1183" s="3"/>
      <c r="K1183" s="3"/>
      <c r="M1183" s="3"/>
      <c r="P1183" s="3"/>
    </row>
    <row r="1184" spans="8:16" x14ac:dyDescent="0.25">
      <c r="H1184" s="3"/>
      <c r="K1184" s="3"/>
      <c r="M1184" s="3"/>
      <c r="P1184" s="3"/>
    </row>
    <row r="1185" spans="8:16" x14ac:dyDescent="0.25">
      <c r="H1185" s="3"/>
      <c r="K1185" s="3"/>
      <c r="M1185" s="3"/>
      <c r="P1185" s="3"/>
    </row>
    <row r="1186" spans="8:16" x14ac:dyDescent="0.25">
      <c r="H1186" s="3"/>
      <c r="K1186" s="3"/>
      <c r="M1186" s="3"/>
      <c r="P1186" s="3"/>
    </row>
    <row r="1187" spans="8:16" x14ac:dyDescent="0.25">
      <c r="H1187" s="3"/>
      <c r="K1187" s="3"/>
      <c r="M1187" s="3"/>
      <c r="P1187" s="3"/>
    </row>
    <row r="1188" spans="8:16" x14ac:dyDescent="0.25">
      <c r="H1188" s="3"/>
      <c r="K1188" s="3"/>
      <c r="M1188" s="3"/>
      <c r="P1188" s="3"/>
    </row>
    <row r="1189" spans="8:16" x14ac:dyDescent="0.25">
      <c r="H1189" s="3"/>
      <c r="K1189" s="3"/>
      <c r="M1189" s="3"/>
      <c r="P1189" s="3"/>
    </row>
    <row r="1190" spans="8:16" x14ac:dyDescent="0.25">
      <c r="H1190" s="3"/>
      <c r="K1190" s="3"/>
      <c r="M1190" s="3"/>
      <c r="P1190" s="3"/>
    </row>
    <row r="1191" spans="8:16" x14ac:dyDescent="0.25">
      <c r="H1191" s="3"/>
      <c r="K1191" s="3"/>
      <c r="M1191" s="3"/>
      <c r="P1191" s="3"/>
    </row>
    <row r="1192" spans="8:16" x14ac:dyDescent="0.25">
      <c r="H1192" s="3"/>
      <c r="K1192" s="3"/>
      <c r="M1192" s="3"/>
      <c r="P1192" s="3"/>
    </row>
    <row r="1193" spans="8:16" x14ac:dyDescent="0.25">
      <c r="H1193" s="3"/>
      <c r="K1193" s="3"/>
      <c r="M1193" s="3"/>
      <c r="P1193" s="3"/>
    </row>
    <row r="1194" spans="8:16" x14ac:dyDescent="0.25">
      <c r="H1194" s="3"/>
      <c r="K1194" s="3"/>
      <c r="M1194" s="3"/>
      <c r="P1194" s="3"/>
    </row>
    <row r="1195" spans="8:16" x14ac:dyDescent="0.25">
      <c r="H1195" s="3"/>
      <c r="K1195" s="3"/>
      <c r="M1195" s="3"/>
      <c r="P1195" s="3"/>
    </row>
    <row r="1196" spans="8:16" x14ac:dyDescent="0.25">
      <c r="H1196" s="3"/>
      <c r="K1196" s="3"/>
      <c r="M1196" s="3"/>
      <c r="P1196" s="3"/>
    </row>
    <row r="1197" spans="8:16" x14ac:dyDescent="0.25">
      <c r="H1197" s="3"/>
      <c r="K1197" s="3"/>
      <c r="M1197" s="3"/>
      <c r="P1197" s="3"/>
    </row>
    <row r="1198" spans="8:16" x14ac:dyDescent="0.25">
      <c r="H1198" s="3"/>
      <c r="K1198" s="3"/>
      <c r="M1198" s="3"/>
      <c r="P1198" s="3"/>
    </row>
    <row r="1199" spans="8:16" x14ac:dyDescent="0.25">
      <c r="H1199" s="3"/>
      <c r="K1199" s="3"/>
      <c r="M1199" s="3"/>
      <c r="P1199" s="3"/>
    </row>
    <row r="1200" spans="8:16" x14ac:dyDescent="0.25">
      <c r="H1200" s="3"/>
      <c r="K1200" s="3"/>
      <c r="M1200" s="3"/>
      <c r="P1200" s="3"/>
    </row>
    <row r="1201" spans="8:16" x14ac:dyDescent="0.25">
      <c r="H1201" s="3"/>
      <c r="K1201" s="3"/>
      <c r="M1201" s="3"/>
      <c r="P1201" s="3"/>
    </row>
    <row r="1202" spans="8:16" x14ac:dyDescent="0.25">
      <c r="H1202" s="3"/>
      <c r="K1202" s="3"/>
      <c r="M1202" s="3"/>
      <c r="P1202" s="3"/>
    </row>
    <row r="1203" spans="8:16" x14ac:dyDescent="0.25">
      <c r="H1203" s="3"/>
      <c r="K1203" s="3"/>
      <c r="M1203" s="3"/>
      <c r="P1203" s="3"/>
    </row>
    <row r="1204" spans="8:16" x14ac:dyDescent="0.25">
      <c r="H1204" s="3"/>
      <c r="K1204" s="3"/>
      <c r="M1204" s="3"/>
      <c r="P1204" s="3"/>
    </row>
    <row r="1205" spans="8:16" x14ac:dyDescent="0.25">
      <c r="H1205" s="3"/>
      <c r="K1205" s="3"/>
      <c r="M1205" s="3"/>
      <c r="P1205" s="3"/>
    </row>
    <row r="1206" spans="8:16" x14ac:dyDescent="0.25">
      <c r="H1206" s="3"/>
      <c r="K1206" s="3"/>
      <c r="M1206" s="3"/>
      <c r="P1206" s="3"/>
    </row>
    <row r="1207" spans="8:16" x14ac:dyDescent="0.25">
      <c r="H1207" s="3"/>
      <c r="K1207" s="3"/>
      <c r="M1207" s="3"/>
      <c r="P1207" s="3"/>
    </row>
    <row r="1208" spans="8:16" x14ac:dyDescent="0.25">
      <c r="H1208" s="3"/>
      <c r="K1208" s="3"/>
      <c r="M1208" s="3"/>
      <c r="P1208" s="3"/>
    </row>
    <row r="1209" spans="8:16" x14ac:dyDescent="0.25">
      <c r="H1209" s="3"/>
      <c r="K1209" s="3"/>
      <c r="M1209" s="3"/>
      <c r="P1209" s="3"/>
    </row>
    <row r="1210" spans="8:16" x14ac:dyDescent="0.25">
      <c r="H1210" s="3"/>
      <c r="K1210" s="3"/>
      <c r="M1210" s="3"/>
      <c r="P1210" s="3"/>
    </row>
    <row r="1211" spans="8:16" x14ac:dyDescent="0.25">
      <c r="H1211" s="3"/>
      <c r="K1211" s="3"/>
      <c r="M1211" s="3"/>
      <c r="P1211" s="3"/>
    </row>
    <row r="1212" spans="8:16" x14ac:dyDescent="0.25">
      <c r="H1212" s="3"/>
      <c r="K1212" s="3"/>
      <c r="M1212" s="3"/>
      <c r="P1212" s="3"/>
    </row>
    <row r="1213" spans="8:16" x14ac:dyDescent="0.25">
      <c r="H1213" s="3"/>
      <c r="K1213" s="3"/>
      <c r="M1213" s="3"/>
      <c r="P1213" s="3"/>
    </row>
    <row r="1214" spans="8:16" x14ac:dyDescent="0.25">
      <c r="H1214" s="3"/>
      <c r="K1214" s="3"/>
      <c r="M1214" s="3"/>
      <c r="P1214" s="3"/>
    </row>
    <row r="1215" spans="8:16" x14ac:dyDescent="0.25">
      <c r="H1215" s="3"/>
      <c r="K1215" s="3"/>
      <c r="M1215" s="3"/>
      <c r="P1215" s="3"/>
    </row>
    <row r="1216" spans="8:16" x14ac:dyDescent="0.25">
      <c r="H1216" s="3"/>
      <c r="K1216" s="3"/>
      <c r="M1216" s="3"/>
      <c r="P1216" s="3"/>
    </row>
    <row r="1217" spans="8:16" x14ac:dyDescent="0.25">
      <c r="H1217" s="3"/>
      <c r="K1217" s="3"/>
      <c r="M1217" s="3"/>
      <c r="P1217" s="3"/>
    </row>
    <row r="1218" spans="8:16" x14ac:dyDescent="0.25">
      <c r="H1218" s="3"/>
      <c r="K1218" s="3"/>
      <c r="M1218" s="3"/>
      <c r="P1218" s="3"/>
    </row>
    <row r="1219" spans="8:16" x14ac:dyDescent="0.25">
      <c r="H1219" s="3"/>
      <c r="K1219" s="3"/>
      <c r="M1219" s="3"/>
      <c r="P1219" s="3"/>
    </row>
    <row r="1220" spans="8:16" x14ac:dyDescent="0.25">
      <c r="H1220" s="3"/>
      <c r="K1220" s="3"/>
      <c r="M1220" s="3"/>
      <c r="P1220" s="3"/>
    </row>
    <row r="1221" spans="8:16" x14ac:dyDescent="0.25">
      <c r="H1221" s="3"/>
      <c r="K1221" s="3"/>
      <c r="M1221" s="3"/>
      <c r="P1221" s="3"/>
    </row>
    <row r="1222" spans="8:16" x14ac:dyDescent="0.25">
      <c r="H1222" s="3"/>
      <c r="K1222" s="3"/>
      <c r="M1222" s="3"/>
      <c r="P1222" s="3"/>
    </row>
    <row r="1223" spans="8:16" x14ac:dyDescent="0.25">
      <c r="H1223" s="3"/>
      <c r="K1223" s="3"/>
      <c r="M1223" s="3"/>
      <c r="P1223" s="3"/>
    </row>
    <row r="1224" spans="8:16" x14ac:dyDescent="0.25">
      <c r="H1224" s="3"/>
      <c r="K1224" s="3"/>
      <c r="M1224" s="3"/>
      <c r="P1224" s="3"/>
    </row>
    <row r="1225" spans="8:16" x14ac:dyDescent="0.25">
      <c r="H1225" s="3"/>
      <c r="K1225" s="3"/>
      <c r="M1225" s="3"/>
      <c r="P1225" s="3"/>
    </row>
    <row r="1226" spans="8:16" x14ac:dyDescent="0.25">
      <c r="H1226" s="3"/>
      <c r="K1226" s="3"/>
      <c r="M1226" s="3"/>
      <c r="P1226" s="3"/>
    </row>
    <row r="1227" spans="8:16" x14ac:dyDescent="0.25">
      <c r="H1227" s="3"/>
      <c r="K1227" s="3"/>
      <c r="M1227" s="3"/>
      <c r="P1227" s="3"/>
    </row>
    <row r="1228" spans="8:16" x14ac:dyDescent="0.25">
      <c r="H1228" s="3"/>
      <c r="K1228" s="3"/>
      <c r="M1228" s="3"/>
      <c r="P1228" s="3"/>
    </row>
    <row r="1229" spans="8:16" x14ac:dyDescent="0.25">
      <c r="H1229" s="3"/>
      <c r="K1229" s="3"/>
      <c r="M1229" s="3"/>
      <c r="P1229" s="3"/>
    </row>
    <row r="1230" spans="8:16" x14ac:dyDescent="0.25">
      <c r="H1230" s="3"/>
      <c r="K1230" s="3"/>
      <c r="M1230" s="3"/>
      <c r="P1230" s="3"/>
    </row>
    <row r="1231" spans="8:16" x14ac:dyDescent="0.25">
      <c r="H1231" s="3"/>
      <c r="K1231" s="3"/>
      <c r="M1231" s="3"/>
      <c r="P1231" s="3"/>
    </row>
    <row r="1232" spans="8:16" x14ac:dyDescent="0.25">
      <c r="H1232" s="3"/>
      <c r="K1232" s="3"/>
      <c r="M1232" s="3"/>
      <c r="P1232" s="3"/>
    </row>
    <row r="1233" spans="8:16" x14ac:dyDescent="0.25">
      <c r="H1233" s="3"/>
      <c r="K1233" s="3"/>
      <c r="M1233" s="3"/>
      <c r="P1233" s="3"/>
    </row>
    <row r="1234" spans="8:16" x14ac:dyDescent="0.25">
      <c r="H1234" s="3"/>
      <c r="K1234" s="3"/>
      <c r="M1234" s="3"/>
      <c r="P1234" s="3"/>
    </row>
    <row r="1235" spans="8:16" x14ac:dyDescent="0.25">
      <c r="H1235" s="3"/>
      <c r="K1235" s="3"/>
      <c r="M1235" s="3"/>
      <c r="P1235" s="3"/>
    </row>
    <row r="1236" spans="8:16" x14ac:dyDescent="0.25">
      <c r="H1236" s="3"/>
      <c r="K1236" s="3"/>
      <c r="M1236" s="3"/>
      <c r="P1236" s="3"/>
    </row>
    <row r="1237" spans="8:16" x14ac:dyDescent="0.25">
      <c r="H1237" s="3"/>
      <c r="K1237" s="3"/>
      <c r="M1237" s="3"/>
      <c r="P1237" s="3"/>
    </row>
    <row r="1238" spans="8:16" x14ac:dyDescent="0.25">
      <c r="H1238" s="3"/>
      <c r="K1238" s="3"/>
      <c r="M1238" s="3"/>
      <c r="P1238" s="3"/>
    </row>
    <row r="1239" spans="8:16" x14ac:dyDescent="0.25">
      <c r="H1239" s="3"/>
      <c r="K1239" s="3"/>
      <c r="M1239" s="3"/>
      <c r="P1239" s="3"/>
    </row>
    <row r="1240" spans="8:16" x14ac:dyDescent="0.25">
      <c r="H1240" s="3"/>
      <c r="K1240" s="3"/>
      <c r="M1240" s="3"/>
      <c r="P1240" s="3"/>
    </row>
    <row r="1241" spans="8:16" x14ac:dyDescent="0.25">
      <c r="H1241" s="3"/>
      <c r="K1241" s="3"/>
      <c r="M1241" s="3"/>
      <c r="P1241" s="3"/>
    </row>
    <row r="1242" spans="8:16" x14ac:dyDescent="0.25">
      <c r="H1242" s="3"/>
      <c r="K1242" s="3"/>
      <c r="M1242" s="3"/>
      <c r="P1242" s="3"/>
    </row>
    <row r="1243" spans="8:16" x14ac:dyDescent="0.25">
      <c r="H1243" s="3"/>
      <c r="K1243" s="3"/>
      <c r="M1243" s="3"/>
      <c r="P1243" s="3"/>
    </row>
    <row r="1244" spans="8:16" x14ac:dyDescent="0.25">
      <c r="H1244" s="3"/>
      <c r="K1244" s="3"/>
      <c r="M1244" s="3"/>
      <c r="P1244" s="3"/>
    </row>
    <row r="1245" spans="8:16" x14ac:dyDescent="0.25">
      <c r="H1245" s="3"/>
      <c r="K1245" s="3"/>
      <c r="M1245" s="3"/>
      <c r="P1245" s="3"/>
    </row>
    <row r="1246" spans="8:16" x14ac:dyDescent="0.25">
      <c r="H1246" s="3"/>
      <c r="K1246" s="3"/>
      <c r="M1246" s="3"/>
      <c r="P1246" s="3"/>
    </row>
    <row r="1247" spans="8:16" x14ac:dyDescent="0.25">
      <c r="H1247" s="3"/>
      <c r="K1247" s="3"/>
      <c r="M1247" s="3"/>
      <c r="P1247" s="3"/>
    </row>
    <row r="1248" spans="8:16" x14ac:dyDescent="0.25">
      <c r="H1248" s="3"/>
      <c r="K1248" s="3"/>
      <c r="M1248" s="3"/>
      <c r="P1248" s="3"/>
    </row>
    <row r="1249" spans="8:16" x14ac:dyDescent="0.25">
      <c r="H1249" s="3"/>
      <c r="K1249" s="3"/>
      <c r="M1249" s="3"/>
      <c r="P1249" s="3"/>
    </row>
    <row r="1250" spans="8:16" x14ac:dyDescent="0.25">
      <c r="H1250" s="3"/>
      <c r="K1250" s="3"/>
      <c r="M1250" s="3"/>
      <c r="P1250" s="3"/>
    </row>
    <row r="1251" spans="8:16" x14ac:dyDescent="0.25">
      <c r="H1251" s="3"/>
      <c r="K1251" s="3"/>
      <c r="M1251" s="3"/>
      <c r="P1251" s="3"/>
    </row>
    <row r="1252" spans="8:16" x14ac:dyDescent="0.25">
      <c r="H1252" s="3"/>
      <c r="K1252" s="3"/>
      <c r="M1252" s="3"/>
      <c r="P1252" s="3"/>
    </row>
    <row r="1253" spans="8:16" x14ac:dyDescent="0.25">
      <c r="H1253" s="3"/>
      <c r="K1253" s="3"/>
      <c r="M1253" s="3"/>
      <c r="P1253" s="3"/>
    </row>
    <row r="1254" spans="8:16" x14ac:dyDescent="0.25">
      <c r="H1254" s="3"/>
      <c r="K1254" s="3"/>
      <c r="M1254" s="3"/>
      <c r="P1254" s="3"/>
    </row>
    <row r="1255" spans="8:16" x14ac:dyDescent="0.25">
      <c r="H1255" s="3"/>
      <c r="K1255" s="3"/>
      <c r="M1255" s="3"/>
      <c r="P1255" s="3"/>
    </row>
    <row r="1256" spans="8:16" x14ac:dyDescent="0.25">
      <c r="H1256" s="3"/>
      <c r="K1256" s="3"/>
      <c r="M1256" s="3"/>
      <c r="P1256" s="3"/>
    </row>
    <row r="1257" spans="8:16" x14ac:dyDescent="0.25">
      <c r="H1257" s="3"/>
      <c r="K1257" s="3"/>
      <c r="M1257" s="3"/>
      <c r="P1257" s="3"/>
    </row>
    <row r="1258" spans="8:16" x14ac:dyDescent="0.25">
      <c r="H1258" s="3"/>
      <c r="K1258" s="3"/>
      <c r="M1258" s="3"/>
      <c r="P1258" s="3"/>
    </row>
    <row r="1259" spans="8:16" x14ac:dyDescent="0.25">
      <c r="H1259" s="3"/>
      <c r="K1259" s="3"/>
      <c r="M1259" s="3"/>
      <c r="P1259" s="3"/>
    </row>
    <row r="1260" spans="8:16" x14ac:dyDescent="0.25">
      <c r="H1260" s="3"/>
      <c r="K1260" s="3"/>
      <c r="M1260" s="3"/>
      <c r="P1260" s="3"/>
    </row>
    <row r="1261" spans="8:16" x14ac:dyDescent="0.25">
      <c r="H1261" s="3"/>
      <c r="K1261" s="3"/>
      <c r="M1261" s="3"/>
      <c r="P1261" s="3"/>
    </row>
    <row r="1262" spans="8:16" x14ac:dyDescent="0.25">
      <c r="H1262" s="3"/>
      <c r="K1262" s="3"/>
      <c r="M1262" s="3"/>
      <c r="P1262" s="3"/>
    </row>
    <row r="1263" spans="8:16" x14ac:dyDescent="0.25">
      <c r="H1263" s="3"/>
      <c r="K1263" s="3"/>
      <c r="M1263" s="3"/>
      <c r="P1263" s="3"/>
    </row>
    <row r="1264" spans="8:16" x14ac:dyDescent="0.25">
      <c r="H1264" s="3"/>
      <c r="K1264" s="3"/>
      <c r="M1264" s="3"/>
      <c r="P1264" s="3"/>
    </row>
    <row r="1265" spans="8:16" x14ac:dyDescent="0.25">
      <c r="H1265" s="3"/>
      <c r="K1265" s="3"/>
      <c r="M1265" s="3"/>
      <c r="P1265" s="3"/>
    </row>
    <row r="1266" spans="8:16" x14ac:dyDescent="0.25">
      <c r="H1266" s="3"/>
      <c r="K1266" s="3"/>
      <c r="M1266" s="3"/>
      <c r="P1266" s="3"/>
    </row>
    <row r="1267" spans="8:16" x14ac:dyDescent="0.25">
      <c r="H1267" s="3"/>
      <c r="K1267" s="3"/>
      <c r="M1267" s="3"/>
      <c r="P1267" s="3"/>
    </row>
    <row r="1268" spans="8:16" x14ac:dyDescent="0.25">
      <c r="H1268" s="3"/>
      <c r="K1268" s="3"/>
      <c r="M1268" s="3"/>
      <c r="P1268" s="3"/>
    </row>
    <row r="1269" spans="8:16" x14ac:dyDescent="0.25">
      <c r="H1269" s="3"/>
      <c r="K1269" s="3"/>
      <c r="M1269" s="3"/>
      <c r="P1269" s="3"/>
    </row>
    <row r="1270" spans="8:16" x14ac:dyDescent="0.25">
      <c r="H1270" s="3"/>
      <c r="K1270" s="3"/>
      <c r="M1270" s="3"/>
      <c r="P1270" s="3"/>
    </row>
    <row r="1271" spans="8:16" x14ac:dyDescent="0.25">
      <c r="H1271" s="3"/>
      <c r="K1271" s="3"/>
      <c r="M1271" s="3"/>
      <c r="P1271" s="3"/>
    </row>
    <row r="1272" spans="8:16" x14ac:dyDescent="0.25">
      <c r="H1272" s="3"/>
      <c r="K1272" s="3"/>
      <c r="M1272" s="3"/>
      <c r="P1272" s="3"/>
    </row>
    <row r="1273" spans="8:16" x14ac:dyDescent="0.25">
      <c r="H1273" s="3"/>
      <c r="K1273" s="3"/>
      <c r="M1273" s="3"/>
      <c r="P1273" s="3"/>
    </row>
    <row r="1274" spans="8:16" x14ac:dyDescent="0.25">
      <c r="H1274" s="3"/>
      <c r="K1274" s="3"/>
      <c r="M1274" s="3"/>
      <c r="P1274" s="3"/>
    </row>
    <row r="1275" spans="8:16" x14ac:dyDescent="0.25">
      <c r="H1275" s="3"/>
      <c r="K1275" s="3"/>
      <c r="M1275" s="3"/>
      <c r="P1275" s="3"/>
    </row>
    <row r="1276" spans="8:16" x14ac:dyDescent="0.25">
      <c r="H1276" s="3"/>
      <c r="K1276" s="3"/>
      <c r="M1276" s="3"/>
      <c r="P1276" s="3"/>
    </row>
    <row r="1277" spans="8:16" x14ac:dyDescent="0.25">
      <c r="H1277" s="3"/>
      <c r="K1277" s="3"/>
      <c r="M1277" s="3"/>
      <c r="P1277" s="3"/>
    </row>
    <row r="1278" spans="8:16" x14ac:dyDescent="0.25">
      <c r="H1278" s="3"/>
      <c r="K1278" s="3"/>
      <c r="M1278" s="3"/>
      <c r="P1278" s="3"/>
    </row>
    <row r="1279" spans="8:16" x14ac:dyDescent="0.25">
      <c r="H1279" s="3"/>
      <c r="K1279" s="3"/>
      <c r="M1279" s="3"/>
      <c r="P1279" s="3"/>
    </row>
    <row r="1280" spans="8:16" x14ac:dyDescent="0.25">
      <c r="H1280" s="3"/>
      <c r="K1280" s="3"/>
      <c r="M1280" s="3"/>
      <c r="P1280" s="3"/>
    </row>
    <row r="1281" spans="8:16" x14ac:dyDescent="0.25">
      <c r="H1281" s="3"/>
      <c r="K1281" s="3"/>
      <c r="M1281" s="3"/>
      <c r="P1281" s="3"/>
    </row>
    <row r="1282" spans="8:16" x14ac:dyDescent="0.25">
      <c r="H1282" s="3"/>
      <c r="K1282" s="3"/>
      <c r="M1282" s="3"/>
      <c r="P1282" s="3"/>
    </row>
    <row r="1283" spans="8:16" x14ac:dyDescent="0.25">
      <c r="H1283" s="3"/>
      <c r="K1283" s="3"/>
      <c r="M1283" s="3"/>
      <c r="P1283" s="3"/>
    </row>
    <row r="1284" spans="8:16" x14ac:dyDescent="0.25">
      <c r="H1284" s="3"/>
      <c r="K1284" s="3"/>
      <c r="M1284" s="3"/>
      <c r="P1284" s="3"/>
    </row>
    <row r="1285" spans="8:16" x14ac:dyDescent="0.25">
      <c r="H1285" s="3"/>
      <c r="K1285" s="3"/>
      <c r="M1285" s="3"/>
      <c r="P1285" s="3"/>
    </row>
    <row r="1286" spans="8:16" x14ac:dyDescent="0.25">
      <c r="H1286" s="3"/>
      <c r="K1286" s="3"/>
      <c r="M1286" s="3"/>
      <c r="P1286" s="3"/>
    </row>
    <row r="1287" spans="8:16" x14ac:dyDescent="0.25">
      <c r="H1287" s="3"/>
      <c r="K1287" s="3"/>
      <c r="M1287" s="3"/>
      <c r="P1287" s="3"/>
    </row>
    <row r="1288" spans="8:16" x14ac:dyDescent="0.25">
      <c r="H1288" s="3"/>
      <c r="K1288" s="3"/>
      <c r="M1288" s="3"/>
      <c r="P1288" s="3"/>
    </row>
    <row r="1289" spans="8:16" x14ac:dyDescent="0.25">
      <c r="H1289" s="3"/>
      <c r="K1289" s="3"/>
      <c r="M1289" s="3"/>
      <c r="P1289" s="3"/>
    </row>
    <row r="1290" spans="8:16" x14ac:dyDescent="0.25">
      <c r="H1290" s="3"/>
      <c r="K1290" s="3"/>
      <c r="M1290" s="3"/>
      <c r="P1290" s="3"/>
    </row>
    <row r="1291" spans="8:16" x14ac:dyDescent="0.25">
      <c r="H1291" s="3"/>
      <c r="K1291" s="3"/>
      <c r="M1291" s="3"/>
      <c r="P1291" s="3"/>
    </row>
    <row r="1292" spans="8:16" x14ac:dyDescent="0.25">
      <c r="H1292" s="3"/>
      <c r="K1292" s="3"/>
      <c r="M1292" s="3"/>
      <c r="P1292" s="3"/>
    </row>
    <row r="1293" spans="8:16" x14ac:dyDescent="0.25">
      <c r="H1293" s="3"/>
      <c r="K1293" s="3"/>
      <c r="M1293" s="3"/>
      <c r="P1293" s="3"/>
    </row>
    <row r="1294" spans="8:16" x14ac:dyDescent="0.25">
      <c r="H1294" s="3"/>
      <c r="K1294" s="3"/>
      <c r="M1294" s="3"/>
      <c r="P1294" s="3"/>
    </row>
    <row r="1295" spans="8:16" x14ac:dyDescent="0.25">
      <c r="H1295" s="3"/>
      <c r="K1295" s="3"/>
      <c r="M1295" s="3"/>
      <c r="P1295" s="3"/>
    </row>
    <row r="1296" spans="8:16" x14ac:dyDescent="0.25">
      <c r="H1296" s="3"/>
      <c r="K1296" s="3"/>
      <c r="M1296" s="3"/>
      <c r="P1296" s="3"/>
    </row>
    <row r="1297" spans="8:16" x14ac:dyDescent="0.25">
      <c r="H1297" s="3"/>
      <c r="K1297" s="3"/>
      <c r="M1297" s="3"/>
      <c r="P1297" s="3"/>
    </row>
    <row r="1298" spans="8:16" x14ac:dyDescent="0.25">
      <c r="H1298" s="3"/>
      <c r="K1298" s="3"/>
      <c r="M1298" s="3"/>
      <c r="P1298" s="3"/>
    </row>
    <row r="1299" spans="8:16" x14ac:dyDescent="0.25">
      <c r="H1299" s="3"/>
      <c r="K1299" s="3"/>
      <c r="M1299" s="3"/>
      <c r="P1299" s="3"/>
    </row>
    <row r="1300" spans="8:16" x14ac:dyDescent="0.25">
      <c r="H1300" s="3"/>
      <c r="K1300" s="3"/>
      <c r="M1300" s="3"/>
      <c r="P1300" s="3"/>
    </row>
    <row r="1301" spans="8:16" x14ac:dyDescent="0.25">
      <c r="H1301" s="3"/>
      <c r="K1301" s="3"/>
      <c r="M1301" s="3"/>
      <c r="P1301" s="3"/>
    </row>
    <row r="1302" spans="8:16" x14ac:dyDescent="0.25">
      <c r="H1302" s="3"/>
      <c r="K1302" s="3"/>
      <c r="M1302" s="3"/>
      <c r="P1302" s="3"/>
    </row>
    <row r="1303" spans="8:16" x14ac:dyDescent="0.25">
      <c r="H1303" s="3"/>
      <c r="K1303" s="3"/>
      <c r="M1303" s="3"/>
      <c r="P1303" s="3"/>
    </row>
    <row r="1304" spans="8:16" x14ac:dyDescent="0.25">
      <c r="H1304" s="3"/>
      <c r="K1304" s="3"/>
      <c r="M1304" s="3"/>
      <c r="P1304" s="3"/>
    </row>
    <row r="1305" spans="8:16" x14ac:dyDescent="0.25">
      <c r="H1305" s="3"/>
      <c r="K1305" s="3"/>
      <c r="M1305" s="3"/>
      <c r="P1305" s="3"/>
    </row>
    <row r="1306" spans="8:16" x14ac:dyDescent="0.25">
      <c r="H1306" s="3"/>
      <c r="K1306" s="3"/>
      <c r="M1306" s="3"/>
      <c r="P1306" s="3"/>
    </row>
    <row r="1307" spans="8:16" x14ac:dyDescent="0.25">
      <c r="H1307" s="3"/>
      <c r="K1307" s="3"/>
      <c r="M1307" s="3"/>
      <c r="P1307" s="3"/>
    </row>
    <row r="1308" spans="8:16" x14ac:dyDescent="0.25">
      <c r="H1308" s="3"/>
      <c r="K1308" s="3"/>
      <c r="M1308" s="3"/>
      <c r="P1308" s="3"/>
    </row>
    <row r="1309" spans="8:16" x14ac:dyDescent="0.25">
      <c r="H1309" s="3"/>
      <c r="K1309" s="3"/>
      <c r="M1309" s="3"/>
      <c r="P1309" s="3"/>
    </row>
    <row r="1310" spans="8:16" x14ac:dyDescent="0.25">
      <c r="H1310" s="3"/>
      <c r="K1310" s="3"/>
      <c r="M1310" s="3"/>
      <c r="P1310" s="3"/>
    </row>
    <row r="1311" spans="8:16" x14ac:dyDescent="0.25">
      <c r="H1311" s="3"/>
      <c r="K1311" s="3"/>
      <c r="M1311" s="3"/>
      <c r="P1311" s="3"/>
    </row>
    <row r="1312" spans="8:16" x14ac:dyDescent="0.25">
      <c r="H1312" s="3"/>
      <c r="K1312" s="3"/>
      <c r="M1312" s="3"/>
      <c r="P1312" s="3"/>
    </row>
    <row r="1313" spans="8:16" x14ac:dyDescent="0.25">
      <c r="H1313" s="3"/>
      <c r="K1313" s="3"/>
      <c r="M1313" s="3"/>
      <c r="P1313" s="3"/>
    </row>
    <row r="1314" spans="8:16" x14ac:dyDescent="0.25">
      <c r="H1314" s="3"/>
      <c r="K1314" s="3"/>
      <c r="M1314" s="3"/>
      <c r="P1314" s="3"/>
    </row>
    <row r="1315" spans="8:16" x14ac:dyDescent="0.25">
      <c r="H1315" s="3"/>
      <c r="K1315" s="3"/>
      <c r="M1315" s="3"/>
      <c r="P1315" s="3"/>
    </row>
    <row r="1316" spans="8:16" x14ac:dyDescent="0.25">
      <c r="H1316" s="3"/>
      <c r="K1316" s="3"/>
      <c r="M1316" s="3"/>
      <c r="P1316" s="3"/>
    </row>
    <row r="1317" spans="8:16" x14ac:dyDescent="0.25">
      <c r="H1317" s="3"/>
      <c r="K1317" s="3"/>
      <c r="M1317" s="3"/>
      <c r="P1317" s="3"/>
    </row>
    <row r="1318" spans="8:16" x14ac:dyDescent="0.25">
      <c r="H1318" s="3"/>
      <c r="K1318" s="3"/>
      <c r="M1318" s="3"/>
      <c r="P1318" s="3"/>
    </row>
    <row r="1319" spans="8:16" x14ac:dyDescent="0.25">
      <c r="H1319" s="3"/>
      <c r="K1319" s="3"/>
      <c r="M1319" s="3"/>
      <c r="P1319" s="3"/>
    </row>
    <row r="1320" spans="8:16" x14ac:dyDescent="0.25">
      <c r="H1320" s="3"/>
      <c r="K1320" s="3"/>
      <c r="M1320" s="3"/>
      <c r="P1320" s="3"/>
    </row>
    <row r="1321" spans="8:16" x14ac:dyDescent="0.25">
      <c r="H1321" s="3"/>
      <c r="K1321" s="3"/>
      <c r="M1321" s="3"/>
      <c r="P1321" s="3"/>
    </row>
    <row r="1322" spans="8:16" x14ac:dyDescent="0.25">
      <c r="H1322" s="3"/>
      <c r="K1322" s="3"/>
      <c r="M1322" s="3"/>
      <c r="P1322" s="3"/>
    </row>
    <row r="1323" spans="8:16" x14ac:dyDescent="0.25">
      <c r="H1323" s="3"/>
      <c r="K1323" s="3"/>
      <c r="M1323" s="3"/>
      <c r="P1323" s="3"/>
    </row>
    <row r="1324" spans="8:16" x14ac:dyDescent="0.25">
      <c r="H1324" s="3"/>
      <c r="K1324" s="3"/>
      <c r="M1324" s="3"/>
      <c r="P1324" s="3"/>
    </row>
    <row r="1325" spans="8:16" x14ac:dyDescent="0.25">
      <c r="H1325" s="3"/>
      <c r="K1325" s="3"/>
      <c r="M1325" s="3"/>
      <c r="P1325" s="3"/>
    </row>
    <row r="1326" spans="8:16" x14ac:dyDescent="0.25">
      <c r="H1326" s="3"/>
      <c r="K1326" s="3"/>
      <c r="M1326" s="3"/>
      <c r="P1326" s="3"/>
    </row>
    <row r="1327" spans="8:16" x14ac:dyDescent="0.25">
      <c r="H1327" s="3"/>
      <c r="K1327" s="3"/>
      <c r="M1327" s="3"/>
      <c r="P1327" s="3"/>
    </row>
    <row r="1328" spans="8:16" x14ac:dyDescent="0.25">
      <c r="H1328" s="3"/>
      <c r="K1328" s="3"/>
      <c r="M1328" s="3"/>
      <c r="P1328" s="3"/>
    </row>
    <row r="1329" spans="8:16" x14ac:dyDescent="0.25">
      <c r="H1329" s="3"/>
      <c r="K1329" s="3"/>
      <c r="M1329" s="3"/>
      <c r="P1329" s="3"/>
    </row>
    <row r="1330" spans="8:16" x14ac:dyDescent="0.25">
      <c r="H1330" s="3"/>
      <c r="K1330" s="3"/>
      <c r="M1330" s="3"/>
      <c r="P1330" s="3"/>
    </row>
    <row r="1331" spans="8:16" x14ac:dyDescent="0.25">
      <c r="H1331" s="3"/>
      <c r="K1331" s="3"/>
      <c r="M1331" s="3"/>
      <c r="P1331" s="3"/>
    </row>
    <row r="1332" spans="8:16" x14ac:dyDescent="0.25">
      <c r="H1332" s="3"/>
      <c r="K1332" s="3"/>
      <c r="M1332" s="3"/>
      <c r="P1332" s="3"/>
    </row>
    <row r="1333" spans="8:16" x14ac:dyDescent="0.25">
      <c r="H1333" s="3"/>
      <c r="K1333" s="3"/>
      <c r="M1333" s="3"/>
      <c r="P1333" s="3"/>
    </row>
    <row r="1334" spans="8:16" x14ac:dyDescent="0.25">
      <c r="H1334" s="3"/>
      <c r="K1334" s="3"/>
      <c r="M1334" s="3"/>
      <c r="P1334" s="3"/>
    </row>
    <row r="1335" spans="8:16" x14ac:dyDescent="0.25">
      <c r="H1335" s="3"/>
      <c r="K1335" s="3"/>
      <c r="M1335" s="3"/>
      <c r="P1335" s="3"/>
    </row>
    <row r="1336" spans="8:16" x14ac:dyDescent="0.25">
      <c r="H1336" s="3"/>
      <c r="K1336" s="3"/>
      <c r="M1336" s="3"/>
      <c r="P1336" s="3"/>
    </row>
    <row r="1337" spans="8:16" x14ac:dyDescent="0.25">
      <c r="H1337" s="3"/>
      <c r="K1337" s="3"/>
      <c r="M1337" s="3"/>
      <c r="P1337" s="3"/>
    </row>
    <row r="1338" spans="8:16" x14ac:dyDescent="0.25">
      <c r="H1338" s="3"/>
      <c r="K1338" s="3"/>
      <c r="M1338" s="3"/>
      <c r="P1338" s="3"/>
    </row>
    <row r="1339" spans="8:16" x14ac:dyDescent="0.25">
      <c r="H1339" s="3"/>
      <c r="K1339" s="3"/>
      <c r="M1339" s="3"/>
      <c r="P1339" s="3"/>
    </row>
    <row r="1340" spans="8:16" x14ac:dyDescent="0.25">
      <c r="H1340" s="3"/>
      <c r="K1340" s="3"/>
      <c r="M1340" s="3"/>
      <c r="P1340" s="3"/>
    </row>
    <row r="1341" spans="8:16" x14ac:dyDescent="0.25">
      <c r="H1341" s="3"/>
      <c r="K1341" s="3"/>
      <c r="M1341" s="3"/>
      <c r="P1341" s="3"/>
    </row>
    <row r="1342" spans="8:16" x14ac:dyDescent="0.25">
      <c r="H1342" s="3"/>
      <c r="K1342" s="3"/>
      <c r="M1342" s="3"/>
      <c r="P1342" s="3"/>
    </row>
    <row r="1343" spans="8:16" x14ac:dyDescent="0.25">
      <c r="H1343" s="3"/>
      <c r="K1343" s="3"/>
      <c r="M1343" s="3"/>
      <c r="P1343" s="3"/>
    </row>
    <row r="1344" spans="8:16" x14ac:dyDescent="0.25">
      <c r="H1344" s="3"/>
      <c r="K1344" s="3"/>
      <c r="M1344" s="3"/>
      <c r="P1344" s="3"/>
    </row>
    <row r="1345" spans="8:16" x14ac:dyDescent="0.25">
      <c r="H1345" s="3"/>
      <c r="K1345" s="3"/>
      <c r="M1345" s="3"/>
      <c r="P1345" s="3"/>
    </row>
    <row r="1346" spans="8:16" x14ac:dyDescent="0.25">
      <c r="H1346" s="3"/>
      <c r="K1346" s="3"/>
      <c r="M1346" s="3"/>
      <c r="P1346" s="3"/>
    </row>
    <row r="1347" spans="8:16" x14ac:dyDescent="0.25">
      <c r="H1347" s="3"/>
      <c r="K1347" s="3"/>
      <c r="M1347" s="3"/>
      <c r="P1347" s="3"/>
    </row>
    <row r="1348" spans="8:16" x14ac:dyDescent="0.25">
      <c r="H1348" s="3"/>
      <c r="K1348" s="3"/>
      <c r="M1348" s="3"/>
      <c r="P1348" s="3"/>
    </row>
    <row r="1349" spans="8:16" x14ac:dyDescent="0.25">
      <c r="H1349" s="3"/>
      <c r="K1349" s="3"/>
      <c r="M1349" s="3"/>
      <c r="P1349" s="3"/>
    </row>
    <row r="1350" spans="8:16" x14ac:dyDescent="0.25">
      <c r="H1350" s="3"/>
      <c r="K1350" s="3"/>
      <c r="M1350" s="3"/>
      <c r="P1350" s="3"/>
    </row>
    <row r="1351" spans="8:16" x14ac:dyDescent="0.25">
      <c r="H1351" s="3"/>
      <c r="K1351" s="3"/>
      <c r="M1351" s="3"/>
      <c r="P1351" s="3"/>
    </row>
    <row r="1352" spans="8:16" x14ac:dyDescent="0.25">
      <c r="H1352" s="3"/>
      <c r="K1352" s="3"/>
      <c r="M1352" s="3"/>
      <c r="P1352" s="3"/>
    </row>
    <row r="1353" spans="8:16" x14ac:dyDescent="0.25">
      <c r="H1353" s="3"/>
      <c r="K1353" s="3"/>
      <c r="M1353" s="3"/>
      <c r="P1353" s="3"/>
    </row>
    <row r="1354" spans="8:16" x14ac:dyDescent="0.25">
      <c r="H1354" s="3"/>
      <c r="K1354" s="3"/>
      <c r="M1354" s="3"/>
      <c r="P1354" s="3"/>
    </row>
    <row r="1355" spans="8:16" x14ac:dyDescent="0.25">
      <c r="H1355" s="3"/>
      <c r="K1355" s="3"/>
      <c r="M1355" s="3"/>
      <c r="P1355" s="3"/>
    </row>
    <row r="1356" spans="8:16" x14ac:dyDescent="0.25">
      <c r="H1356" s="3"/>
      <c r="K1356" s="3"/>
      <c r="M1356" s="3"/>
      <c r="P1356" s="3"/>
    </row>
    <row r="1357" spans="8:16" x14ac:dyDescent="0.25">
      <c r="H1357" s="3"/>
      <c r="K1357" s="3"/>
      <c r="M1357" s="3"/>
      <c r="P1357" s="3"/>
    </row>
    <row r="1358" spans="8:16" x14ac:dyDescent="0.25">
      <c r="H1358" s="3"/>
      <c r="K1358" s="3"/>
      <c r="M1358" s="3"/>
      <c r="P1358" s="3"/>
    </row>
    <row r="1359" spans="8:16" x14ac:dyDescent="0.25">
      <c r="H1359" s="3"/>
      <c r="K1359" s="3"/>
      <c r="M1359" s="3"/>
      <c r="P1359" s="3"/>
    </row>
    <row r="1360" spans="8:16" x14ac:dyDescent="0.25">
      <c r="H1360" s="3"/>
      <c r="K1360" s="3"/>
      <c r="M1360" s="3"/>
      <c r="P1360" s="3"/>
    </row>
    <row r="1361" spans="8:16" x14ac:dyDescent="0.25">
      <c r="H1361" s="3"/>
      <c r="K1361" s="3"/>
      <c r="M1361" s="3"/>
      <c r="P1361" s="3"/>
    </row>
    <row r="1362" spans="8:16" x14ac:dyDescent="0.25">
      <c r="H1362" s="3"/>
      <c r="K1362" s="3"/>
      <c r="M1362" s="3"/>
      <c r="P1362" s="3"/>
    </row>
    <row r="1363" spans="8:16" x14ac:dyDescent="0.25">
      <c r="H1363" s="3"/>
      <c r="K1363" s="3"/>
      <c r="M1363" s="3"/>
      <c r="P1363" s="3"/>
    </row>
    <row r="1364" spans="8:16" x14ac:dyDescent="0.25">
      <c r="H1364" s="3"/>
      <c r="K1364" s="3"/>
      <c r="M1364" s="3"/>
      <c r="P1364" s="3"/>
    </row>
    <row r="1365" spans="8:16" x14ac:dyDescent="0.25">
      <c r="H1365" s="3"/>
      <c r="K1365" s="3"/>
      <c r="M1365" s="3"/>
      <c r="P1365" s="3"/>
    </row>
    <row r="1366" spans="8:16" x14ac:dyDescent="0.25">
      <c r="H1366" s="3"/>
      <c r="K1366" s="3"/>
      <c r="M1366" s="3"/>
      <c r="P1366" s="3"/>
    </row>
    <row r="1367" spans="8:16" x14ac:dyDescent="0.25">
      <c r="H1367" s="3"/>
      <c r="K1367" s="3"/>
      <c r="M1367" s="3"/>
      <c r="P1367" s="3"/>
    </row>
    <row r="1368" spans="8:16" x14ac:dyDescent="0.25">
      <c r="H1368" s="3"/>
      <c r="K1368" s="3"/>
      <c r="M1368" s="3"/>
      <c r="P1368" s="3"/>
    </row>
    <row r="1369" spans="8:16" x14ac:dyDescent="0.25">
      <c r="H1369" s="3"/>
      <c r="K1369" s="3"/>
      <c r="M1369" s="3"/>
      <c r="P1369" s="3"/>
    </row>
    <row r="1370" spans="8:16" x14ac:dyDescent="0.25">
      <c r="H1370" s="3"/>
      <c r="K1370" s="3"/>
      <c r="M1370" s="3"/>
      <c r="P1370" s="3"/>
    </row>
    <row r="1371" spans="8:16" x14ac:dyDescent="0.25">
      <c r="H1371" s="3"/>
      <c r="K1371" s="3"/>
      <c r="M1371" s="3"/>
      <c r="P1371" s="3"/>
    </row>
    <row r="1372" spans="8:16" x14ac:dyDescent="0.25">
      <c r="H1372" s="3"/>
      <c r="K1372" s="3"/>
      <c r="M1372" s="3"/>
      <c r="P1372" s="3"/>
    </row>
    <row r="1373" spans="8:16" x14ac:dyDescent="0.25">
      <c r="H1373" s="3"/>
      <c r="K1373" s="3"/>
      <c r="M1373" s="3"/>
      <c r="P1373" s="3"/>
    </row>
    <row r="1374" spans="8:16" x14ac:dyDescent="0.25">
      <c r="H1374" s="3"/>
      <c r="K1374" s="3"/>
      <c r="M1374" s="3"/>
      <c r="P1374" s="3"/>
    </row>
    <row r="1375" spans="8:16" x14ac:dyDescent="0.25">
      <c r="H1375" s="3"/>
      <c r="K1375" s="3"/>
      <c r="M1375" s="3"/>
      <c r="P1375" s="3"/>
    </row>
    <row r="1376" spans="8:16" x14ac:dyDescent="0.25">
      <c r="H1376" s="3"/>
      <c r="K1376" s="3"/>
      <c r="M1376" s="3"/>
      <c r="P1376" s="3"/>
    </row>
    <row r="1377" spans="8:16" x14ac:dyDescent="0.25">
      <c r="H1377" s="3"/>
      <c r="K1377" s="3"/>
      <c r="M1377" s="3"/>
      <c r="P1377" s="3"/>
    </row>
    <row r="1378" spans="8:16" x14ac:dyDescent="0.25">
      <c r="H1378" s="3"/>
      <c r="K1378" s="3"/>
      <c r="M1378" s="3"/>
      <c r="P1378" s="3"/>
    </row>
    <row r="1379" spans="8:16" x14ac:dyDescent="0.25">
      <c r="H1379" s="3"/>
      <c r="K1379" s="3"/>
      <c r="M1379" s="3"/>
      <c r="P1379" s="3"/>
    </row>
    <row r="1380" spans="8:16" x14ac:dyDescent="0.25">
      <c r="H1380" s="3"/>
      <c r="K1380" s="3"/>
      <c r="M1380" s="3"/>
      <c r="P1380" s="3"/>
    </row>
    <row r="1381" spans="8:16" x14ac:dyDescent="0.25">
      <c r="H1381" s="3"/>
      <c r="K1381" s="3"/>
      <c r="M1381" s="3"/>
      <c r="P1381" s="3"/>
    </row>
    <row r="1382" spans="8:16" x14ac:dyDescent="0.25">
      <c r="H1382" s="3"/>
      <c r="K1382" s="3"/>
      <c r="M1382" s="3"/>
      <c r="P1382" s="3"/>
    </row>
    <row r="1383" spans="8:16" x14ac:dyDescent="0.25">
      <c r="H1383" s="3"/>
      <c r="K1383" s="3"/>
      <c r="M1383" s="3"/>
      <c r="P1383" s="3"/>
    </row>
    <row r="1384" spans="8:16" x14ac:dyDescent="0.25">
      <c r="H1384" s="3"/>
      <c r="K1384" s="3"/>
      <c r="M1384" s="3"/>
      <c r="P1384" s="3"/>
    </row>
    <row r="1385" spans="8:16" x14ac:dyDescent="0.25">
      <c r="H1385" s="3"/>
      <c r="K1385" s="3"/>
      <c r="M1385" s="3"/>
      <c r="P1385" s="3"/>
    </row>
    <row r="1386" spans="8:16" x14ac:dyDescent="0.25">
      <c r="H1386" s="3"/>
      <c r="K1386" s="3"/>
      <c r="M1386" s="3"/>
      <c r="P1386" s="3"/>
    </row>
    <row r="1387" spans="8:16" x14ac:dyDescent="0.25">
      <c r="H1387" s="3"/>
      <c r="K1387" s="3"/>
      <c r="M1387" s="3"/>
      <c r="P1387" s="3"/>
    </row>
    <row r="1388" spans="8:16" x14ac:dyDescent="0.25">
      <c r="H1388" s="3"/>
      <c r="K1388" s="3"/>
      <c r="M1388" s="3"/>
      <c r="P1388" s="3"/>
    </row>
    <row r="1389" spans="8:16" x14ac:dyDescent="0.25">
      <c r="H1389" s="3"/>
      <c r="K1389" s="3"/>
      <c r="M1389" s="3"/>
      <c r="P1389" s="3"/>
    </row>
    <row r="1390" spans="8:16" x14ac:dyDescent="0.25">
      <c r="H1390" s="3"/>
      <c r="K1390" s="3"/>
      <c r="M1390" s="3"/>
      <c r="P1390" s="3"/>
    </row>
    <row r="1391" spans="8:16" x14ac:dyDescent="0.25">
      <c r="H1391" s="3"/>
      <c r="K1391" s="3"/>
      <c r="M1391" s="3"/>
      <c r="P1391" s="3"/>
    </row>
    <row r="1392" spans="8:16" x14ac:dyDescent="0.25">
      <c r="H1392" s="3"/>
      <c r="K1392" s="3"/>
      <c r="M1392" s="3"/>
      <c r="P1392" s="3"/>
    </row>
    <row r="1393" spans="8:16" x14ac:dyDescent="0.25">
      <c r="H1393" s="3"/>
      <c r="K1393" s="3"/>
      <c r="M1393" s="3"/>
      <c r="P1393" s="3"/>
    </row>
    <row r="1394" spans="8:16" x14ac:dyDescent="0.25">
      <c r="H1394" s="3"/>
      <c r="K1394" s="3"/>
      <c r="M1394" s="3"/>
      <c r="P1394" s="3"/>
    </row>
    <row r="1395" spans="8:16" x14ac:dyDescent="0.25">
      <c r="H1395" s="3"/>
      <c r="K1395" s="3"/>
      <c r="M1395" s="3"/>
      <c r="P1395" s="3"/>
    </row>
    <row r="1396" spans="8:16" x14ac:dyDescent="0.25">
      <c r="H1396" s="3"/>
      <c r="K1396" s="3"/>
      <c r="M1396" s="3"/>
      <c r="P1396" s="3"/>
    </row>
    <row r="1397" spans="8:16" x14ac:dyDescent="0.25">
      <c r="H1397" s="3"/>
      <c r="K1397" s="3"/>
      <c r="M1397" s="3"/>
      <c r="P1397" s="3"/>
    </row>
    <row r="1398" spans="8:16" x14ac:dyDescent="0.25">
      <c r="H1398" s="3"/>
      <c r="K1398" s="3"/>
      <c r="M1398" s="3"/>
      <c r="P1398" s="3"/>
    </row>
    <row r="1399" spans="8:16" x14ac:dyDescent="0.25">
      <c r="H1399" s="3"/>
      <c r="K1399" s="3"/>
      <c r="M1399" s="3"/>
      <c r="P1399" s="3"/>
    </row>
    <row r="1400" spans="8:16" x14ac:dyDescent="0.25">
      <c r="H1400" s="3"/>
      <c r="K1400" s="3"/>
      <c r="M1400" s="3"/>
      <c r="P1400" s="3"/>
    </row>
    <row r="1401" spans="8:16" x14ac:dyDescent="0.25">
      <c r="H1401" s="3"/>
      <c r="K1401" s="3"/>
      <c r="M1401" s="3"/>
      <c r="P1401" s="3"/>
    </row>
    <row r="1402" spans="8:16" x14ac:dyDescent="0.25">
      <c r="H1402" s="3"/>
      <c r="K1402" s="3"/>
      <c r="M1402" s="3"/>
      <c r="P1402" s="3"/>
    </row>
    <row r="1403" spans="8:16" x14ac:dyDescent="0.25">
      <c r="H1403" s="3"/>
      <c r="K1403" s="3"/>
      <c r="M1403" s="3"/>
      <c r="P1403" s="3"/>
    </row>
    <row r="1404" spans="8:16" x14ac:dyDescent="0.25">
      <c r="H1404" s="3"/>
      <c r="K1404" s="3"/>
      <c r="M1404" s="3"/>
      <c r="P1404" s="3"/>
    </row>
    <row r="1405" spans="8:16" x14ac:dyDescent="0.25">
      <c r="H1405" s="3"/>
      <c r="K1405" s="3"/>
      <c r="M1405" s="3"/>
      <c r="P1405" s="3"/>
    </row>
    <row r="1406" spans="8:16" x14ac:dyDescent="0.25">
      <c r="H1406" s="3"/>
      <c r="K1406" s="3"/>
      <c r="M1406" s="3"/>
      <c r="P1406" s="3"/>
    </row>
    <row r="1407" spans="8:16" x14ac:dyDescent="0.25">
      <c r="H1407" s="3"/>
      <c r="K1407" s="3"/>
      <c r="M1407" s="3"/>
      <c r="P1407" s="3"/>
    </row>
    <row r="1408" spans="8:16" x14ac:dyDescent="0.25">
      <c r="H1408" s="3"/>
      <c r="K1408" s="3"/>
      <c r="M1408" s="3"/>
      <c r="P1408" s="3"/>
    </row>
    <row r="1409" spans="8:16" x14ac:dyDescent="0.25">
      <c r="H1409" s="3"/>
      <c r="K1409" s="3"/>
      <c r="M1409" s="3"/>
      <c r="P1409" s="3"/>
    </row>
    <row r="1410" spans="8:16" x14ac:dyDescent="0.25">
      <c r="H1410" s="3"/>
      <c r="K1410" s="3"/>
      <c r="M1410" s="3"/>
      <c r="P1410" s="3"/>
    </row>
    <row r="1411" spans="8:16" x14ac:dyDescent="0.25">
      <c r="H1411" s="3"/>
      <c r="K1411" s="3"/>
      <c r="M1411" s="3"/>
      <c r="P1411" s="3"/>
    </row>
    <row r="1412" spans="8:16" x14ac:dyDescent="0.25">
      <c r="H1412" s="3"/>
      <c r="K1412" s="3"/>
      <c r="M1412" s="3"/>
      <c r="P1412" s="3"/>
    </row>
    <row r="1413" spans="8:16" x14ac:dyDescent="0.25">
      <c r="H1413" s="3"/>
      <c r="K1413" s="3"/>
      <c r="M1413" s="3"/>
      <c r="P1413" s="3"/>
    </row>
    <row r="1414" spans="8:16" x14ac:dyDescent="0.25">
      <c r="H1414" s="3"/>
      <c r="K1414" s="3"/>
      <c r="M1414" s="3"/>
      <c r="P1414" s="3"/>
    </row>
    <row r="1415" spans="8:16" x14ac:dyDescent="0.25">
      <c r="H1415" s="3"/>
      <c r="K1415" s="3"/>
      <c r="M1415" s="3"/>
      <c r="P1415" s="3"/>
    </row>
    <row r="1416" spans="8:16" x14ac:dyDescent="0.25">
      <c r="H1416" s="3"/>
      <c r="K1416" s="3"/>
      <c r="M1416" s="3"/>
      <c r="P1416" s="3"/>
    </row>
    <row r="1417" spans="8:16" x14ac:dyDescent="0.25">
      <c r="H1417" s="3"/>
      <c r="K1417" s="3"/>
      <c r="M1417" s="3"/>
      <c r="P1417" s="3"/>
    </row>
    <row r="1418" spans="8:16" x14ac:dyDescent="0.25">
      <c r="H1418" s="3"/>
      <c r="K1418" s="3"/>
      <c r="M1418" s="3"/>
      <c r="P1418" s="3"/>
    </row>
    <row r="1419" spans="8:16" x14ac:dyDescent="0.25">
      <c r="H1419" s="3"/>
      <c r="K1419" s="3"/>
      <c r="M1419" s="3"/>
      <c r="P1419" s="3"/>
    </row>
    <row r="1420" spans="8:16" x14ac:dyDescent="0.25">
      <c r="H1420" s="3"/>
      <c r="K1420" s="3"/>
      <c r="M1420" s="3"/>
      <c r="P1420" s="3"/>
    </row>
    <row r="1421" spans="8:16" x14ac:dyDescent="0.25">
      <c r="H1421" s="3"/>
      <c r="K1421" s="3"/>
      <c r="M1421" s="3"/>
      <c r="P1421" s="3"/>
    </row>
    <row r="1422" spans="8:16" x14ac:dyDescent="0.25">
      <c r="H1422" s="3"/>
      <c r="K1422" s="3"/>
      <c r="M1422" s="3"/>
      <c r="P1422" s="3"/>
    </row>
    <row r="1423" spans="8:16" x14ac:dyDescent="0.25">
      <c r="H1423" s="3"/>
      <c r="K1423" s="3"/>
      <c r="M1423" s="3"/>
      <c r="P1423" s="3"/>
    </row>
    <row r="1424" spans="8:16" x14ac:dyDescent="0.25">
      <c r="H1424" s="3"/>
      <c r="K1424" s="3"/>
      <c r="M1424" s="3"/>
      <c r="P1424" s="3"/>
    </row>
    <row r="1425" spans="8:16" x14ac:dyDescent="0.25">
      <c r="H1425" s="3"/>
      <c r="K1425" s="3"/>
      <c r="M1425" s="3"/>
      <c r="P1425" s="3"/>
    </row>
    <row r="1426" spans="8:16" x14ac:dyDescent="0.25">
      <c r="H1426" s="3"/>
      <c r="K1426" s="3"/>
      <c r="M1426" s="3"/>
      <c r="P1426" s="3"/>
    </row>
    <row r="1427" spans="8:16" x14ac:dyDescent="0.25">
      <c r="H1427" s="3"/>
      <c r="K1427" s="3"/>
      <c r="M1427" s="3"/>
      <c r="P1427" s="3"/>
    </row>
    <row r="1428" spans="8:16" x14ac:dyDescent="0.25">
      <c r="H1428" s="3"/>
      <c r="K1428" s="3"/>
      <c r="M1428" s="3"/>
      <c r="P1428" s="3"/>
    </row>
    <row r="1429" spans="8:16" x14ac:dyDescent="0.25">
      <c r="H1429" s="3"/>
      <c r="K1429" s="3"/>
      <c r="M1429" s="3"/>
      <c r="P1429" s="3"/>
    </row>
    <row r="1430" spans="8:16" x14ac:dyDescent="0.25">
      <c r="H1430" s="3"/>
      <c r="K1430" s="3"/>
      <c r="M1430" s="3"/>
      <c r="P1430" s="3"/>
    </row>
    <row r="1431" spans="8:16" x14ac:dyDescent="0.25">
      <c r="H1431" s="3"/>
      <c r="K1431" s="3"/>
      <c r="M1431" s="3"/>
      <c r="P1431" s="3"/>
    </row>
    <row r="1432" spans="8:16" x14ac:dyDescent="0.25">
      <c r="H1432" s="3"/>
      <c r="K1432" s="3"/>
      <c r="M1432" s="3"/>
      <c r="P1432" s="3"/>
    </row>
    <row r="1433" spans="8:16" x14ac:dyDescent="0.25">
      <c r="H1433" s="3"/>
      <c r="K1433" s="3"/>
      <c r="M1433" s="3"/>
      <c r="P1433" s="3"/>
    </row>
    <row r="1434" spans="8:16" x14ac:dyDescent="0.25">
      <c r="H1434" s="3"/>
      <c r="K1434" s="3"/>
      <c r="M1434" s="3"/>
      <c r="P1434" s="3"/>
    </row>
    <row r="1435" spans="8:16" x14ac:dyDescent="0.25">
      <c r="H1435" s="3"/>
      <c r="K1435" s="3"/>
      <c r="M1435" s="3"/>
      <c r="P1435" s="3"/>
    </row>
    <row r="1436" spans="8:16" x14ac:dyDescent="0.25">
      <c r="H1436" s="3"/>
      <c r="K1436" s="3"/>
      <c r="M1436" s="3"/>
      <c r="P1436" s="3"/>
    </row>
    <row r="1437" spans="8:16" x14ac:dyDescent="0.25">
      <c r="H1437" s="3"/>
      <c r="K1437" s="3"/>
      <c r="M1437" s="3"/>
      <c r="P1437" s="3"/>
    </row>
    <row r="1438" spans="8:16" x14ac:dyDescent="0.25">
      <c r="H1438" s="3"/>
      <c r="K1438" s="3"/>
      <c r="M1438" s="3"/>
      <c r="P1438" s="3"/>
    </row>
    <row r="1439" spans="8:16" x14ac:dyDescent="0.25">
      <c r="H1439" s="3"/>
      <c r="K1439" s="3"/>
      <c r="M1439" s="3"/>
      <c r="P1439" s="3"/>
    </row>
    <row r="1440" spans="8:16" x14ac:dyDescent="0.25">
      <c r="H1440" s="3"/>
      <c r="K1440" s="3"/>
      <c r="M1440" s="3"/>
      <c r="P1440" s="3"/>
    </row>
    <row r="1441" spans="8:16" x14ac:dyDescent="0.25">
      <c r="H1441" s="3"/>
      <c r="K1441" s="3"/>
      <c r="M1441" s="3"/>
      <c r="P1441" s="3"/>
    </row>
    <row r="1442" spans="8:16" x14ac:dyDescent="0.25">
      <c r="H1442" s="3"/>
      <c r="K1442" s="3"/>
      <c r="M1442" s="3"/>
      <c r="P1442" s="3"/>
    </row>
    <row r="1443" spans="8:16" x14ac:dyDescent="0.25">
      <c r="H1443" s="3"/>
      <c r="K1443" s="3"/>
      <c r="M1443" s="3"/>
      <c r="P1443" s="3"/>
    </row>
    <row r="1444" spans="8:16" x14ac:dyDescent="0.25">
      <c r="H1444" s="3"/>
      <c r="K1444" s="3"/>
      <c r="M1444" s="3"/>
      <c r="P1444" s="3"/>
    </row>
    <row r="1445" spans="8:16" x14ac:dyDescent="0.25">
      <c r="H1445" s="3"/>
      <c r="K1445" s="3"/>
      <c r="M1445" s="3"/>
      <c r="P1445" s="3"/>
    </row>
    <row r="1446" spans="8:16" x14ac:dyDescent="0.25">
      <c r="H1446" s="3"/>
      <c r="K1446" s="3"/>
      <c r="M1446" s="3"/>
      <c r="P1446" s="3"/>
    </row>
    <row r="1447" spans="8:16" x14ac:dyDescent="0.25">
      <c r="H1447" s="3"/>
      <c r="K1447" s="3"/>
      <c r="M1447" s="3"/>
      <c r="P1447" s="3"/>
    </row>
    <row r="1448" spans="8:16" x14ac:dyDescent="0.25">
      <c r="H1448" s="3"/>
      <c r="K1448" s="3"/>
      <c r="M1448" s="3"/>
      <c r="P1448" s="3"/>
    </row>
    <row r="1449" spans="8:16" x14ac:dyDescent="0.25">
      <c r="H1449" s="3"/>
      <c r="K1449" s="3"/>
      <c r="M1449" s="3"/>
      <c r="P1449" s="3"/>
    </row>
    <row r="1450" spans="8:16" x14ac:dyDescent="0.25">
      <c r="H1450" s="3"/>
      <c r="K1450" s="3"/>
      <c r="M1450" s="3"/>
      <c r="P1450" s="3"/>
    </row>
    <row r="1451" spans="8:16" x14ac:dyDescent="0.25">
      <c r="H1451" s="3"/>
      <c r="K1451" s="3"/>
      <c r="M1451" s="3"/>
      <c r="P1451" s="3"/>
    </row>
    <row r="1452" spans="8:16" x14ac:dyDescent="0.25">
      <c r="H1452" s="3"/>
      <c r="K1452" s="3"/>
      <c r="M1452" s="3"/>
      <c r="P1452" s="3"/>
    </row>
    <row r="1453" spans="8:16" x14ac:dyDescent="0.25">
      <c r="H1453" s="3"/>
      <c r="K1453" s="3"/>
      <c r="M1453" s="3"/>
      <c r="P1453" s="3"/>
    </row>
    <row r="1454" spans="8:16" x14ac:dyDescent="0.25">
      <c r="H1454" s="3"/>
      <c r="K1454" s="3"/>
      <c r="M1454" s="3"/>
      <c r="P1454" s="3"/>
    </row>
    <row r="1455" spans="8:16" x14ac:dyDescent="0.25">
      <c r="H1455" s="3"/>
      <c r="K1455" s="3"/>
      <c r="M1455" s="3"/>
      <c r="P1455" s="3"/>
    </row>
    <row r="1456" spans="8:16" x14ac:dyDescent="0.25">
      <c r="H1456" s="3"/>
      <c r="K1456" s="3"/>
      <c r="M1456" s="3"/>
      <c r="P1456" s="3"/>
    </row>
    <row r="1457" spans="8:16" x14ac:dyDescent="0.25">
      <c r="H1457" s="3"/>
      <c r="K1457" s="3"/>
      <c r="M1457" s="3"/>
      <c r="P1457" s="3"/>
    </row>
    <row r="1458" spans="8:16" x14ac:dyDescent="0.25">
      <c r="H1458" s="3"/>
      <c r="K1458" s="3"/>
      <c r="M1458" s="3"/>
      <c r="P1458" s="3"/>
    </row>
    <row r="1459" spans="8:16" x14ac:dyDescent="0.25">
      <c r="H1459" s="3"/>
      <c r="K1459" s="3"/>
      <c r="M1459" s="3"/>
      <c r="P1459" s="3"/>
    </row>
    <row r="1460" spans="8:16" x14ac:dyDescent="0.25">
      <c r="H1460" s="3"/>
      <c r="K1460" s="3"/>
      <c r="M1460" s="3"/>
      <c r="P1460" s="3"/>
    </row>
    <row r="1461" spans="8:16" x14ac:dyDescent="0.25">
      <c r="H1461" s="3"/>
      <c r="K1461" s="3"/>
      <c r="M1461" s="3"/>
      <c r="P1461" s="3"/>
    </row>
    <row r="1462" spans="8:16" x14ac:dyDescent="0.25">
      <c r="H1462" s="3"/>
      <c r="K1462" s="3"/>
      <c r="M1462" s="3"/>
      <c r="P1462" s="3"/>
    </row>
    <row r="1463" spans="8:16" x14ac:dyDescent="0.25">
      <c r="H1463" s="3"/>
      <c r="K1463" s="3"/>
      <c r="M1463" s="3"/>
      <c r="P1463" s="3"/>
    </row>
    <row r="1464" spans="8:16" x14ac:dyDescent="0.25">
      <c r="H1464" s="3"/>
      <c r="K1464" s="3"/>
      <c r="M1464" s="3"/>
      <c r="P1464" s="3"/>
    </row>
    <row r="1465" spans="8:16" x14ac:dyDescent="0.25">
      <c r="H1465" s="3"/>
      <c r="K1465" s="3"/>
      <c r="M1465" s="3"/>
      <c r="P1465" s="3"/>
    </row>
    <row r="1466" spans="8:16" x14ac:dyDescent="0.25">
      <c r="H1466" s="3"/>
      <c r="K1466" s="3"/>
      <c r="M1466" s="3"/>
      <c r="P1466" s="3"/>
    </row>
    <row r="1467" spans="8:16" x14ac:dyDescent="0.25">
      <c r="H1467" s="3"/>
      <c r="K1467" s="3"/>
      <c r="M1467" s="3"/>
      <c r="P1467" s="3"/>
    </row>
    <row r="1468" spans="8:16" x14ac:dyDescent="0.25">
      <c r="H1468" s="3"/>
      <c r="K1468" s="3"/>
      <c r="M1468" s="3"/>
      <c r="P1468" s="3"/>
    </row>
    <row r="1469" spans="8:16" x14ac:dyDescent="0.25">
      <c r="H1469" s="3"/>
      <c r="K1469" s="3"/>
      <c r="M1469" s="3"/>
      <c r="P1469" s="3"/>
    </row>
    <row r="1470" spans="8:16" x14ac:dyDescent="0.25">
      <c r="H1470" s="3"/>
      <c r="K1470" s="3"/>
      <c r="M1470" s="3"/>
      <c r="P1470" s="3"/>
    </row>
    <row r="1471" spans="8:16" x14ac:dyDescent="0.25">
      <c r="H1471" s="3"/>
      <c r="K1471" s="3"/>
      <c r="M1471" s="3"/>
      <c r="P1471" s="3"/>
    </row>
    <row r="1472" spans="8:16" x14ac:dyDescent="0.25">
      <c r="H1472" s="3"/>
      <c r="K1472" s="3"/>
      <c r="M1472" s="3"/>
      <c r="P1472" s="3"/>
    </row>
    <row r="1473" spans="8:16" x14ac:dyDescent="0.25">
      <c r="H1473" s="3"/>
      <c r="K1473" s="3"/>
      <c r="M1473" s="3"/>
      <c r="P1473" s="3"/>
    </row>
    <row r="1474" spans="8:16" x14ac:dyDescent="0.25">
      <c r="H1474" s="3"/>
      <c r="K1474" s="3"/>
      <c r="M1474" s="3"/>
      <c r="P1474" s="3"/>
    </row>
    <row r="1475" spans="8:16" x14ac:dyDescent="0.25">
      <c r="H1475" s="3"/>
      <c r="K1475" s="3"/>
      <c r="M1475" s="3"/>
      <c r="P1475" s="3"/>
    </row>
    <row r="1476" spans="8:16" x14ac:dyDescent="0.25">
      <c r="H1476" s="3"/>
      <c r="K1476" s="3"/>
      <c r="M1476" s="3"/>
      <c r="P1476" s="3"/>
    </row>
    <row r="1477" spans="8:16" x14ac:dyDescent="0.25">
      <c r="H1477" s="3"/>
      <c r="K1477" s="3"/>
      <c r="M1477" s="3"/>
      <c r="P1477" s="3"/>
    </row>
    <row r="1478" spans="8:16" x14ac:dyDescent="0.25">
      <c r="H1478" s="3"/>
      <c r="K1478" s="3"/>
      <c r="M1478" s="3"/>
      <c r="P1478" s="3"/>
    </row>
    <row r="1479" spans="8:16" x14ac:dyDescent="0.25">
      <c r="H1479" s="3"/>
      <c r="K1479" s="3"/>
      <c r="M1479" s="3"/>
      <c r="P1479" s="3"/>
    </row>
    <row r="1480" spans="8:16" x14ac:dyDescent="0.25">
      <c r="H1480" s="3"/>
      <c r="K1480" s="3"/>
      <c r="M1480" s="3"/>
      <c r="P1480" s="3"/>
    </row>
    <row r="1481" spans="8:16" x14ac:dyDescent="0.25">
      <c r="H1481" s="3"/>
      <c r="K1481" s="3"/>
      <c r="M1481" s="3"/>
      <c r="P1481" s="3"/>
    </row>
    <row r="1482" spans="8:16" x14ac:dyDescent="0.25">
      <c r="H1482" s="3"/>
      <c r="K1482" s="3"/>
      <c r="M1482" s="3"/>
      <c r="P1482" s="3"/>
    </row>
    <row r="1483" spans="8:16" x14ac:dyDescent="0.25">
      <c r="H1483" s="3"/>
      <c r="K1483" s="3"/>
      <c r="M1483" s="3"/>
      <c r="P1483" s="3"/>
    </row>
    <row r="1484" spans="8:16" x14ac:dyDescent="0.25">
      <c r="H1484" s="3"/>
      <c r="K1484" s="3"/>
      <c r="M1484" s="3"/>
      <c r="P1484" s="3"/>
    </row>
    <row r="1485" spans="8:16" x14ac:dyDescent="0.25">
      <c r="H1485" s="3"/>
      <c r="K1485" s="3"/>
      <c r="M1485" s="3"/>
      <c r="P1485" s="3"/>
    </row>
    <row r="1486" spans="8:16" x14ac:dyDescent="0.25">
      <c r="H1486" s="3"/>
      <c r="K1486" s="3"/>
      <c r="M1486" s="3"/>
      <c r="P1486" s="3"/>
    </row>
    <row r="1487" spans="8:16" x14ac:dyDescent="0.25">
      <c r="H1487" s="3"/>
      <c r="K1487" s="3"/>
      <c r="M1487" s="3"/>
      <c r="P1487" s="3"/>
    </row>
    <row r="1488" spans="8:16" x14ac:dyDescent="0.25">
      <c r="H1488" s="3"/>
      <c r="K1488" s="3"/>
      <c r="M1488" s="3"/>
      <c r="P1488" s="3"/>
    </row>
    <row r="1489" spans="8:16" x14ac:dyDescent="0.25">
      <c r="H1489" s="3"/>
      <c r="K1489" s="3"/>
      <c r="M1489" s="3"/>
      <c r="P1489" s="3"/>
    </row>
    <row r="1490" spans="8:16" x14ac:dyDescent="0.25">
      <c r="H1490" s="3"/>
      <c r="K1490" s="3"/>
      <c r="M1490" s="3"/>
      <c r="P1490" s="3"/>
    </row>
    <row r="1491" spans="8:16" x14ac:dyDescent="0.25">
      <c r="H1491" s="3"/>
      <c r="K1491" s="3"/>
      <c r="M1491" s="3"/>
      <c r="P1491" s="3"/>
    </row>
    <row r="1492" spans="8:16" x14ac:dyDescent="0.25">
      <c r="H1492" s="3"/>
      <c r="K1492" s="3"/>
      <c r="M1492" s="3"/>
      <c r="P1492" s="3"/>
    </row>
    <row r="1493" spans="8:16" x14ac:dyDescent="0.25">
      <c r="H1493" s="3"/>
      <c r="K1493" s="3"/>
      <c r="M1493" s="3"/>
      <c r="P1493" s="3"/>
    </row>
    <row r="1494" spans="8:16" x14ac:dyDescent="0.25">
      <c r="H1494" s="3"/>
      <c r="K1494" s="3"/>
      <c r="M1494" s="3"/>
      <c r="P1494" s="3"/>
    </row>
    <row r="1495" spans="8:16" x14ac:dyDescent="0.25">
      <c r="H1495" s="3"/>
      <c r="K1495" s="3"/>
      <c r="M1495" s="3"/>
      <c r="P1495" s="3"/>
    </row>
    <row r="1496" spans="8:16" x14ac:dyDescent="0.25">
      <c r="H1496" s="3"/>
      <c r="K1496" s="3"/>
      <c r="M1496" s="3"/>
      <c r="P1496" s="3"/>
    </row>
    <row r="1497" spans="8:16" x14ac:dyDescent="0.25">
      <c r="H1497" s="3"/>
      <c r="K1497" s="3"/>
      <c r="M1497" s="3"/>
      <c r="P1497" s="3"/>
    </row>
    <row r="1498" spans="8:16" x14ac:dyDescent="0.25">
      <c r="H1498" s="3"/>
      <c r="K1498" s="3"/>
      <c r="M1498" s="3"/>
      <c r="P1498" s="3"/>
    </row>
    <row r="1499" spans="8:16" x14ac:dyDescent="0.25">
      <c r="H1499" s="3"/>
      <c r="K1499" s="3"/>
      <c r="M1499" s="3"/>
      <c r="P1499" s="3"/>
    </row>
    <row r="1500" spans="8:16" x14ac:dyDescent="0.25">
      <c r="H1500" s="3"/>
      <c r="K1500" s="3"/>
      <c r="M1500" s="3"/>
      <c r="P1500" s="3"/>
    </row>
    <row r="1501" spans="8:16" x14ac:dyDescent="0.25">
      <c r="H1501" s="3"/>
      <c r="K1501" s="3"/>
      <c r="M1501" s="3"/>
      <c r="P1501" s="3"/>
    </row>
    <row r="1502" spans="8:16" x14ac:dyDescent="0.25">
      <c r="H1502" s="3"/>
      <c r="K1502" s="3"/>
      <c r="M1502" s="3"/>
      <c r="P1502" s="3"/>
    </row>
    <row r="1503" spans="8:16" x14ac:dyDescent="0.25">
      <c r="H1503" s="3"/>
      <c r="K1503" s="3"/>
      <c r="M1503" s="3"/>
      <c r="P1503" s="3"/>
    </row>
    <row r="1504" spans="8:16" x14ac:dyDescent="0.25">
      <c r="H1504" s="3"/>
      <c r="K1504" s="3"/>
      <c r="M1504" s="3"/>
      <c r="P1504" s="3"/>
    </row>
    <row r="1505" spans="8:16" x14ac:dyDescent="0.25">
      <c r="H1505" s="3"/>
      <c r="K1505" s="3"/>
      <c r="M1505" s="3"/>
      <c r="P1505" s="3"/>
    </row>
    <row r="1506" spans="8:16" x14ac:dyDescent="0.25">
      <c r="H1506" s="3"/>
      <c r="K1506" s="3"/>
      <c r="M1506" s="3"/>
      <c r="P1506" s="3"/>
    </row>
    <row r="1507" spans="8:16" x14ac:dyDescent="0.25">
      <c r="H1507" s="3"/>
      <c r="K1507" s="3"/>
      <c r="M1507" s="3"/>
      <c r="P1507" s="3"/>
    </row>
    <row r="1508" spans="8:16" x14ac:dyDescent="0.25">
      <c r="H1508" s="3"/>
      <c r="K1508" s="3"/>
      <c r="M1508" s="3"/>
      <c r="P1508" s="3"/>
    </row>
    <row r="1509" spans="8:16" x14ac:dyDescent="0.25">
      <c r="H1509" s="3"/>
      <c r="K1509" s="3"/>
      <c r="M1509" s="3"/>
      <c r="P1509" s="3"/>
    </row>
    <row r="1510" spans="8:16" x14ac:dyDescent="0.25">
      <c r="H1510" s="3"/>
      <c r="K1510" s="3"/>
      <c r="M1510" s="3"/>
      <c r="P1510" s="3"/>
    </row>
    <row r="1511" spans="8:16" x14ac:dyDescent="0.25">
      <c r="H1511" s="3"/>
      <c r="K1511" s="3"/>
      <c r="M1511" s="3"/>
      <c r="P1511" s="3"/>
    </row>
    <row r="1512" spans="8:16" x14ac:dyDescent="0.25">
      <c r="H1512" s="3"/>
      <c r="K1512" s="3"/>
      <c r="M1512" s="3"/>
      <c r="P1512" s="3"/>
    </row>
    <row r="1513" spans="8:16" x14ac:dyDescent="0.25">
      <c r="H1513" s="3"/>
      <c r="K1513" s="3"/>
      <c r="M1513" s="3"/>
      <c r="P1513" s="3"/>
    </row>
    <row r="1514" spans="8:16" x14ac:dyDescent="0.25">
      <c r="H1514" s="3"/>
      <c r="K1514" s="3"/>
      <c r="M1514" s="3"/>
      <c r="P1514" s="3"/>
    </row>
    <row r="1515" spans="8:16" x14ac:dyDescent="0.25">
      <c r="H1515" s="3"/>
      <c r="K1515" s="3"/>
      <c r="M1515" s="3"/>
      <c r="P1515" s="3"/>
    </row>
    <row r="1516" spans="8:16" x14ac:dyDescent="0.25">
      <c r="H1516" s="3"/>
      <c r="K1516" s="3"/>
      <c r="M1516" s="3"/>
      <c r="P1516" s="3"/>
    </row>
    <row r="1517" spans="8:16" x14ac:dyDescent="0.25">
      <c r="H1517" s="3"/>
      <c r="K1517" s="3"/>
      <c r="M1517" s="3"/>
      <c r="P1517" s="3"/>
    </row>
    <row r="1518" spans="8:16" x14ac:dyDescent="0.25">
      <c r="H1518" s="3"/>
      <c r="K1518" s="3"/>
      <c r="M1518" s="3"/>
      <c r="P1518" s="3"/>
    </row>
    <row r="1519" spans="8:16" x14ac:dyDescent="0.25">
      <c r="H1519" s="3"/>
      <c r="K1519" s="3"/>
      <c r="M1519" s="3"/>
      <c r="P1519" s="3"/>
    </row>
    <row r="1520" spans="8:16" x14ac:dyDescent="0.25">
      <c r="H1520" s="3"/>
      <c r="K1520" s="3"/>
      <c r="M1520" s="3"/>
      <c r="P1520" s="3"/>
    </row>
    <row r="1521" spans="8:16" x14ac:dyDescent="0.25">
      <c r="H1521" s="3"/>
      <c r="K1521" s="3"/>
      <c r="M1521" s="3"/>
      <c r="P1521" s="3"/>
    </row>
    <row r="1522" spans="8:16" x14ac:dyDescent="0.25">
      <c r="H1522" s="3"/>
      <c r="K1522" s="3"/>
      <c r="M1522" s="3"/>
      <c r="P1522" s="3"/>
    </row>
    <row r="1523" spans="8:16" x14ac:dyDescent="0.25">
      <c r="H1523" s="3"/>
      <c r="K1523" s="3"/>
      <c r="M1523" s="3"/>
      <c r="P1523" s="3"/>
    </row>
    <row r="1524" spans="8:16" x14ac:dyDescent="0.25">
      <c r="H1524" s="3"/>
      <c r="K1524" s="3"/>
      <c r="M1524" s="3"/>
      <c r="P1524" s="3"/>
    </row>
    <row r="1525" spans="8:16" x14ac:dyDescent="0.25">
      <c r="H1525" s="3"/>
      <c r="K1525" s="3"/>
      <c r="M1525" s="3"/>
      <c r="P1525" s="3"/>
    </row>
    <row r="1526" spans="8:16" x14ac:dyDescent="0.25">
      <c r="H1526" s="3"/>
      <c r="K1526" s="3"/>
      <c r="M1526" s="3"/>
      <c r="P1526" s="3"/>
    </row>
    <row r="1527" spans="8:16" x14ac:dyDescent="0.25">
      <c r="H1527" s="3"/>
      <c r="K1527" s="3"/>
      <c r="M1527" s="3"/>
      <c r="P1527" s="3"/>
    </row>
    <row r="1528" spans="8:16" x14ac:dyDescent="0.25">
      <c r="H1528" s="3"/>
      <c r="K1528" s="3"/>
      <c r="M1528" s="3"/>
      <c r="P1528" s="3"/>
    </row>
    <row r="1529" spans="8:16" x14ac:dyDescent="0.25">
      <c r="H1529" s="3"/>
      <c r="K1529" s="3"/>
      <c r="M1529" s="3"/>
      <c r="P1529" s="3"/>
    </row>
    <row r="1530" spans="8:16" x14ac:dyDescent="0.25">
      <c r="H1530" s="3"/>
      <c r="K1530" s="3"/>
      <c r="M1530" s="3"/>
      <c r="P1530" s="3"/>
    </row>
    <row r="1531" spans="8:16" x14ac:dyDescent="0.25">
      <c r="H1531" s="3"/>
      <c r="K1531" s="3"/>
      <c r="M1531" s="3"/>
      <c r="P1531" s="3"/>
    </row>
    <row r="1532" spans="8:16" x14ac:dyDescent="0.25">
      <c r="H1532" s="3"/>
      <c r="K1532" s="3"/>
      <c r="M1532" s="3"/>
      <c r="P1532" s="3"/>
    </row>
    <row r="1533" spans="8:16" x14ac:dyDescent="0.25">
      <c r="H1533" s="3"/>
      <c r="K1533" s="3"/>
      <c r="M1533" s="3"/>
      <c r="P1533" s="3"/>
    </row>
    <row r="1534" spans="8:16" x14ac:dyDescent="0.25">
      <c r="H1534" s="3"/>
      <c r="K1534" s="3"/>
      <c r="M1534" s="3"/>
      <c r="P1534" s="3"/>
    </row>
    <row r="1535" spans="8:16" x14ac:dyDescent="0.25">
      <c r="H1535" s="3"/>
      <c r="K1535" s="3"/>
      <c r="M1535" s="3"/>
      <c r="P1535" s="3"/>
    </row>
    <row r="1536" spans="8:16" x14ac:dyDescent="0.25">
      <c r="H1536" s="3"/>
      <c r="K1536" s="3"/>
      <c r="M1536" s="3"/>
      <c r="P1536" s="3"/>
    </row>
    <row r="1537" spans="8:16" x14ac:dyDescent="0.25">
      <c r="H1537" s="3"/>
      <c r="K1537" s="3"/>
      <c r="M1537" s="3"/>
      <c r="P1537" s="3"/>
    </row>
    <row r="1538" spans="8:16" x14ac:dyDescent="0.25">
      <c r="H1538" s="3"/>
      <c r="K1538" s="3"/>
      <c r="M1538" s="3"/>
      <c r="P1538" s="3"/>
    </row>
    <row r="1539" spans="8:16" x14ac:dyDescent="0.25">
      <c r="H1539" s="3"/>
      <c r="K1539" s="3"/>
      <c r="M1539" s="3"/>
      <c r="P1539" s="3"/>
    </row>
    <row r="1540" spans="8:16" x14ac:dyDescent="0.25">
      <c r="H1540" s="3"/>
      <c r="K1540" s="3"/>
      <c r="M1540" s="3"/>
      <c r="P1540" s="3"/>
    </row>
    <row r="1541" spans="8:16" x14ac:dyDescent="0.25">
      <c r="H1541" s="3"/>
      <c r="K1541" s="3"/>
      <c r="M1541" s="3"/>
      <c r="P1541" s="3"/>
    </row>
    <row r="1542" spans="8:16" x14ac:dyDescent="0.25">
      <c r="H1542" s="3"/>
      <c r="K1542" s="3"/>
      <c r="M1542" s="3"/>
      <c r="P1542" s="3"/>
    </row>
    <row r="1543" spans="8:16" x14ac:dyDescent="0.25">
      <c r="H1543" s="3"/>
      <c r="K1543" s="3"/>
      <c r="M1543" s="3"/>
      <c r="P1543" s="3"/>
    </row>
    <row r="1544" spans="8:16" x14ac:dyDescent="0.25">
      <c r="H1544" s="3"/>
      <c r="K1544" s="3"/>
      <c r="M1544" s="3"/>
      <c r="P1544" s="3"/>
    </row>
    <row r="1545" spans="8:16" x14ac:dyDescent="0.25">
      <c r="H1545" s="3"/>
      <c r="K1545" s="3"/>
      <c r="M1545" s="3"/>
      <c r="P1545" s="3"/>
    </row>
    <row r="1546" spans="8:16" x14ac:dyDescent="0.25">
      <c r="H1546" s="3"/>
      <c r="K1546" s="3"/>
      <c r="M1546" s="3"/>
      <c r="P1546" s="3"/>
    </row>
    <row r="1547" spans="8:16" x14ac:dyDescent="0.25">
      <c r="H1547" s="3"/>
      <c r="K1547" s="3"/>
      <c r="M1547" s="3"/>
      <c r="P1547" s="3"/>
    </row>
    <row r="1548" spans="8:16" x14ac:dyDescent="0.25">
      <c r="H1548" s="3"/>
      <c r="K1548" s="3"/>
      <c r="M1548" s="3"/>
      <c r="P1548" s="3"/>
    </row>
    <row r="1549" spans="8:16" x14ac:dyDescent="0.25">
      <c r="H1549" s="3"/>
      <c r="K1549" s="3"/>
      <c r="M1549" s="3"/>
      <c r="P1549" s="3"/>
    </row>
    <row r="1550" spans="8:16" x14ac:dyDescent="0.25">
      <c r="H1550" s="3"/>
      <c r="K1550" s="3"/>
      <c r="M1550" s="3"/>
      <c r="P1550" s="3"/>
    </row>
    <row r="1551" spans="8:16" x14ac:dyDescent="0.25">
      <c r="H1551" s="3"/>
      <c r="K1551" s="3"/>
      <c r="M1551" s="3"/>
      <c r="P1551" s="3"/>
    </row>
    <row r="1552" spans="8:16" x14ac:dyDescent="0.25">
      <c r="H1552" s="3"/>
      <c r="K1552" s="3"/>
      <c r="M1552" s="3"/>
      <c r="P1552" s="3"/>
    </row>
    <row r="1553" spans="8:16" x14ac:dyDescent="0.25">
      <c r="H1553" s="3"/>
      <c r="K1553" s="3"/>
      <c r="M1553" s="3"/>
      <c r="P1553" s="3"/>
    </row>
    <row r="1554" spans="8:16" x14ac:dyDescent="0.25">
      <c r="H1554" s="3"/>
      <c r="K1554" s="3"/>
      <c r="M1554" s="3"/>
      <c r="P1554" s="3"/>
    </row>
    <row r="1555" spans="8:16" x14ac:dyDescent="0.25">
      <c r="H1555" s="3"/>
      <c r="K1555" s="3"/>
      <c r="M1555" s="3"/>
      <c r="P1555" s="3"/>
    </row>
    <row r="1556" spans="8:16" x14ac:dyDescent="0.25">
      <c r="H1556" s="3"/>
      <c r="K1556" s="3"/>
      <c r="M1556" s="3"/>
      <c r="P1556" s="3"/>
    </row>
    <row r="1557" spans="8:16" x14ac:dyDescent="0.25">
      <c r="H1557" s="3"/>
      <c r="K1557" s="3"/>
      <c r="M1557" s="3"/>
      <c r="P1557" s="3"/>
    </row>
    <row r="1558" spans="8:16" x14ac:dyDescent="0.25">
      <c r="H1558" s="3"/>
      <c r="K1558" s="3"/>
      <c r="M1558" s="3"/>
      <c r="P1558" s="3"/>
    </row>
    <row r="1559" spans="8:16" x14ac:dyDescent="0.25">
      <c r="H1559" s="3"/>
      <c r="K1559" s="3"/>
      <c r="M1559" s="3"/>
      <c r="P1559" s="3"/>
    </row>
    <row r="1560" spans="8:16" x14ac:dyDescent="0.25">
      <c r="H1560" s="3"/>
      <c r="K1560" s="3"/>
      <c r="M1560" s="3"/>
      <c r="P1560" s="3"/>
    </row>
    <row r="1561" spans="8:16" x14ac:dyDescent="0.25">
      <c r="H1561" s="3"/>
      <c r="K1561" s="3"/>
      <c r="M1561" s="3"/>
      <c r="P1561" s="3"/>
    </row>
    <row r="1562" spans="8:16" x14ac:dyDescent="0.25">
      <c r="H1562" s="3"/>
      <c r="K1562" s="3"/>
      <c r="M1562" s="3"/>
      <c r="P1562" s="3"/>
    </row>
    <row r="1563" spans="8:16" x14ac:dyDescent="0.25">
      <c r="H1563" s="3"/>
      <c r="K1563" s="3"/>
      <c r="M1563" s="3"/>
      <c r="P1563" s="3"/>
    </row>
    <row r="1564" spans="8:16" x14ac:dyDescent="0.25">
      <c r="H1564" s="3"/>
      <c r="K1564" s="3"/>
      <c r="M1564" s="3"/>
      <c r="P1564" s="3"/>
    </row>
    <row r="1565" spans="8:16" x14ac:dyDescent="0.25">
      <c r="H1565" s="3"/>
      <c r="K1565" s="3"/>
      <c r="M1565" s="3"/>
      <c r="P1565" s="3"/>
    </row>
    <row r="1566" spans="8:16" x14ac:dyDescent="0.25">
      <c r="H1566" s="3"/>
      <c r="K1566" s="3"/>
      <c r="M1566" s="3"/>
      <c r="P1566" s="3"/>
    </row>
    <row r="1567" spans="8:16" x14ac:dyDescent="0.25">
      <c r="H1567" s="3"/>
      <c r="K1567" s="3"/>
      <c r="M1567" s="3"/>
      <c r="P1567" s="3"/>
    </row>
    <row r="1568" spans="8:16" x14ac:dyDescent="0.25">
      <c r="H1568" s="3"/>
      <c r="K1568" s="3"/>
      <c r="M1568" s="3"/>
      <c r="P1568" s="3"/>
    </row>
    <row r="1569" spans="8:16" x14ac:dyDescent="0.25">
      <c r="H1569" s="3"/>
      <c r="K1569" s="3"/>
      <c r="M1569" s="3"/>
      <c r="P1569" s="3"/>
    </row>
    <row r="1570" spans="8:16" x14ac:dyDescent="0.25">
      <c r="H1570" s="3"/>
      <c r="K1570" s="3"/>
      <c r="M1570" s="3"/>
      <c r="P1570" s="3"/>
    </row>
    <row r="1571" spans="8:16" x14ac:dyDescent="0.25">
      <c r="H1571" s="3"/>
      <c r="K1571" s="3"/>
      <c r="M1571" s="3"/>
      <c r="P1571" s="3"/>
    </row>
    <row r="1572" spans="8:16" x14ac:dyDescent="0.25">
      <c r="H1572" s="3"/>
      <c r="K1572" s="3"/>
      <c r="M1572" s="3"/>
      <c r="P1572" s="3"/>
    </row>
    <row r="1573" spans="8:16" x14ac:dyDescent="0.25">
      <c r="H1573" s="3"/>
      <c r="K1573" s="3"/>
      <c r="M1573" s="3"/>
      <c r="P1573" s="3"/>
    </row>
    <row r="1574" spans="8:16" x14ac:dyDescent="0.25">
      <c r="H1574" s="3"/>
      <c r="K1574" s="3"/>
      <c r="M1574" s="3"/>
      <c r="P1574" s="3"/>
    </row>
    <row r="1575" spans="8:16" x14ac:dyDescent="0.25">
      <c r="H1575" s="3"/>
      <c r="K1575" s="3"/>
      <c r="M1575" s="3"/>
      <c r="P1575" s="3"/>
    </row>
    <row r="1576" spans="8:16" x14ac:dyDescent="0.25">
      <c r="H1576" s="3"/>
      <c r="K1576" s="3"/>
      <c r="M1576" s="3"/>
      <c r="P1576" s="3"/>
    </row>
    <row r="1577" spans="8:16" x14ac:dyDescent="0.25">
      <c r="H1577" s="3"/>
      <c r="K1577" s="3"/>
      <c r="M1577" s="3"/>
      <c r="P1577" s="3"/>
    </row>
    <row r="1578" spans="8:16" x14ac:dyDescent="0.25">
      <c r="H1578" s="3"/>
      <c r="K1578" s="3"/>
      <c r="M1578" s="3"/>
      <c r="P1578" s="3"/>
    </row>
    <row r="1579" spans="8:16" x14ac:dyDescent="0.25">
      <c r="H1579" s="3"/>
      <c r="K1579" s="3"/>
      <c r="M1579" s="3"/>
      <c r="P1579" s="3"/>
    </row>
    <row r="1580" spans="8:16" x14ac:dyDescent="0.25">
      <c r="H1580" s="3"/>
      <c r="K1580" s="3"/>
      <c r="M1580" s="3"/>
      <c r="P1580" s="3"/>
    </row>
    <row r="1581" spans="8:16" x14ac:dyDescent="0.25">
      <c r="H1581" s="3"/>
      <c r="K1581" s="3"/>
      <c r="M1581" s="3"/>
      <c r="P1581" s="3"/>
    </row>
    <row r="1582" spans="8:16" x14ac:dyDescent="0.25">
      <c r="H1582" s="3"/>
      <c r="K1582" s="3"/>
      <c r="M1582" s="3"/>
      <c r="P1582" s="3"/>
    </row>
    <row r="1583" spans="8:16" x14ac:dyDescent="0.25">
      <c r="H1583" s="3"/>
      <c r="K1583" s="3"/>
      <c r="M1583" s="3"/>
      <c r="P1583" s="3"/>
    </row>
    <row r="1584" spans="8:16" x14ac:dyDescent="0.25">
      <c r="H1584" s="3"/>
      <c r="K1584" s="3"/>
      <c r="M1584" s="3"/>
      <c r="P1584" s="3"/>
    </row>
    <row r="1585" spans="8:16" x14ac:dyDescent="0.25">
      <c r="H1585" s="3"/>
      <c r="K1585" s="3"/>
      <c r="M1585" s="3"/>
      <c r="P1585" s="3"/>
    </row>
    <row r="1586" spans="8:16" x14ac:dyDescent="0.25">
      <c r="H1586" s="3"/>
      <c r="K1586" s="3"/>
      <c r="M1586" s="3"/>
      <c r="P1586" s="3"/>
    </row>
    <row r="1587" spans="8:16" x14ac:dyDescent="0.25">
      <c r="H1587" s="3"/>
      <c r="K1587" s="3"/>
      <c r="M1587" s="3"/>
      <c r="P1587" s="3"/>
    </row>
    <row r="1588" spans="8:16" x14ac:dyDescent="0.25">
      <c r="H1588" s="3"/>
      <c r="K1588" s="3"/>
      <c r="M1588" s="3"/>
      <c r="P1588" s="3"/>
    </row>
    <row r="1589" spans="8:16" x14ac:dyDescent="0.25">
      <c r="H1589" s="3"/>
      <c r="K1589" s="3"/>
      <c r="M1589" s="3"/>
      <c r="P1589" s="3"/>
    </row>
    <row r="1590" spans="8:16" x14ac:dyDescent="0.25">
      <c r="H1590" s="3"/>
      <c r="K1590" s="3"/>
      <c r="M1590" s="3"/>
      <c r="P1590" s="3"/>
    </row>
    <row r="1591" spans="8:16" x14ac:dyDescent="0.25">
      <c r="H1591" s="3"/>
      <c r="K1591" s="3"/>
      <c r="M1591" s="3"/>
      <c r="P1591" s="3"/>
    </row>
    <row r="1592" spans="8:16" x14ac:dyDescent="0.25">
      <c r="H1592" s="3"/>
      <c r="K1592" s="3"/>
      <c r="M1592" s="3"/>
      <c r="P1592" s="3"/>
    </row>
    <row r="1593" spans="8:16" x14ac:dyDescent="0.25">
      <c r="H1593" s="3"/>
      <c r="K1593" s="3"/>
      <c r="M1593" s="3"/>
      <c r="P1593" s="3"/>
    </row>
    <row r="1594" spans="8:16" x14ac:dyDescent="0.25">
      <c r="H1594" s="3"/>
      <c r="K1594" s="3"/>
      <c r="M1594" s="3"/>
      <c r="P1594" s="3"/>
    </row>
    <row r="1595" spans="8:16" x14ac:dyDescent="0.25">
      <c r="H1595" s="3"/>
      <c r="K1595" s="3"/>
      <c r="M1595" s="3"/>
      <c r="P1595" s="3"/>
    </row>
    <row r="1596" spans="8:16" x14ac:dyDescent="0.25">
      <c r="H1596" s="3"/>
      <c r="K1596" s="3"/>
      <c r="M1596" s="3"/>
      <c r="P1596" s="3"/>
    </row>
    <row r="1597" spans="8:16" x14ac:dyDescent="0.25">
      <c r="H1597" s="3"/>
      <c r="K1597" s="3"/>
      <c r="M1597" s="3"/>
      <c r="P1597" s="3"/>
    </row>
    <row r="1598" spans="8:16" x14ac:dyDescent="0.25">
      <c r="H1598" s="3"/>
      <c r="K1598" s="3"/>
      <c r="M1598" s="3"/>
      <c r="P1598" s="3"/>
    </row>
    <row r="1599" spans="8:16" x14ac:dyDescent="0.25">
      <c r="H1599" s="3"/>
      <c r="K1599" s="3"/>
      <c r="M1599" s="3"/>
      <c r="P1599" s="3"/>
    </row>
    <row r="1600" spans="8:16" x14ac:dyDescent="0.25">
      <c r="H1600" s="3"/>
      <c r="K1600" s="3"/>
      <c r="M1600" s="3"/>
      <c r="P1600" s="3"/>
    </row>
    <row r="1601" spans="8:16" x14ac:dyDescent="0.25">
      <c r="H1601" s="3"/>
      <c r="K1601" s="3"/>
      <c r="M1601" s="3"/>
      <c r="P1601" s="3"/>
    </row>
    <row r="1602" spans="8:16" x14ac:dyDescent="0.25">
      <c r="H1602" s="3"/>
      <c r="K1602" s="3"/>
      <c r="M1602" s="3"/>
      <c r="P1602" s="3"/>
    </row>
    <row r="1603" spans="8:16" x14ac:dyDescent="0.25">
      <c r="H1603" s="3"/>
      <c r="K1603" s="3"/>
      <c r="M1603" s="3"/>
      <c r="P1603" s="3"/>
    </row>
    <row r="1604" spans="8:16" x14ac:dyDescent="0.25">
      <c r="H1604" s="3"/>
      <c r="K1604" s="3"/>
      <c r="M1604" s="3"/>
      <c r="P1604" s="3"/>
    </row>
    <row r="1605" spans="8:16" x14ac:dyDescent="0.25">
      <c r="H1605" s="3"/>
      <c r="K1605" s="3"/>
      <c r="M1605" s="3"/>
      <c r="P1605" s="3"/>
    </row>
    <row r="1606" spans="8:16" x14ac:dyDescent="0.25">
      <c r="H1606" s="3"/>
      <c r="K1606" s="3"/>
      <c r="M1606" s="3"/>
      <c r="P1606" s="3"/>
    </row>
    <row r="1607" spans="8:16" x14ac:dyDescent="0.25">
      <c r="H1607" s="3"/>
      <c r="K1607" s="3"/>
      <c r="M1607" s="3"/>
      <c r="P1607" s="3"/>
    </row>
    <row r="1608" spans="8:16" x14ac:dyDescent="0.25">
      <c r="H1608" s="3"/>
      <c r="K1608" s="3"/>
      <c r="M1608" s="3"/>
      <c r="P1608" s="3"/>
    </row>
    <row r="1609" spans="8:16" x14ac:dyDescent="0.25">
      <c r="H1609" s="3"/>
      <c r="K1609" s="3"/>
      <c r="M1609" s="3"/>
      <c r="P1609" s="3"/>
    </row>
    <row r="1610" spans="8:16" x14ac:dyDescent="0.25">
      <c r="H1610" s="3"/>
      <c r="K1610" s="3"/>
      <c r="M1610" s="3"/>
      <c r="P1610" s="3"/>
    </row>
    <row r="1611" spans="8:16" x14ac:dyDescent="0.25">
      <c r="H1611" s="3"/>
      <c r="K1611" s="3"/>
      <c r="M1611" s="3"/>
      <c r="P1611" s="3"/>
    </row>
    <row r="1612" spans="8:16" x14ac:dyDescent="0.25">
      <c r="H1612" s="3"/>
      <c r="K1612" s="3"/>
      <c r="M1612" s="3"/>
      <c r="P1612" s="3"/>
    </row>
    <row r="1613" spans="8:16" x14ac:dyDescent="0.25">
      <c r="H1613" s="3"/>
      <c r="K1613" s="3"/>
      <c r="M1613" s="3"/>
      <c r="P1613" s="3"/>
    </row>
    <row r="1614" spans="8:16" x14ac:dyDescent="0.25">
      <c r="H1614" s="3"/>
      <c r="K1614" s="3"/>
      <c r="M1614" s="3"/>
      <c r="P1614" s="3"/>
    </row>
    <row r="1615" spans="8:16" x14ac:dyDescent="0.25">
      <c r="H1615" s="3"/>
      <c r="K1615" s="3"/>
      <c r="M1615" s="3"/>
      <c r="P1615" s="3"/>
    </row>
    <row r="1616" spans="8:16" x14ac:dyDescent="0.25">
      <c r="H1616" s="3"/>
      <c r="K1616" s="3"/>
      <c r="M1616" s="3"/>
      <c r="P1616" s="3"/>
    </row>
    <row r="1617" spans="8:16" x14ac:dyDescent="0.25">
      <c r="H1617" s="3"/>
      <c r="K1617" s="3"/>
      <c r="M1617" s="3"/>
      <c r="P1617" s="3"/>
    </row>
    <row r="1618" spans="8:16" x14ac:dyDescent="0.25">
      <c r="H1618" s="3"/>
      <c r="K1618" s="3"/>
      <c r="M1618" s="3"/>
      <c r="P1618" s="3"/>
    </row>
    <row r="1619" spans="8:16" x14ac:dyDescent="0.25">
      <c r="H1619" s="3"/>
      <c r="K1619" s="3"/>
      <c r="M1619" s="3"/>
      <c r="P1619" s="3"/>
    </row>
    <row r="1620" spans="8:16" x14ac:dyDescent="0.25">
      <c r="H1620" s="3"/>
      <c r="K1620" s="3"/>
      <c r="M1620" s="3"/>
      <c r="P1620" s="3"/>
    </row>
    <row r="1621" spans="8:16" x14ac:dyDescent="0.25">
      <c r="H1621" s="3"/>
      <c r="K1621" s="3"/>
      <c r="M1621" s="3"/>
      <c r="P1621" s="3"/>
    </row>
    <row r="1622" spans="8:16" x14ac:dyDescent="0.25">
      <c r="H1622" s="3"/>
      <c r="K1622" s="3"/>
      <c r="M1622" s="3"/>
      <c r="P1622" s="3"/>
    </row>
    <row r="1623" spans="8:16" x14ac:dyDescent="0.25">
      <c r="H1623" s="3"/>
      <c r="K1623" s="3"/>
      <c r="M1623" s="3"/>
      <c r="P1623" s="3"/>
    </row>
    <row r="1624" spans="8:16" x14ac:dyDescent="0.25">
      <c r="H1624" s="3"/>
      <c r="K1624" s="3"/>
      <c r="M1624" s="3"/>
      <c r="P1624" s="3"/>
    </row>
    <row r="1625" spans="8:16" x14ac:dyDescent="0.25">
      <c r="H1625" s="3"/>
      <c r="K1625" s="3"/>
      <c r="M1625" s="3"/>
      <c r="P1625" s="3"/>
    </row>
    <row r="1626" spans="8:16" x14ac:dyDescent="0.25">
      <c r="H1626" s="3"/>
      <c r="K1626" s="3"/>
      <c r="M1626" s="3"/>
      <c r="P1626" s="3"/>
    </row>
    <row r="1627" spans="8:16" x14ac:dyDescent="0.25">
      <c r="H1627" s="3"/>
      <c r="K1627" s="3"/>
      <c r="M1627" s="3"/>
      <c r="P1627" s="3"/>
    </row>
    <row r="1628" spans="8:16" x14ac:dyDescent="0.25">
      <c r="H1628" s="3"/>
      <c r="K1628" s="3"/>
      <c r="M1628" s="3"/>
      <c r="P1628" s="3"/>
    </row>
    <row r="1629" spans="8:16" x14ac:dyDescent="0.25">
      <c r="H1629" s="3"/>
      <c r="K1629" s="3"/>
      <c r="M1629" s="3"/>
      <c r="P1629" s="3"/>
    </row>
    <row r="1630" spans="8:16" x14ac:dyDescent="0.25">
      <c r="H1630" s="3"/>
      <c r="K1630" s="3"/>
      <c r="M1630" s="3"/>
      <c r="P1630" s="3"/>
    </row>
    <row r="1631" spans="8:16" x14ac:dyDescent="0.25">
      <c r="H1631" s="3"/>
      <c r="K1631" s="3"/>
      <c r="M1631" s="3"/>
      <c r="P1631" s="3"/>
    </row>
    <row r="1632" spans="8:16" x14ac:dyDescent="0.25">
      <c r="H1632" s="3"/>
      <c r="K1632" s="3"/>
      <c r="M1632" s="3"/>
      <c r="P1632" s="3"/>
    </row>
    <row r="1633" spans="8:16" x14ac:dyDescent="0.25">
      <c r="H1633" s="3"/>
      <c r="K1633" s="3"/>
      <c r="M1633" s="3"/>
      <c r="P1633" s="3"/>
    </row>
    <row r="1634" spans="8:16" x14ac:dyDescent="0.25">
      <c r="H1634" s="3"/>
      <c r="K1634" s="3"/>
      <c r="M1634" s="3"/>
      <c r="P1634" s="3"/>
    </row>
    <row r="1635" spans="8:16" x14ac:dyDescent="0.25">
      <c r="H1635" s="3"/>
      <c r="K1635" s="3"/>
      <c r="M1635" s="3"/>
      <c r="P1635" s="3"/>
    </row>
    <row r="1636" spans="8:16" x14ac:dyDescent="0.25">
      <c r="H1636" s="3"/>
      <c r="K1636" s="3"/>
      <c r="M1636" s="3"/>
      <c r="P1636" s="3"/>
    </row>
    <row r="1637" spans="8:16" x14ac:dyDescent="0.25">
      <c r="H1637" s="3"/>
      <c r="K1637" s="3"/>
      <c r="M1637" s="3"/>
      <c r="P1637" s="3"/>
    </row>
    <row r="1638" spans="8:16" x14ac:dyDescent="0.25">
      <c r="H1638" s="3"/>
      <c r="K1638" s="3"/>
      <c r="M1638" s="3"/>
      <c r="P1638" s="3"/>
    </row>
    <row r="1639" spans="8:16" x14ac:dyDescent="0.25">
      <c r="H1639" s="3"/>
      <c r="K1639" s="3"/>
      <c r="M1639" s="3"/>
      <c r="P1639" s="3"/>
    </row>
    <row r="1640" spans="8:16" x14ac:dyDescent="0.25">
      <c r="H1640" s="3"/>
      <c r="K1640" s="3"/>
      <c r="M1640" s="3"/>
      <c r="P1640" s="3"/>
    </row>
    <row r="1641" spans="8:16" x14ac:dyDescent="0.25">
      <c r="H1641" s="3"/>
      <c r="K1641" s="3"/>
      <c r="M1641" s="3"/>
      <c r="P1641" s="3"/>
    </row>
    <row r="1642" spans="8:16" x14ac:dyDescent="0.25">
      <c r="H1642" s="3"/>
      <c r="K1642" s="3"/>
      <c r="M1642" s="3"/>
      <c r="P1642" s="3"/>
    </row>
    <row r="1643" spans="8:16" x14ac:dyDescent="0.25">
      <c r="H1643" s="3"/>
      <c r="K1643" s="3"/>
      <c r="M1643" s="3"/>
      <c r="P1643" s="3"/>
    </row>
    <row r="1644" spans="8:16" x14ac:dyDescent="0.25">
      <c r="H1644" s="3"/>
      <c r="K1644" s="3"/>
      <c r="M1644" s="3"/>
      <c r="P1644" s="3"/>
    </row>
    <row r="1645" spans="8:16" x14ac:dyDescent="0.25">
      <c r="H1645" s="3"/>
      <c r="K1645" s="3"/>
      <c r="M1645" s="3"/>
      <c r="P1645" s="3"/>
    </row>
    <row r="1646" spans="8:16" x14ac:dyDescent="0.25">
      <c r="H1646" s="3"/>
      <c r="K1646" s="3"/>
      <c r="M1646" s="3"/>
      <c r="P1646" s="3"/>
    </row>
    <row r="1647" spans="8:16" x14ac:dyDescent="0.25">
      <c r="H1647" s="3"/>
      <c r="K1647" s="3"/>
      <c r="M1647" s="3"/>
      <c r="P1647" s="3"/>
    </row>
    <row r="1648" spans="8:16" x14ac:dyDescent="0.25">
      <c r="H1648" s="3"/>
      <c r="K1648" s="3"/>
      <c r="M1648" s="3"/>
      <c r="P1648" s="3"/>
    </row>
    <row r="1649" spans="8:16" x14ac:dyDescent="0.25">
      <c r="H1649" s="3"/>
      <c r="K1649" s="3"/>
      <c r="M1649" s="3"/>
      <c r="P1649" s="3"/>
    </row>
    <row r="1650" spans="8:16" x14ac:dyDescent="0.25">
      <c r="H1650" s="3"/>
      <c r="K1650" s="3"/>
      <c r="M1650" s="3"/>
      <c r="P1650" s="3"/>
    </row>
    <row r="1651" spans="8:16" x14ac:dyDescent="0.25">
      <c r="H1651" s="3"/>
      <c r="K1651" s="3"/>
      <c r="M1651" s="3"/>
      <c r="P1651" s="3"/>
    </row>
    <row r="1652" spans="8:16" x14ac:dyDescent="0.25">
      <c r="H1652" s="3"/>
      <c r="K1652" s="3"/>
      <c r="M1652" s="3"/>
      <c r="P1652" s="3"/>
    </row>
    <row r="1653" spans="8:16" x14ac:dyDescent="0.25">
      <c r="H1653" s="3"/>
      <c r="K1653" s="3"/>
      <c r="M1653" s="3"/>
      <c r="P1653" s="3"/>
    </row>
    <row r="1654" spans="8:16" x14ac:dyDescent="0.25">
      <c r="H1654" s="3"/>
      <c r="K1654" s="3"/>
      <c r="M1654" s="3"/>
      <c r="P1654" s="3"/>
    </row>
    <row r="1655" spans="8:16" x14ac:dyDescent="0.25">
      <c r="H1655" s="3"/>
      <c r="K1655" s="3"/>
      <c r="M1655" s="3"/>
      <c r="P1655" s="3"/>
    </row>
    <row r="1656" spans="8:16" x14ac:dyDescent="0.25">
      <c r="H1656" s="3"/>
      <c r="K1656" s="3"/>
      <c r="M1656" s="3"/>
      <c r="P1656" s="3"/>
    </row>
    <row r="1657" spans="8:16" x14ac:dyDescent="0.25">
      <c r="H1657" s="3"/>
      <c r="K1657" s="3"/>
      <c r="M1657" s="3"/>
      <c r="P1657" s="3"/>
    </row>
    <row r="1658" spans="8:16" x14ac:dyDescent="0.25">
      <c r="H1658" s="3"/>
      <c r="K1658" s="3"/>
      <c r="M1658" s="3"/>
      <c r="P1658" s="3"/>
    </row>
    <row r="1659" spans="8:16" x14ac:dyDescent="0.25">
      <c r="H1659" s="3"/>
      <c r="K1659" s="3"/>
      <c r="M1659" s="3"/>
      <c r="P1659" s="3"/>
    </row>
    <row r="1660" spans="8:16" x14ac:dyDescent="0.25">
      <c r="H1660" s="3"/>
      <c r="K1660" s="3"/>
      <c r="M1660" s="3"/>
      <c r="P1660" s="3"/>
    </row>
    <row r="1661" spans="8:16" x14ac:dyDescent="0.25">
      <c r="H1661" s="3"/>
      <c r="K1661" s="3"/>
      <c r="M1661" s="3"/>
      <c r="P1661" s="3"/>
    </row>
    <row r="1662" spans="8:16" x14ac:dyDescent="0.25">
      <c r="H1662" s="3"/>
      <c r="K1662" s="3"/>
      <c r="M1662" s="3"/>
      <c r="P1662" s="3"/>
    </row>
    <row r="1663" spans="8:16" x14ac:dyDescent="0.25">
      <c r="H1663" s="3"/>
      <c r="K1663" s="3"/>
      <c r="M1663" s="3"/>
      <c r="P1663" s="3"/>
    </row>
    <row r="1664" spans="8:16" x14ac:dyDescent="0.25">
      <c r="H1664" s="3"/>
      <c r="K1664" s="3"/>
      <c r="M1664" s="3"/>
      <c r="P1664" s="3"/>
    </row>
    <row r="1665" spans="8:16" x14ac:dyDescent="0.25">
      <c r="H1665" s="3"/>
      <c r="K1665" s="3"/>
      <c r="M1665" s="3"/>
      <c r="P1665" s="3"/>
    </row>
    <row r="1666" spans="8:16" x14ac:dyDescent="0.25">
      <c r="H1666" s="3"/>
      <c r="K1666" s="3"/>
      <c r="M1666" s="3"/>
      <c r="P1666" s="3"/>
    </row>
    <row r="1667" spans="8:16" x14ac:dyDescent="0.25">
      <c r="H1667" s="3"/>
      <c r="K1667" s="3"/>
      <c r="M1667" s="3"/>
      <c r="P1667" s="3"/>
    </row>
    <row r="1668" spans="8:16" x14ac:dyDescent="0.25">
      <c r="H1668" s="3"/>
      <c r="K1668" s="3"/>
      <c r="M1668" s="3"/>
      <c r="P1668" s="3"/>
    </row>
    <row r="1669" spans="8:16" x14ac:dyDescent="0.25">
      <c r="H1669" s="3"/>
      <c r="K1669" s="3"/>
      <c r="M1669" s="3"/>
      <c r="P1669" s="3"/>
    </row>
    <row r="1670" spans="8:16" x14ac:dyDescent="0.25">
      <c r="H1670" s="3"/>
      <c r="K1670" s="3"/>
      <c r="M1670" s="3"/>
      <c r="P1670" s="3"/>
    </row>
    <row r="1671" spans="8:16" x14ac:dyDescent="0.25">
      <c r="H1671" s="3"/>
      <c r="K1671" s="3"/>
      <c r="M1671" s="3"/>
      <c r="P1671" s="3"/>
    </row>
    <row r="1672" spans="8:16" x14ac:dyDescent="0.25">
      <c r="H1672" s="3"/>
      <c r="K1672" s="3"/>
      <c r="M1672" s="3"/>
      <c r="P1672" s="3"/>
    </row>
    <row r="1673" spans="8:16" x14ac:dyDescent="0.25">
      <c r="H1673" s="3"/>
      <c r="K1673" s="3"/>
      <c r="M1673" s="3"/>
      <c r="P1673" s="3"/>
    </row>
    <row r="1674" spans="8:16" x14ac:dyDescent="0.25">
      <c r="H1674" s="3"/>
      <c r="K1674" s="3"/>
      <c r="M1674" s="3"/>
      <c r="P1674" s="3"/>
    </row>
    <row r="1675" spans="8:16" x14ac:dyDescent="0.25">
      <c r="H1675" s="3"/>
      <c r="K1675" s="3"/>
      <c r="M1675" s="3"/>
      <c r="P1675" s="3"/>
    </row>
    <row r="1676" spans="8:16" x14ac:dyDescent="0.25">
      <c r="H1676" s="3"/>
      <c r="K1676" s="3"/>
      <c r="M1676" s="3"/>
      <c r="P1676" s="3"/>
    </row>
    <row r="1677" spans="8:16" x14ac:dyDescent="0.25">
      <c r="H1677" s="3"/>
      <c r="K1677" s="3"/>
      <c r="M1677" s="3"/>
      <c r="P1677" s="3"/>
    </row>
    <row r="1678" spans="8:16" x14ac:dyDescent="0.25">
      <c r="H1678" s="3"/>
      <c r="K1678" s="3"/>
      <c r="M1678" s="3"/>
      <c r="P1678" s="3"/>
    </row>
    <row r="1679" spans="8:16" x14ac:dyDescent="0.25">
      <c r="H1679" s="3"/>
      <c r="K1679" s="3"/>
      <c r="M1679" s="3"/>
      <c r="P1679" s="3"/>
    </row>
    <row r="1680" spans="8:16" x14ac:dyDescent="0.25">
      <c r="H1680" s="3"/>
      <c r="K1680" s="3"/>
      <c r="M1680" s="3"/>
      <c r="P1680" s="3"/>
    </row>
    <row r="1681" spans="8:16" x14ac:dyDescent="0.25">
      <c r="H1681" s="3"/>
      <c r="K1681" s="3"/>
      <c r="M1681" s="3"/>
      <c r="P1681" s="3"/>
    </row>
    <row r="1682" spans="8:16" x14ac:dyDescent="0.25">
      <c r="H1682" s="3"/>
      <c r="K1682" s="3"/>
      <c r="M1682" s="3"/>
      <c r="P1682" s="3"/>
    </row>
    <row r="1683" spans="8:16" x14ac:dyDescent="0.25">
      <c r="H1683" s="3"/>
      <c r="K1683" s="3"/>
      <c r="M1683" s="3"/>
      <c r="P1683" s="3"/>
    </row>
    <row r="1684" spans="8:16" x14ac:dyDescent="0.25">
      <c r="H1684" s="3"/>
      <c r="K1684" s="3"/>
      <c r="M1684" s="3"/>
      <c r="P1684" s="3"/>
    </row>
    <row r="1685" spans="8:16" x14ac:dyDescent="0.25">
      <c r="H1685" s="3"/>
      <c r="K1685" s="3"/>
      <c r="M1685" s="3"/>
      <c r="P1685" s="3"/>
    </row>
    <row r="1686" spans="8:16" x14ac:dyDescent="0.25">
      <c r="H1686" s="3"/>
      <c r="K1686" s="3"/>
      <c r="M1686" s="3"/>
      <c r="P1686" s="3"/>
    </row>
    <row r="1687" spans="8:16" x14ac:dyDescent="0.25">
      <c r="H1687" s="3"/>
      <c r="K1687" s="3"/>
      <c r="M1687" s="3"/>
      <c r="P1687" s="3"/>
    </row>
    <row r="1688" spans="8:16" x14ac:dyDescent="0.25">
      <c r="H1688" s="3"/>
      <c r="K1688" s="3"/>
      <c r="M1688" s="3"/>
      <c r="P1688" s="3"/>
    </row>
    <row r="1689" spans="8:16" x14ac:dyDescent="0.25">
      <c r="H1689" s="3"/>
      <c r="K1689" s="3"/>
      <c r="M1689" s="3"/>
      <c r="P1689" s="3"/>
    </row>
    <row r="1690" spans="8:16" x14ac:dyDescent="0.25">
      <c r="H1690" s="3"/>
      <c r="K1690" s="3"/>
      <c r="M1690" s="3"/>
      <c r="P1690" s="3"/>
    </row>
    <row r="1691" spans="8:16" x14ac:dyDescent="0.25">
      <c r="H1691" s="3"/>
      <c r="K1691" s="3"/>
      <c r="M1691" s="3"/>
      <c r="P1691" s="3"/>
    </row>
    <row r="1692" spans="8:16" x14ac:dyDescent="0.25">
      <c r="H1692" s="3"/>
      <c r="K1692" s="3"/>
      <c r="M1692" s="3"/>
      <c r="P1692" s="3"/>
    </row>
    <row r="1693" spans="8:16" x14ac:dyDescent="0.25">
      <c r="H1693" s="3"/>
      <c r="K1693" s="3"/>
      <c r="M1693" s="3"/>
      <c r="P1693" s="3"/>
    </row>
    <row r="1694" spans="8:16" x14ac:dyDescent="0.25">
      <c r="H1694" s="3"/>
      <c r="K1694" s="3"/>
      <c r="M1694" s="3"/>
      <c r="P1694" s="3"/>
    </row>
    <row r="1695" spans="8:16" x14ac:dyDescent="0.25">
      <c r="H1695" s="3"/>
      <c r="K1695" s="3"/>
      <c r="M1695" s="3"/>
      <c r="P1695" s="3"/>
    </row>
    <row r="1696" spans="8:16" x14ac:dyDescent="0.25">
      <c r="H1696" s="3"/>
      <c r="K1696" s="3"/>
      <c r="M1696" s="3"/>
      <c r="P1696" s="3"/>
    </row>
    <row r="1697" spans="8:16" x14ac:dyDescent="0.25">
      <c r="H1697" s="3"/>
      <c r="K1697" s="3"/>
      <c r="M1697" s="3"/>
      <c r="P1697" s="3"/>
    </row>
    <row r="1698" spans="8:16" x14ac:dyDescent="0.25">
      <c r="H1698" s="3"/>
      <c r="K1698" s="3"/>
      <c r="M1698" s="3"/>
      <c r="P1698" s="3"/>
    </row>
    <row r="1699" spans="8:16" x14ac:dyDescent="0.25">
      <c r="H1699" s="3"/>
      <c r="K1699" s="3"/>
      <c r="M1699" s="3"/>
      <c r="P1699" s="3"/>
    </row>
    <row r="1700" spans="8:16" x14ac:dyDescent="0.25">
      <c r="H1700" s="3"/>
      <c r="K1700" s="3"/>
      <c r="M1700" s="3"/>
      <c r="P1700" s="3"/>
    </row>
    <row r="1701" spans="8:16" x14ac:dyDescent="0.25">
      <c r="H1701" s="3"/>
      <c r="K1701" s="3"/>
      <c r="M1701" s="3"/>
      <c r="P1701" s="3"/>
    </row>
    <row r="1702" spans="8:16" x14ac:dyDescent="0.25">
      <c r="H1702" s="3"/>
      <c r="K1702" s="3"/>
      <c r="M1702" s="3"/>
      <c r="P1702" s="3"/>
    </row>
    <row r="1703" spans="8:16" x14ac:dyDescent="0.25">
      <c r="H1703" s="3"/>
      <c r="K1703" s="3"/>
      <c r="M1703" s="3"/>
      <c r="P1703" s="3"/>
    </row>
    <row r="1704" spans="8:16" x14ac:dyDescent="0.25">
      <c r="H1704" s="3"/>
      <c r="K1704" s="3"/>
      <c r="M1704" s="3"/>
      <c r="P1704" s="3"/>
    </row>
    <row r="1705" spans="8:16" x14ac:dyDescent="0.25">
      <c r="H1705" s="3"/>
      <c r="K1705" s="3"/>
      <c r="M1705" s="3"/>
      <c r="P1705" s="3"/>
    </row>
    <row r="1706" spans="8:16" x14ac:dyDescent="0.25">
      <c r="H1706" s="3"/>
      <c r="K1706" s="3"/>
      <c r="M1706" s="3"/>
      <c r="P1706" s="3"/>
    </row>
    <row r="1707" spans="8:16" x14ac:dyDescent="0.25">
      <c r="H1707" s="3"/>
      <c r="K1707" s="3"/>
      <c r="M1707" s="3"/>
      <c r="P1707" s="3"/>
    </row>
    <row r="1708" spans="8:16" x14ac:dyDescent="0.25">
      <c r="H1708" s="3"/>
      <c r="K1708" s="3"/>
      <c r="M1708" s="3"/>
      <c r="P1708" s="3"/>
    </row>
    <row r="1709" spans="8:16" x14ac:dyDescent="0.25">
      <c r="H1709" s="3"/>
      <c r="K1709" s="3"/>
      <c r="M1709" s="3"/>
      <c r="P1709" s="3"/>
    </row>
    <row r="1710" spans="8:16" x14ac:dyDescent="0.25">
      <c r="H1710" s="3"/>
      <c r="K1710" s="3"/>
      <c r="M1710" s="3"/>
      <c r="P1710" s="3"/>
    </row>
    <row r="1711" spans="8:16" x14ac:dyDescent="0.25">
      <c r="H1711" s="3"/>
      <c r="K1711" s="3"/>
      <c r="M1711" s="3"/>
      <c r="P1711" s="3"/>
    </row>
    <row r="1712" spans="8:16" x14ac:dyDescent="0.25">
      <c r="H1712" s="3"/>
      <c r="K1712" s="3"/>
      <c r="M1712" s="3"/>
      <c r="P1712" s="3"/>
    </row>
    <row r="1713" spans="8:16" x14ac:dyDescent="0.25">
      <c r="H1713" s="3"/>
      <c r="K1713" s="3"/>
      <c r="M1713" s="3"/>
      <c r="P1713" s="3"/>
    </row>
    <row r="1714" spans="8:16" x14ac:dyDescent="0.25">
      <c r="H1714" s="3"/>
      <c r="K1714" s="3"/>
      <c r="M1714" s="3"/>
      <c r="P1714" s="3"/>
    </row>
    <row r="1715" spans="8:16" x14ac:dyDescent="0.25">
      <c r="H1715" s="3"/>
      <c r="K1715" s="3"/>
      <c r="M1715" s="3"/>
      <c r="P1715" s="3"/>
    </row>
    <row r="1716" spans="8:16" x14ac:dyDescent="0.25">
      <c r="H1716" s="3"/>
      <c r="K1716" s="3"/>
      <c r="M1716" s="3"/>
      <c r="P1716" s="3"/>
    </row>
    <row r="1717" spans="8:16" x14ac:dyDescent="0.25">
      <c r="H1717" s="3"/>
      <c r="K1717" s="3"/>
      <c r="M1717" s="3"/>
      <c r="P1717" s="3"/>
    </row>
    <row r="1718" spans="8:16" x14ac:dyDescent="0.25">
      <c r="H1718" s="3"/>
      <c r="K1718" s="3"/>
      <c r="M1718" s="3"/>
      <c r="P1718" s="3"/>
    </row>
    <row r="1719" spans="8:16" x14ac:dyDescent="0.25">
      <c r="H1719" s="3"/>
      <c r="K1719" s="3"/>
      <c r="M1719" s="3"/>
      <c r="P1719" s="3"/>
    </row>
    <row r="1720" spans="8:16" x14ac:dyDescent="0.25">
      <c r="H1720" s="3"/>
      <c r="K1720" s="3"/>
      <c r="M1720" s="3"/>
      <c r="P1720" s="3"/>
    </row>
    <row r="1721" spans="8:16" x14ac:dyDescent="0.25">
      <c r="H1721" s="3"/>
      <c r="K1721" s="3"/>
      <c r="M1721" s="3"/>
      <c r="P1721" s="3"/>
    </row>
    <row r="1722" spans="8:16" x14ac:dyDescent="0.25">
      <c r="H1722" s="3"/>
      <c r="K1722" s="3"/>
      <c r="M1722" s="3"/>
      <c r="P1722" s="3"/>
    </row>
    <row r="1723" spans="8:16" x14ac:dyDescent="0.25">
      <c r="H1723" s="3"/>
      <c r="K1723" s="3"/>
      <c r="M1723" s="3"/>
      <c r="P1723" s="3"/>
    </row>
    <row r="1724" spans="8:16" x14ac:dyDescent="0.25">
      <c r="H1724" s="3"/>
      <c r="K1724" s="3"/>
      <c r="M1724" s="3"/>
      <c r="P1724" s="3"/>
    </row>
    <row r="1725" spans="8:16" x14ac:dyDescent="0.25">
      <c r="H1725" s="3"/>
      <c r="K1725" s="3"/>
      <c r="M1725" s="3"/>
      <c r="P1725" s="3"/>
    </row>
    <row r="1726" spans="8:16" x14ac:dyDescent="0.25">
      <c r="H1726" s="3"/>
      <c r="K1726" s="3"/>
      <c r="M1726" s="3"/>
      <c r="P1726" s="3"/>
    </row>
    <row r="1727" spans="8:16" x14ac:dyDescent="0.25">
      <c r="H1727" s="3"/>
      <c r="K1727" s="3"/>
      <c r="M1727" s="3"/>
      <c r="P1727" s="3"/>
    </row>
    <row r="1728" spans="8:16" x14ac:dyDescent="0.25">
      <c r="H1728" s="3"/>
      <c r="K1728" s="3"/>
      <c r="M1728" s="3"/>
      <c r="P1728" s="3"/>
    </row>
    <row r="1729" spans="8:16" x14ac:dyDescent="0.25">
      <c r="H1729" s="3"/>
      <c r="K1729" s="3"/>
      <c r="M1729" s="3"/>
      <c r="P1729" s="3"/>
    </row>
    <row r="1730" spans="8:16" x14ac:dyDescent="0.25">
      <c r="H1730" s="3"/>
      <c r="K1730" s="3"/>
      <c r="M1730" s="3"/>
      <c r="P1730" s="3"/>
    </row>
    <row r="1731" spans="8:16" x14ac:dyDescent="0.25">
      <c r="H1731" s="3"/>
      <c r="K1731" s="3"/>
      <c r="M1731" s="3"/>
      <c r="P1731" s="3"/>
    </row>
    <row r="1732" spans="8:16" x14ac:dyDescent="0.25">
      <c r="H1732" s="3"/>
      <c r="K1732" s="3"/>
      <c r="M1732" s="3"/>
      <c r="P1732" s="3"/>
    </row>
    <row r="1733" spans="8:16" x14ac:dyDescent="0.25">
      <c r="H1733" s="3"/>
      <c r="K1733" s="3"/>
      <c r="M1733" s="3"/>
      <c r="P1733" s="3"/>
    </row>
    <row r="1734" spans="8:16" x14ac:dyDescent="0.25">
      <c r="H1734" s="3"/>
      <c r="K1734" s="3"/>
      <c r="M1734" s="3"/>
      <c r="P1734" s="3"/>
    </row>
    <row r="1735" spans="8:16" x14ac:dyDescent="0.25">
      <c r="H1735" s="3"/>
      <c r="K1735" s="3"/>
      <c r="M1735" s="3"/>
      <c r="P1735" s="3"/>
    </row>
    <row r="1736" spans="8:16" x14ac:dyDescent="0.25">
      <c r="H1736" s="3"/>
      <c r="K1736" s="3"/>
      <c r="M1736" s="3"/>
      <c r="P1736" s="3"/>
    </row>
    <row r="1737" spans="8:16" x14ac:dyDescent="0.25">
      <c r="H1737" s="3"/>
      <c r="K1737" s="3"/>
      <c r="M1737" s="3"/>
      <c r="P1737" s="3"/>
    </row>
    <row r="1738" spans="8:16" x14ac:dyDescent="0.25">
      <c r="H1738" s="3"/>
      <c r="K1738" s="3"/>
      <c r="M1738" s="3"/>
      <c r="P1738" s="3"/>
    </row>
    <row r="1739" spans="8:16" x14ac:dyDescent="0.25">
      <c r="H1739" s="3"/>
      <c r="K1739" s="3"/>
      <c r="M1739" s="3"/>
      <c r="P1739" s="3"/>
    </row>
    <row r="1740" spans="8:16" x14ac:dyDescent="0.25">
      <c r="H1740" s="3"/>
      <c r="K1740" s="3"/>
      <c r="M1740" s="3"/>
      <c r="P1740" s="3"/>
    </row>
    <row r="1741" spans="8:16" x14ac:dyDescent="0.25">
      <c r="H1741" s="3"/>
      <c r="K1741" s="3"/>
      <c r="M1741" s="3"/>
      <c r="P1741" s="3"/>
    </row>
    <row r="1742" spans="8:16" x14ac:dyDescent="0.25">
      <c r="H1742" s="3"/>
      <c r="K1742" s="3"/>
      <c r="M1742" s="3"/>
      <c r="P1742" s="3"/>
    </row>
    <row r="1743" spans="8:16" x14ac:dyDescent="0.25">
      <c r="H1743" s="3"/>
      <c r="K1743" s="3"/>
      <c r="M1743" s="3"/>
      <c r="P1743" s="3"/>
    </row>
    <row r="1744" spans="8:16" x14ac:dyDescent="0.25">
      <c r="H1744" s="3"/>
      <c r="K1744" s="3"/>
      <c r="M1744" s="3"/>
      <c r="P1744" s="3"/>
    </row>
    <row r="1745" spans="8:16" x14ac:dyDescent="0.25">
      <c r="H1745" s="3"/>
      <c r="K1745" s="3"/>
      <c r="M1745" s="3"/>
      <c r="P1745" s="3"/>
    </row>
    <row r="1746" spans="8:16" x14ac:dyDescent="0.25">
      <c r="H1746" s="3"/>
      <c r="K1746" s="3"/>
      <c r="M1746" s="3"/>
      <c r="P1746" s="3"/>
    </row>
    <row r="1747" spans="8:16" x14ac:dyDescent="0.25">
      <c r="H1747" s="3"/>
      <c r="K1747" s="3"/>
      <c r="M1747" s="3"/>
      <c r="P1747" s="3"/>
    </row>
    <row r="1748" spans="8:16" x14ac:dyDescent="0.25">
      <c r="H1748" s="3"/>
      <c r="K1748" s="3"/>
      <c r="M1748" s="3"/>
      <c r="P1748" s="3"/>
    </row>
    <row r="1749" spans="8:16" x14ac:dyDescent="0.25">
      <c r="H1749" s="3"/>
      <c r="K1749" s="3"/>
      <c r="M1749" s="3"/>
      <c r="P1749" s="3"/>
    </row>
    <row r="1750" spans="8:16" x14ac:dyDescent="0.25">
      <c r="H1750" s="3"/>
      <c r="K1750" s="3"/>
      <c r="M1750" s="3"/>
      <c r="P1750" s="3"/>
    </row>
    <row r="1751" spans="8:16" x14ac:dyDescent="0.25">
      <c r="H1751" s="3"/>
      <c r="K1751" s="3"/>
      <c r="M1751" s="3"/>
      <c r="P1751" s="3"/>
    </row>
    <row r="1752" spans="8:16" x14ac:dyDescent="0.25">
      <c r="H1752" s="3"/>
      <c r="K1752" s="3"/>
      <c r="M1752" s="3"/>
      <c r="P1752" s="3"/>
    </row>
    <row r="1753" spans="8:16" x14ac:dyDescent="0.25">
      <c r="H1753" s="3"/>
      <c r="K1753" s="3"/>
      <c r="M1753" s="3"/>
      <c r="P1753" s="3"/>
    </row>
    <row r="1754" spans="8:16" x14ac:dyDescent="0.25">
      <c r="H1754" s="3"/>
      <c r="K1754" s="3"/>
      <c r="M1754" s="3"/>
      <c r="P1754" s="3"/>
    </row>
    <row r="1755" spans="8:16" x14ac:dyDescent="0.25">
      <c r="H1755" s="3"/>
      <c r="K1755" s="3"/>
      <c r="M1755" s="3"/>
      <c r="P1755" s="3"/>
    </row>
    <row r="1756" spans="8:16" x14ac:dyDescent="0.25">
      <c r="H1756" s="3"/>
      <c r="K1756" s="3"/>
      <c r="M1756" s="3"/>
      <c r="P1756" s="3"/>
    </row>
    <row r="1757" spans="8:16" x14ac:dyDescent="0.25">
      <c r="H1757" s="3"/>
      <c r="K1757" s="3"/>
      <c r="M1757" s="3"/>
      <c r="P1757" s="3"/>
    </row>
    <row r="1758" spans="8:16" x14ac:dyDescent="0.25">
      <c r="H1758" s="3"/>
      <c r="K1758" s="3"/>
      <c r="M1758" s="3"/>
      <c r="P1758" s="3"/>
    </row>
    <row r="1759" spans="8:16" x14ac:dyDescent="0.25">
      <c r="H1759" s="3"/>
      <c r="K1759" s="3"/>
      <c r="M1759" s="3"/>
      <c r="P1759" s="3"/>
    </row>
    <row r="1760" spans="8:16" x14ac:dyDescent="0.25">
      <c r="H1760" s="3"/>
      <c r="K1760" s="3"/>
      <c r="M1760" s="3"/>
      <c r="P1760" s="3"/>
    </row>
    <row r="1761" spans="8:16" x14ac:dyDescent="0.25">
      <c r="H1761" s="3"/>
      <c r="K1761" s="3"/>
      <c r="M1761" s="3"/>
      <c r="P1761" s="3"/>
    </row>
    <row r="1762" spans="8:16" x14ac:dyDescent="0.25">
      <c r="H1762" s="3"/>
      <c r="K1762" s="3"/>
      <c r="M1762" s="3"/>
      <c r="P1762" s="3"/>
    </row>
    <row r="1763" spans="8:16" x14ac:dyDescent="0.25">
      <c r="H1763" s="3"/>
      <c r="K1763" s="3"/>
      <c r="M1763" s="3"/>
      <c r="P1763" s="3"/>
    </row>
    <row r="1764" spans="8:16" x14ac:dyDescent="0.25">
      <c r="H1764" s="3"/>
      <c r="K1764" s="3"/>
      <c r="M1764" s="3"/>
      <c r="P1764" s="3"/>
    </row>
    <row r="1765" spans="8:16" x14ac:dyDescent="0.25">
      <c r="H1765" s="3"/>
      <c r="K1765" s="3"/>
      <c r="M1765" s="3"/>
      <c r="P1765" s="3"/>
    </row>
    <row r="1766" spans="8:16" x14ac:dyDescent="0.25">
      <c r="H1766" s="3"/>
      <c r="K1766" s="3"/>
      <c r="M1766" s="3"/>
      <c r="P1766" s="3"/>
    </row>
    <row r="1767" spans="8:16" x14ac:dyDescent="0.25">
      <c r="H1767" s="3"/>
      <c r="K1767" s="3"/>
      <c r="M1767" s="3"/>
      <c r="P1767" s="3"/>
    </row>
    <row r="1768" spans="8:16" x14ac:dyDescent="0.25">
      <c r="H1768" s="3"/>
      <c r="K1768" s="3"/>
      <c r="M1768" s="3"/>
      <c r="P1768" s="3"/>
    </row>
    <row r="1769" spans="8:16" x14ac:dyDescent="0.25">
      <c r="H1769" s="3"/>
      <c r="K1769" s="3"/>
      <c r="M1769" s="3"/>
      <c r="P1769" s="3"/>
    </row>
    <row r="1770" spans="8:16" x14ac:dyDescent="0.25">
      <c r="H1770" s="3"/>
      <c r="K1770" s="3"/>
      <c r="M1770" s="3"/>
      <c r="P1770" s="3"/>
    </row>
    <row r="1771" spans="8:16" x14ac:dyDescent="0.25">
      <c r="H1771" s="3"/>
      <c r="K1771" s="3"/>
      <c r="M1771" s="3"/>
      <c r="P1771" s="3"/>
    </row>
    <row r="1772" spans="8:16" x14ac:dyDescent="0.25">
      <c r="H1772" s="3"/>
      <c r="K1772" s="3"/>
      <c r="M1772" s="3"/>
      <c r="P1772" s="3"/>
    </row>
    <row r="1773" spans="8:16" x14ac:dyDescent="0.25">
      <c r="H1773" s="3"/>
      <c r="K1773" s="3"/>
      <c r="M1773" s="3"/>
      <c r="P1773" s="3"/>
    </row>
    <row r="1774" spans="8:16" x14ac:dyDescent="0.25">
      <c r="H1774" s="3"/>
      <c r="K1774" s="3"/>
      <c r="M1774" s="3"/>
      <c r="P1774" s="3"/>
    </row>
    <row r="1775" spans="8:16" x14ac:dyDescent="0.25">
      <c r="H1775" s="3"/>
      <c r="K1775" s="3"/>
      <c r="M1775" s="3"/>
      <c r="P1775" s="3"/>
    </row>
    <row r="1776" spans="8:16" x14ac:dyDescent="0.25">
      <c r="H1776" s="3"/>
      <c r="K1776" s="3"/>
      <c r="M1776" s="3"/>
      <c r="P1776" s="3"/>
    </row>
    <row r="1777" spans="8:16" x14ac:dyDescent="0.25">
      <c r="H1777" s="3"/>
      <c r="K1777" s="3"/>
      <c r="M1777" s="3"/>
      <c r="P1777" s="3"/>
    </row>
    <row r="1778" spans="8:16" x14ac:dyDescent="0.25">
      <c r="H1778" s="3"/>
      <c r="K1778" s="3"/>
      <c r="M1778" s="3"/>
      <c r="P1778" s="3"/>
    </row>
    <row r="1779" spans="8:16" x14ac:dyDescent="0.25">
      <c r="H1779" s="3"/>
      <c r="K1779" s="3"/>
      <c r="M1779" s="3"/>
      <c r="P1779" s="3"/>
    </row>
    <row r="1780" spans="8:16" x14ac:dyDescent="0.25">
      <c r="H1780" s="3"/>
      <c r="K1780" s="3"/>
      <c r="M1780" s="3"/>
      <c r="P1780" s="3"/>
    </row>
    <row r="1781" spans="8:16" x14ac:dyDescent="0.25">
      <c r="H1781" s="3"/>
      <c r="K1781" s="3"/>
      <c r="M1781" s="3"/>
      <c r="P1781" s="3"/>
    </row>
    <row r="1782" spans="8:16" x14ac:dyDescent="0.25">
      <c r="H1782" s="3"/>
      <c r="K1782" s="3"/>
      <c r="M1782" s="3"/>
      <c r="P1782" s="3"/>
    </row>
    <row r="1783" spans="8:16" x14ac:dyDescent="0.25">
      <c r="H1783" s="3"/>
      <c r="K1783" s="3"/>
      <c r="M1783" s="3"/>
      <c r="P1783" s="3"/>
    </row>
    <row r="1784" spans="8:16" x14ac:dyDescent="0.25">
      <c r="H1784" s="3"/>
      <c r="K1784" s="3"/>
      <c r="M1784" s="3"/>
      <c r="P1784" s="3"/>
    </row>
    <row r="1785" spans="8:16" x14ac:dyDescent="0.25">
      <c r="H1785" s="3"/>
      <c r="K1785" s="3"/>
      <c r="M1785" s="3"/>
      <c r="P1785" s="3"/>
    </row>
    <row r="1786" spans="8:16" x14ac:dyDescent="0.25">
      <c r="H1786" s="3"/>
      <c r="K1786" s="3"/>
      <c r="M1786" s="3"/>
      <c r="P1786" s="3"/>
    </row>
    <row r="1787" spans="8:16" x14ac:dyDescent="0.25">
      <c r="H1787" s="3"/>
      <c r="K1787" s="3"/>
      <c r="M1787" s="3"/>
      <c r="P1787" s="3"/>
    </row>
    <row r="1788" spans="8:16" x14ac:dyDescent="0.25">
      <c r="H1788" s="3"/>
      <c r="K1788" s="3"/>
      <c r="M1788" s="3"/>
      <c r="P1788" s="3"/>
    </row>
    <row r="1789" spans="8:16" x14ac:dyDescent="0.25">
      <c r="H1789" s="3"/>
      <c r="K1789" s="3"/>
      <c r="M1789" s="3"/>
      <c r="P1789" s="3"/>
    </row>
    <row r="1790" spans="8:16" x14ac:dyDescent="0.25">
      <c r="H1790" s="3"/>
      <c r="K1790" s="3"/>
      <c r="M1790" s="3"/>
      <c r="P1790" s="3"/>
    </row>
    <row r="1791" spans="8:16" x14ac:dyDescent="0.25">
      <c r="H1791" s="3"/>
      <c r="K1791" s="3"/>
      <c r="M1791" s="3"/>
      <c r="P1791" s="3"/>
    </row>
    <row r="1792" spans="8:16" x14ac:dyDescent="0.25">
      <c r="H1792" s="3"/>
      <c r="K1792" s="3"/>
      <c r="M1792" s="3"/>
      <c r="P1792" s="3"/>
    </row>
    <row r="1793" spans="8:16" x14ac:dyDescent="0.25">
      <c r="H1793" s="3"/>
      <c r="K1793" s="3"/>
      <c r="M1793" s="3"/>
      <c r="P1793" s="3"/>
    </row>
    <row r="1794" spans="8:16" x14ac:dyDescent="0.25">
      <c r="H1794" s="3"/>
      <c r="K1794" s="3"/>
      <c r="M1794" s="3"/>
      <c r="P1794" s="3"/>
    </row>
    <row r="1795" spans="8:16" x14ac:dyDescent="0.25">
      <c r="H1795" s="3"/>
      <c r="K1795" s="3"/>
      <c r="M1795" s="3"/>
      <c r="P1795" s="3"/>
    </row>
    <row r="1796" spans="8:16" x14ac:dyDescent="0.25">
      <c r="H1796" s="3"/>
      <c r="K1796" s="3"/>
      <c r="M1796" s="3"/>
      <c r="P1796" s="3"/>
    </row>
    <row r="1797" spans="8:16" x14ac:dyDescent="0.25">
      <c r="H1797" s="3"/>
      <c r="K1797" s="3"/>
      <c r="M1797" s="3"/>
      <c r="P1797" s="3"/>
    </row>
    <row r="1798" spans="8:16" x14ac:dyDescent="0.25">
      <c r="H1798" s="3"/>
      <c r="K1798" s="3"/>
      <c r="M1798" s="3"/>
      <c r="P1798" s="3"/>
    </row>
    <row r="1799" spans="8:16" x14ac:dyDescent="0.25">
      <c r="H1799" s="3"/>
      <c r="K1799" s="3"/>
      <c r="M1799" s="3"/>
      <c r="P1799" s="3"/>
    </row>
    <row r="1800" spans="8:16" x14ac:dyDescent="0.25">
      <c r="H1800" s="3"/>
      <c r="K1800" s="3"/>
      <c r="M1800" s="3"/>
      <c r="P1800" s="3"/>
    </row>
    <row r="1801" spans="8:16" x14ac:dyDescent="0.25">
      <c r="H1801" s="3"/>
      <c r="K1801" s="3"/>
      <c r="M1801" s="3"/>
      <c r="P1801" s="3"/>
    </row>
    <row r="1802" spans="8:16" x14ac:dyDescent="0.25">
      <c r="H1802" s="3"/>
      <c r="K1802" s="3"/>
      <c r="M1802" s="3"/>
      <c r="P1802" s="3"/>
    </row>
    <row r="1803" spans="8:16" x14ac:dyDescent="0.25">
      <c r="H1803" s="3"/>
      <c r="K1803" s="3"/>
      <c r="M1803" s="3"/>
      <c r="P1803" s="3"/>
    </row>
    <row r="1804" spans="8:16" x14ac:dyDescent="0.25">
      <c r="H1804" s="3"/>
      <c r="K1804" s="3"/>
      <c r="M1804" s="3"/>
      <c r="P1804" s="3"/>
    </row>
    <row r="1805" spans="8:16" x14ac:dyDescent="0.25">
      <c r="H1805" s="3"/>
      <c r="K1805" s="3"/>
      <c r="M1805" s="3"/>
      <c r="P1805" s="3"/>
    </row>
    <row r="1806" spans="8:16" x14ac:dyDescent="0.25">
      <c r="H1806" s="3"/>
      <c r="K1806" s="3"/>
      <c r="M1806" s="3"/>
      <c r="P1806" s="3"/>
    </row>
    <row r="1807" spans="8:16" x14ac:dyDescent="0.25">
      <c r="H1807" s="3"/>
      <c r="K1807" s="3"/>
      <c r="M1807" s="3"/>
      <c r="P1807" s="3"/>
    </row>
    <row r="1808" spans="8:16" x14ac:dyDescent="0.25">
      <c r="H1808" s="3"/>
      <c r="K1808" s="3"/>
      <c r="M1808" s="3"/>
      <c r="P1808" s="3"/>
    </row>
    <row r="1809" spans="8:16" x14ac:dyDescent="0.25">
      <c r="H1809" s="3"/>
      <c r="K1809" s="3"/>
      <c r="M1809" s="3"/>
      <c r="P1809" s="3"/>
    </row>
    <row r="1810" spans="8:16" x14ac:dyDescent="0.25">
      <c r="H1810" s="3"/>
      <c r="K1810" s="3"/>
      <c r="M1810" s="3"/>
      <c r="P1810" s="3"/>
    </row>
    <row r="1811" spans="8:16" x14ac:dyDescent="0.25">
      <c r="H1811" s="3"/>
      <c r="K1811" s="3"/>
      <c r="M1811" s="3"/>
      <c r="P1811" s="3"/>
    </row>
    <row r="1812" spans="8:16" x14ac:dyDescent="0.25">
      <c r="H1812" s="3"/>
      <c r="K1812" s="3"/>
      <c r="M1812" s="3"/>
      <c r="P1812" s="3"/>
    </row>
    <row r="1813" spans="8:16" x14ac:dyDescent="0.25">
      <c r="H1813" s="3"/>
      <c r="K1813" s="3"/>
      <c r="M1813" s="3"/>
      <c r="P1813" s="3"/>
    </row>
    <row r="1814" spans="8:16" x14ac:dyDescent="0.25">
      <c r="H1814" s="3"/>
      <c r="K1814" s="3"/>
      <c r="M1814" s="3"/>
      <c r="P1814" s="3"/>
    </row>
    <row r="1815" spans="8:16" x14ac:dyDescent="0.25">
      <c r="H1815" s="3"/>
      <c r="K1815" s="3"/>
      <c r="M1815" s="3"/>
      <c r="P1815" s="3"/>
    </row>
    <row r="1816" spans="8:16" x14ac:dyDescent="0.25">
      <c r="H1816" s="3"/>
      <c r="K1816" s="3"/>
      <c r="M1816" s="3"/>
      <c r="P1816" s="3"/>
    </row>
    <row r="1817" spans="8:16" x14ac:dyDescent="0.25">
      <c r="H1817" s="3"/>
      <c r="K1817" s="3"/>
      <c r="M1817" s="3"/>
      <c r="P1817" s="3"/>
    </row>
    <row r="1818" spans="8:16" x14ac:dyDescent="0.25">
      <c r="H1818" s="3"/>
      <c r="K1818" s="3"/>
      <c r="M1818" s="3"/>
      <c r="P1818" s="3"/>
    </row>
    <row r="1819" spans="8:16" x14ac:dyDescent="0.25">
      <c r="H1819" s="3"/>
      <c r="K1819" s="3"/>
      <c r="M1819" s="3"/>
      <c r="P1819" s="3"/>
    </row>
    <row r="1820" spans="8:16" x14ac:dyDescent="0.25">
      <c r="H1820" s="3"/>
      <c r="K1820" s="3"/>
      <c r="M1820" s="3"/>
      <c r="P1820" s="3"/>
    </row>
    <row r="1821" spans="8:16" x14ac:dyDescent="0.25">
      <c r="H1821" s="3"/>
      <c r="K1821" s="3"/>
      <c r="M1821" s="3"/>
      <c r="P1821" s="3"/>
    </row>
    <row r="1822" spans="8:16" x14ac:dyDescent="0.25">
      <c r="H1822" s="3"/>
      <c r="K1822" s="3"/>
      <c r="M1822" s="3"/>
      <c r="P1822" s="3"/>
    </row>
    <row r="1823" spans="8:16" x14ac:dyDescent="0.25">
      <c r="H1823" s="3"/>
      <c r="K1823" s="3"/>
      <c r="M1823" s="3"/>
      <c r="P1823" s="3"/>
    </row>
    <row r="1824" spans="8:16" x14ac:dyDescent="0.25">
      <c r="H1824" s="3"/>
      <c r="K1824" s="3"/>
      <c r="M1824" s="3"/>
      <c r="P1824" s="3"/>
    </row>
    <row r="1825" spans="8:16" x14ac:dyDescent="0.25">
      <c r="H1825" s="3"/>
      <c r="K1825" s="3"/>
      <c r="M1825" s="3"/>
      <c r="P1825" s="3"/>
    </row>
    <row r="1826" spans="8:16" x14ac:dyDescent="0.25">
      <c r="H1826" s="3"/>
      <c r="K1826" s="3"/>
      <c r="M1826" s="3"/>
      <c r="P1826" s="3"/>
    </row>
    <row r="1827" spans="8:16" x14ac:dyDescent="0.25">
      <c r="H1827" s="3"/>
      <c r="K1827" s="3"/>
      <c r="M1827" s="3"/>
      <c r="P1827" s="3"/>
    </row>
    <row r="1828" spans="8:16" x14ac:dyDescent="0.25">
      <c r="H1828" s="3"/>
      <c r="K1828" s="3"/>
      <c r="M1828" s="3"/>
      <c r="P1828" s="3"/>
    </row>
    <row r="1829" spans="8:16" x14ac:dyDescent="0.25">
      <c r="H1829" s="3"/>
      <c r="K1829" s="3"/>
      <c r="M1829" s="3"/>
      <c r="P1829" s="3"/>
    </row>
    <row r="1830" spans="8:16" x14ac:dyDescent="0.25">
      <c r="H1830" s="3"/>
      <c r="K1830" s="3"/>
      <c r="M1830" s="3"/>
      <c r="P1830" s="3"/>
    </row>
    <row r="1831" spans="8:16" x14ac:dyDescent="0.25">
      <c r="H1831" s="3"/>
      <c r="K1831" s="3"/>
      <c r="M1831" s="3"/>
      <c r="P1831" s="3"/>
    </row>
    <row r="1832" spans="8:16" x14ac:dyDescent="0.25">
      <c r="H1832" s="3"/>
      <c r="K1832" s="3"/>
      <c r="M1832" s="3"/>
      <c r="P1832" s="3"/>
    </row>
    <row r="1833" spans="8:16" x14ac:dyDescent="0.25">
      <c r="H1833" s="3"/>
      <c r="K1833" s="3"/>
      <c r="M1833" s="3"/>
      <c r="P1833" s="3"/>
    </row>
    <row r="1834" spans="8:16" x14ac:dyDescent="0.25">
      <c r="H1834" s="3"/>
      <c r="K1834" s="3"/>
      <c r="M1834" s="3"/>
      <c r="P1834" s="3"/>
    </row>
    <row r="1835" spans="8:16" x14ac:dyDescent="0.25">
      <c r="H1835" s="3"/>
      <c r="K1835" s="3"/>
      <c r="M1835" s="3"/>
      <c r="P1835" s="3"/>
    </row>
    <row r="1836" spans="8:16" x14ac:dyDescent="0.25">
      <c r="H1836" s="3"/>
      <c r="K1836" s="3"/>
      <c r="M1836" s="3"/>
      <c r="P1836" s="3"/>
    </row>
    <row r="1837" spans="8:16" x14ac:dyDescent="0.25">
      <c r="H1837" s="3"/>
      <c r="K1837" s="3"/>
      <c r="M1837" s="3"/>
      <c r="P1837" s="3"/>
    </row>
    <row r="1838" spans="8:16" x14ac:dyDescent="0.25">
      <c r="H1838" s="3"/>
      <c r="K1838" s="3"/>
      <c r="M1838" s="3"/>
      <c r="P1838" s="3"/>
    </row>
    <row r="1839" spans="8:16" x14ac:dyDescent="0.25">
      <c r="H1839" s="3"/>
      <c r="K1839" s="3"/>
      <c r="M1839" s="3"/>
      <c r="P1839" s="3"/>
    </row>
    <row r="1840" spans="8:16" x14ac:dyDescent="0.25">
      <c r="H1840" s="3"/>
      <c r="K1840" s="3"/>
      <c r="M1840" s="3"/>
      <c r="P1840" s="3"/>
    </row>
    <row r="1841" spans="8:16" x14ac:dyDescent="0.25">
      <c r="H1841" s="3"/>
      <c r="K1841" s="3"/>
      <c r="M1841" s="3"/>
      <c r="P1841" s="3"/>
    </row>
    <row r="1842" spans="8:16" x14ac:dyDescent="0.25">
      <c r="H1842" s="3"/>
      <c r="K1842" s="3"/>
      <c r="M1842" s="3"/>
      <c r="P1842" s="3"/>
    </row>
    <row r="1843" spans="8:16" x14ac:dyDescent="0.25">
      <c r="H1843" s="3"/>
      <c r="K1843" s="3"/>
      <c r="M1843" s="3"/>
      <c r="P1843" s="3"/>
    </row>
    <row r="1844" spans="8:16" x14ac:dyDescent="0.25">
      <c r="H1844" s="3"/>
      <c r="K1844" s="3"/>
      <c r="M1844" s="3"/>
      <c r="P1844" s="3"/>
    </row>
    <row r="1845" spans="8:16" x14ac:dyDescent="0.25">
      <c r="H1845" s="3"/>
      <c r="K1845" s="3"/>
      <c r="M1845" s="3"/>
      <c r="P1845" s="3"/>
    </row>
    <row r="1846" spans="8:16" x14ac:dyDescent="0.25">
      <c r="H1846" s="3"/>
      <c r="K1846" s="3"/>
      <c r="M1846" s="3"/>
      <c r="P1846" s="3"/>
    </row>
    <row r="1847" spans="8:16" x14ac:dyDescent="0.25">
      <c r="H1847" s="3"/>
      <c r="K1847" s="3"/>
      <c r="M1847" s="3"/>
      <c r="P1847" s="3"/>
    </row>
    <row r="1848" spans="8:16" x14ac:dyDescent="0.25">
      <c r="H1848" s="3"/>
      <c r="K1848" s="3"/>
      <c r="M1848" s="3"/>
      <c r="P1848" s="3"/>
    </row>
    <row r="1849" spans="8:16" x14ac:dyDescent="0.25">
      <c r="H1849" s="3"/>
      <c r="K1849" s="3"/>
      <c r="M1849" s="3"/>
      <c r="P1849" s="3"/>
    </row>
    <row r="1850" spans="8:16" x14ac:dyDescent="0.25">
      <c r="H1850" s="3"/>
      <c r="K1850" s="3"/>
      <c r="M1850" s="3"/>
      <c r="P1850" s="3"/>
    </row>
    <row r="1851" spans="8:16" x14ac:dyDescent="0.25">
      <c r="H1851" s="3"/>
      <c r="K1851" s="3"/>
      <c r="M1851" s="3"/>
      <c r="P1851" s="3"/>
    </row>
    <row r="1852" spans="8:16" x14ac:dyDescent="0.25">
      <c r="H1852" s="3"/>
      <c r="K1852" s="3"/>
      <c r="M1852" s="3"/>
      <c r="P1852" s="3"/>
    </row>
    <row r="1853" spans="8:16" x14ac:dyDescent="0.25">
      <c r="H1853" s="3"/>
      <c r="K1853" s="3"/>
      <c r="M1853" s="3"/>
      <c r="P1853" s="3"/>
    </row>
    <row r="1854" spans="8:16" x14ac:dyDescent="0.25">
      <c r="H1854" s="3"/>
      <c r="K1854" s="3"/>
      <c r="M1854" s="3"/>
      <c r="P1854" s="3"/>
    </row>
    <row r="1855" spans="8:16" x14ac:dyDescent="0.25">
      <c r="H1855" s="3"/>
      <c r="K1855" s="3"/>
      <c r="M1855" s="3"/>
      <c r="P1855" s="3"/>
    </row>
    <row r="1856" spans="8:16" x14ac:dyDescent="0.25">
      <c r="H1856" s="3"/>
      <c r="K1856" s="3"/>
      <c r="M1856" s="3"/>
      <c r="P1856" s="3"/>
    </row>
    <row r="1857" spans="8:16" x14ac:dyDescent="0.25">
      <c r="H1857" s="3"/>
      <c r="K1857" s="3"/>
      <c r="M1857" s="3"/>
      <c r="P1857" s="3"/>
    </row>
    <row r="1858" spans="8:16" x14ac:dyDescent="0.25">
      <c r="H1858" s="3"/>
      <c r="K1858" s="3"/>
      <c r="M1858" s="3"/>
      <c r="P1858" s="3"/>
    </row>
    <row r="1859" spans="8:16" x14ac:dyDescent="0.25">
      <c r="H1859" s="3"/>
      <c r="K1859" s="3"/>
      <c r="M1859" s="3"/>
      <c r="P1859" s="3"/>
    </row>
    <row r="1860" spans="8:16" x14ac:dyDescent="0.25">
      <c r="H1860" s="3"/>
      <c r="K1860" s="3"/>
      <c r="M1860" s="3"/>
      <c r="P1860" s="3"/>
    </row>
    <row r="1861" spans="8:16" x14ac:dyDescent="0.25">
      <c r="H1861" s="3"/>
      <c r="K1861" s="3"/>
      <c r="M1861" s="3"/>
      <c r="P1861" s="3"/>
    </row>
    <row r="1862" spans="8:16" x14ac:dyDescent="0.25">
      <c r="H1862" s="3"/>
      <c r="K1862" s="3"/>
      <c r="M1862" s="3"/>
      <c r="P1862" s="3"/>
    </row>
    <row r="1863" spans="8:16" x14ac:dyDescent="0.25">
      <c r="H1863" s="3"/>
      <c r="K1863" s="3"/>
      <c r="M1863" s="3"/>
      <c r="P1863" s="3"/>
    </row>
    <row r="1864" spans="8:16" x14ac:dyDescent="0.25">
      <c r="H1864" s="3"/>
      <c r="K1864" s="3"/>
      <c r="M1864" s="3"/>
      <c r="P1864" s="3"/>
    </row>
    <row r="1865" spans="8:16" x14ac:dyDescent="0.25">
      <c r="H1865" s="3"/>
      <c r="K1865" s="3"/>
      <c r="M1865" s="3"/>
      <c r="P1865" s="3"/>
    </row>
    <row r="1866" spans="8:16" x14ac:dyDescent="0.25">
      <c r="H1866" s="3"/>
      <c r="K1866" s="3"/>
      <c r="M1866" s="3"/>
      <c r="P1866" s="3"/>
    </row>
    <row r="1867" spans="8:16" x14ac:dyDescent="0.25">
      <c r="H1867" s="3"/>
      <c r="K1867" s="3"/>
      <c r="M1867" s="3"/>
      <c r="P1867" s="3"/>
    </row>
    <row r="1868" spans="8:16" x14ac:dyDescent="0.25">
      <c r="H1868" s="3"/>
      <c r="K1868" s="3"/>
      <c r="M1868" s="3"/>
      <c r="P1868" s="3"/>
    </row>
    <row r="1869" spans="8:16" x14ac:dyDescent="0.25">
      <c r="H1869" s="3"/>
      <c r="K1869" s="3"/>
      <c r="M1869" s="3"/>
      <c r="P1869" s="3"/>
    </row>
    <row r="1870" spans="8:16" x14ac:dyDescent="0.25">
      <c r="H1870" s="3"/>
      <c r="K1870" s="3"/>
      <c r="M1870" s="3"/>
      <c r="P1870" s="3"/>
    </row>
    <row r="1871" spans="8:16" x14ac:dyDescent="0.25">
      <c r="H1871" s="3"/>
      <c r="K1871" s="3"/>
      <c r="M1871" s="3"/>
      <c r="P1871" s="3"/>
    </row>
    <row r="1872" spans="8:16" x14ac:dyDescent="0.25">
      <c r="H1872" s="3"/>
      <c r="K1872" s="3"/>
      <c r="M1872" s="3"/>
      <c r="P1872" s="3"/>
    </row>
    <row r="1873" spans="8:16" x14ac:dyDescent="0.25">
      <c r="H1873" s="3"/>
      <c r="K1873" s="3"/>
      <c r="M1873" s="3"/>
      <c r="P1873" s="3"/>
    </row>
    <row r="1874" spans="8:16" x14ac:dyDescent="0.25">
      <c r="H1874" s="3"/>
      <c r="K1874" s="3"/>
      <c r="M1874" s="3"/>
      <c r="P1874" s="3"/>
    </row>
    <row r="1875" spans="8:16" x14ac:dyDescent="0.25">
      <c r="H1875" s="3"/>
      <c r="K1875" s="3"/>
      <c r="M1875" s="3"/>
      <c r="P1875" s="3"/>
    </row>
    <row r="1876" spans="8:16" x14ac:dyDescent="0.25">
      <c r="H1876" s="3"/>
      <c r="K1876" s="3"/>
      <c r="M1876" s="3"/>
      <c r="P1876" s="3"/>
    </row>
    <row r="1877" spans="8:16" x14ac:dyDescent="0.25">
      <c r="H1877" s="3"/>
      <c r="K1877" s="3"/>
      <c r="M1877" s="3"/>
      <c r="P1877" s="3"/>
    </row>
    <row r="1878" spans="8:16" x14ac:dyDescent="0.25">
      <c r="H1878" s="3"/>
      <c r="K1878" s="3"/>
      <c r="M1878" s="3"/>
      <c r="P1878" s="3"/>
    </row>
    <row r="1879" spans="8:16" x14ac:dyDescent="0.25">
      <c r="H1879" s="3"/>
      <c r="K1879" s="3"/>
      <c r="M1879" s="3"/>
      <c r="P1879" s="3"/>
    </row>
    <row r="1880" spans="8:16" x14ac:dyDescent="0.25">
      <c r="H1880" s="3"/>
      <c r="K1880" s="3"/>
      <c r="M1880" s="3"/>
      <c r="P1880" s="3"/>
    </row>
    <row r="1881" spans="8:16" x14ac:dyDescent="0.25">
      <c r="H1881" s="3"/>
      <c r="K1881" s="3"/>
      <c r="M1881" s="3"/>
      <c r="P1881" s="3"/>
    </row>
    <row r="1882" spans="8:16" x14ac:dyDescent="0.25">
      <c r="H1882" s="3"/>
      <c r="K1882" s="3"/>
      <c r="M1882" s="3"/>
      <c r="P1882" s="3"/>
    </row>
    <row r="1883" spans="8:16" x14ac:dyDescent="0.25">
      <c r="H1883" s="3"/>
      <c r="K1883" s="3"/>
      <c r="M1883" s="3"/>
      <c r="P1883" s="3"/>
    </row>
    <row r="1884" spans="8:16" x14ac:dyDescent="0.25">
      <c r="H1884" s="3"/>
      <c r="K1884" s="3"/>
      <c r="M1884" s="3"/>
      <c r="P1884" s="3"/>
    </row>
    <row r="1885" spans="8:16" x14ac:dyDescent="0.25">
      <c r="H1885" s="3"/>
      <c r="K1885" s="3"/>
      <c r="M1885" s="3"/>
      <c r="P1885" s="3"/>
    </row>
    <row r="1886" spans="8:16" x14ac:dyDescent="0.25">
      <c r="H1886" s="3"/>
      <c r="K1886" s="3"/>
      <c r="M1886" s="3"/>
      <c r="P1886" s="3"/>
    </row>
    <row r="1887" spans="8:16" x14ac:dyDescent="0.25">
      <c r="H1887" s="3"/>
      <c r="K1887" s="3"/>
      <c r="M1887" s="3"/>
      <c r="P1887" s="3"/>
    </row>
    <row r="1888" spans="8:16" x14ac:dyDescent="0.25">
      <c r="H1888" s="3"/>
      <c r="K1888" s="3"/>
      <c r="M1888" s="3"/>
      <c r="P1888" s="3"/>
    </row>
    <row r="1889" spans="8:16" x14ac:dyDescent="0.25">
      <c r="H1889" s="3"/>
      <c r="K1889" s="3"/>
      <c r="M1889" s="3"/>
      <c r="P1889" s="3"/>
    </row>
    <row r="1890" spans="8:16" x14ac:dyDescent="0.25">
      <c r="H1890" s="3"/>
      <c r="K1890" s="3"/>
      <c r="M1890" s="3"/>
      <c r="P1890" s="3"/>
    </row>
    <row r="1891" spans="8:16" x14ac:dyDescent="0.25">
      <c r="H1891" s="3"/>
      <c r="K1891" s="3"/>
      <c r="M1891" s="3"/>
      <c r="P1891" s="3"/>
    </row>
    <row r="1892" spans="8:16" x14ac:dyDescent="0.25">
      <c r="H1892" s="3"/>
      <c r="K1892" s="3"/>
      <c r="M1892" s="3"/>
      <c r="P1892" s="3"/>
    </row>
    <row r="1893" spans="8:16" x14ac:dyDescent="0.25">
      <c r="H1893" s="3"/>
      <c r="K1893" s="3"/>
      <c r="M1893" s="3"/>
      <c r="P1893" s="3"/>
    </row>
    <row r="1894" spans="8:16" x14ac:dyDescent="0.25">
      <c r="H1894" s="3"/>
      <c r="K1894" s="3"/>
      <c r="M1894" s="3"/>
      <c r="P1894" s="3"/>
    </row>
    <row r="1895" spans="8:16" x14ac:dyDescent="0.25">
      <c r="H1895" s="3"/>
      <c r="K1895" s="3"/>
      <c r="M1895" s="3"/>
      <c r="P1895" s="3"/>
    </row>
    <row r="1896" spans="8:16" x14ac:dyDescent="0.25">
      <c r="H1896" s="3"/>
      <c r="K1896" s="3"/>
      <c r="M1896" s="3"/>
      <c r="P1896" s="3"/>
    </row>
    <row r="1897" spans="8:16" x14ac:dyDescent="0.25">
      <c r="H1897" s="3"/>
      <c r="K1897" s="3"/>
      <c r="M1897" s="3"/>
      <c r="P1897" s="3"/>
    </row>
    <row r="1898" spans="8:16" x14ac:dyDescent="0.25">
      <c r="H1898" s="3"/>
      <c r="K1898" s="3"/>
      <c r="M1898" s="3"/>
      <c r="P1898" s="3"/>
    </row>
    <row r="1899" spans="8:16" x14ac:dyDescent="0.25">
      <c r="H1899" s="3"/>
      <c r="K1899" s="3"/>
      <c r="M1899" s="3"/>
      <c r="P1899" s="3"/>
    </row>
    <row r="1900" spans="8:16" x14ac:dyDescent="0.25">
      <c r="H1900" s="3"/>
      <c r="K1900" s="3"/>
      <c r="M1900" s="3"/>
      <c r="P1900" s="3"/>
    </row>
    <row r="1901" spans="8:16" x14ac:dyDescent="0.25">
      <c r="H1901" s="3"/>
      <c r="K1901" s="3"/>
      <c r="M1901" s="3"/>
      <c r="P1901" s="3"/>
    </row>
    <row r="1902" spans="8:16" x14ac:dyDescent="0.25">
      <c r="H1902" s="3"/>
      <c r="K1902" s="3"/>
      <c r="M1902" s="3"/>
      <c r="P1902" s="3"/>
    </row>
    <row r="1903" spans="8:16" x14ac:dyDescent="0.25">
      <c r="H1903" s="3"/>
      <c r="K1903" s="3"/>
      <c r="M1903" s="3"/>
      <c r="P1903" s="3"/>
    </row>
    <row r="1904" spans="8:16" x14ac:dyDescent="0.25">
      <c r="H1904" s="3"/>
      <c r="K1904" s="3"/>
      <c r="M1904" s="3"/>
      <c r="P1904" s="3"/>
    </row>
    <row r="1905" spans="8:16" x14ac:dyDescent="0.25">
      <c r="H1905" s="3"/>
      <c r="K1905" s="3"/>
      <c r="M1905" s="3"/>
      <c r="P1905" s="3"/>
    </row>
    <row r="1906" spans="8:16" x14ac:dyDescent="0.25">
      <c r="H1906" s="3"/>
      <c r="K1906" s="3"/>
      <c r="M1906" s="3"/>
      <c r="P1906" s="3"/>
    </row>
    <row r="1907" spans="8:16" x14ac:dyDescent="0.25">
      <c r="H1907" s="3"/>
      <c r="K1907" s="3"/>
      <c r="M1907" s="3"/>
      <c r="P1907" s="3"/>
    </row>
    <row r="1908" spans="8:16" x14ac:dyDescent="0.25">
      <c r="H1908" s="3"/>
      <c r="K1908" s="3"/>
      <c r="M1908" s="3"/>
      <c r="P1908" s="3"/>
    </row>
    <row r="1909" spans="8:16" x14ac:dyDescent="0.25">
      <c r="H1909" s="3"/>
      <c r="K1909" s="3"/>
      <c r="M1909" s="3"/>
      <c r="P1909" s="3"/>
    </row>
    <row r="1910" spans="8:16" x14ac:dyDescent="0.25">
      <c r="H1910" s="3"/>
      <c r="K1910" s="3"/>
      <c r="M1910" s="3"/>
      <c r="P1910" s="3"/>
    </row>
    <row r="1911" spans="8:16" x14ac:dyDescent="0.25">
      <c r="H1911" s="3"/>
      <c r="K1911" s="3"/>
      <c r="M1911" s="3"/>
      <c r="P1911" s="3"/>
    </row>
    <row r="1912" spans="8:16" x14ac:dyDescent="0.25">
      <c r="H1912" s="3"/>
      <c r="K1912" s="3"/>
      <c r="M1912" s="3"/>
      <c r="P1912" s="3"/>
    </row>
    <row r="1913" spans="8:16" x14ac:dyDescent="0.25">
      <c r="H1913" s="3"/>
      <c r="K1913" s="3"/>
      <c r="M1913" s="3"/>
      <c r="P1913" s="3"/>
    </row>
    <row r="1914" spans="8:16" x14ac:dyDescent="0.25">
      <c r="H1914" s="3"/>
      <c r="K1914" s="3"/>
      <c r="M1914" s="3"/>
      <c r="P1914" s="3"/>
    </row>
    <row r="1915" spans="8:16" x14ac:dyDescent="0.25">
      <c r="H1915" s="3"/>
      <c r="K1915" s="3"/>
      <c r="M1915" s="3"/>
      <c r="P1915" s="3"/>
    </row>
    <row r="1916" spans="8:16" x14ac:dyDescent="0.25">
      <c r="H1916" s="3"/>
      <c r="K1916" s="3"/>
      <c r="M1916" s="3"/>
      <c r="P1916" s="3"/>
    </row>
    <row r="1917" spans="8:16" x14ac:dyDescent="0.25">
      <c r="H1917" s="3"/>
      <c r="K1917" s="3"/>
      <c r="M1917" s="3"/>
      <c r="P1917" s="3"/>
    </row>
    <row r="1918" spans="8:16" x14ac:dyDescent="0.25">
      <c r="H1918" s="3"/>
      <c r="K1918" s="3"/>
      <c r="M1918" s="3"/>
      <c r="P1918" s="3"/>
    </row>
    <row r="1919" spans="8:16" x14ac:dyDescent="0.25">
      <c r="H1919" s="3"/>
      <c r="K1919" s="3"/>
      <c r="M1919" s="3"/>
      <c r="P1919" s="3"/>
    </row>
    <row r="1920" spans="8:16" x14ac:dyDescent="0.25">
      <c r="H1920" s="3"/>
      <c r="K1920" s="3"/>
      <c r="M1920" s="3"/>
      <c r="P1920" s="3"/>
    </row>
    <row r="1921" spans="8:16" x14ac:dyDescent="0.25">
      <c r="H1921" s="3"/>
      <c r="K1921" s="3"/>
      <c r="M1921" s="3"/>
      <c r="P1921" s="3"/>
    </row>
    <row r="1922" spans="8:16" x14ac:dyDescent="0.25">
      <c r="H1922" s="3"/>
      <c r="K1922" s="3"/>
      <c r="M1922" s="3"/>
      <c r="P1922" s="3"/>
    </row>
    <row r="1923" spans="8:16" x14ac:dyDescent="0.25">
      <c r="H1923" s="3"/>
      <c r="K1923" s="3"/>
      <c r="M1923" s="3"/>
      <c r="P1923" s="3"/>
    </row>
    <row r="1924" spans="8:16" x14ac:dyDescent="0.25">
      <c r="H1924" s="3"/>
      <c r="K1924" s="3"/>
      <c r="M1924" s="3"/>
      <c r="P1924" s="3"/>
    </row>
    <row r="1925" spans="8:16" x14ac:dyDescent="0.25">
      <c r="H1925" s="3"/>
      <c r="K1925" s="3"/>
      <c r="M1925" s="3"/>
      <c r="P1925" s="3"/>
    </row>
    <row r="1926" spans="8:16" x14ac:dyDescent="0.25">
      <c r="H1926" s="3"/>
      <c r="K1926" s="3"/>
      <c r="M1926" s="3"/>
      <c r="P1926" s="3"/>
    </row>
    <row r="1927" spans="8:16" x14ac:dyDescent="0.25">
      <c r="H1927" s="3"/>
      <c r="K1927" s="3"/>
      <c r="M1927" s="3"/>
      <c r="P1927" s="3"/>
    </row>
    <row r="1928" spans="8:16" x14ac:dyDescent="0.25">
      <c r="H1928" s="3"/>
      <c r="K1928" s="3"/>
      <c r="M1928" s="3"/>
      <c r="P1928" s="3"/>
    </row>
    <row r="1929" spans="8:16" x14ac:dyDescent="0.25">
      <c r="H1929" s="3"/>
      <c r="K1929" s="3"/>
      <c r="M1929" s="3"/>
      <c r="P1929" s="3"/>
    </row>
    <row r="1930" spans="8:16" x14ac:dyDescent="0.25">
      <c r="H1930" s="3"/>
      <c r="K1930" s="3"/>
      <c r="M1930" s="3"/>
      <c r="P1930" s="3"/>
    </row>
    <row r="1931" spans="8:16" x14ac:dyDescent="0.25">
      <c r="H1931" s="3"/>
      <c r="K1931" s="3"/>
      <c r="M1931" s="3"/>
      <c r="P1931" s="3"/>
    </row>
    <row r="1932" spans="8:16" x14ac:dyDescent="0.25">
      <c r="H1932" s="3"/>
      <c r="K1932" s="3"/>
      <c r="M1932" s="3"/>
      <c r="P1932" s="3"/>
    </row>
    <row r="1933" spans="8:16" x14ac:dyDescent="0.25">
      <c r="H1933" s="3"/>
      <c r="K1933" s="3"/>
      <c r="M1933" s="3"/>
      <c r="P1933" s="3"/>
    </row>
    <row r="1934" spans="8:16" x14ac:dyDescent="0.25">
      <c r="H1934" s="3"/>
      <c r="K1934" s="3"/>
      <c r="M1934" s="3"/>
      <c r="P1934" s="3"/>
    </row>
    <row r="1935" spans="8:16" x14ac:dyDescent="0.25">
      <c r="H1935" s="3"/>
      <c r="K1935" s="3"/>
      <c r="M1935" s="3"/>
      <c r="P1935" s="3"/>
    </row>
    <row r="1936" spans="8:16" x14ac:dyDescent="0.25">
      <c r="H1936" s="3"/>
      <c r="K1936" s="3"/>
      <c r="M1936" s="3"/>
      <c r="P1936" s="3"/>
    </row>
    <row r="1937" spans="8:16" x14ac:dyDescent="0.25">
      <c r="H1937" s="3"/>
      <c r="K1937" s="3"/>
      <c r="M1937" s="3"/>
      <c r="P1937" s="3"/>
    </row>
    <row r="1938" spans="8:16" x14ac:dyDescent="0.25">
      <c r="H1938" s="3"/>
      <c r="K1938" s="3"/>
      <c r="M1938" s="3"/>
      <c r="P1938" s="3"/>
    </row>
    <row r="1939" spans="8:16" x14ac:dyDescent="0.25">
      <c r="H1939" s="3"/>
      <c r="K1939" s="3"/>
      <c r="M1939" s="3"/>
      <c r="P1939" s="3"/>
    </row>
    <row r="1940" spans="8:16" x14ac:dyDescent="0.25">
      <c r="H1940" s="3"/>
      <c r="K1940" s="3"/>
      <c r="M1940" s="3"/>
      <c r="P1940" s="3"/>
    </row>
    <row r="1941" spans="8:16" x14ac:dyDescent="0.25">
      <c r="H1941" s="3"/>
      <c r="K1941" s="3"/>
      <c r="M1941" s="3"/>
      <c r="P1941" s="3"/>
    </row>
    <row r="1942" spans="8:16" x14ac:dyDescent="0.25">
      <c r="H1942" s="3"/>
      <c r="K1942" s="3"/>
      <c r="M1942" s="3"/>
      <c r="P1942" s="3"/>
    </row>
    <row r="1943" spans="8:16" x14ac:dyDescent="0.25">
      <c r="H1943" s="3"/>
      <c r="K1943" s="3"/>
      <c r="M1943" s="3"/>
      <c r="P1943" s="3"/>
    </row>
    <row r="1944" spans="8:16" x14ac:dyDescent="0.25">
      <c r="H1944" s="3"/>
      <c r="K1944" s="3"/>
      <c r="M1944" s="3"/>
      <c r="P1944" s="3"/>
    </row>
    <row r="1945" spans="8:16" x14ac:dyDescent="0.25">
      <c r="H1945" s="3"/>
      <c r="K1945" s="3"/>
      <c r="M1945" s="3"/>
      <c r="P1945" s="3"/>
    </row>
    <row r="1946" spans="8:16" x14ac:dyDescent="0.25">
      <c r="H1946" s="3"/>
      <c r="K1946" s="3"/>
      <c r="M1946" s="3"/>
      <c r="P1946" s="3"/>
    </row>
    <row r="1947" spans="8:16" x14ac:dyDescent="0.25">
      <c r="H1947" s="3"/>
      <c r="K1947" s="3"/>
      <c r="M1947" s="3"/>
      <c r="P1947" s="3"/>
    </row>
    <row r="1948" spans="8:16" x14ac:dyDescent="0.25">
      <c r="H1948" s="3"/>
      <c r="K1948" s="3"/>
      <c r="M1948" s="3"/>
      <c r="P1948" s="3"/>
    </row>
    <row r="1949" spans="8:16" x14ac:dyDescent="0.25">
      <c r="H1949" s="3"/>
      <c r="K1949" s="3"/>
      <c r="M1949" s="3"/>
      <c r="P1949" s="3"/>
    </row>
    <row r="1950" spans="8:16" x14ac:dyDescent="0.25">
      <c r="H1950" s="3"/>
      <c r="K1950" s="3"/>
      <c r="M1950" s="3"/>
      <c r="P1950" s="3"/>
    </row>
    <row r="1951" spans="8:16" x14ac:dyDescent="0.25">
      <c r="H1951" s="3"/>
      <c r="K1951" s="3"/>
      <c r="M1951" s="3"/>
      <c r="P1951" s="3"/>
    </row>
    <row r="1952" spans="8:16" x14ac:dyDescent="0.25">
      <c r="H1952" s="3"/>
      <c r="K1952" s="3"/>
      <c r="M1952" s="3"/>
      <c r="P1952" s="3"/>
    </row>
    <row r="1953" spans="8:16" x14ac:dyDescent="0.25">
      <c r="H1953" s="3"/>
      <c r="K1953" s="3"/>
      <c r="M1953" s="3"/>
      <c r="P1953" s="3"/>
    </row>
    <row r="1954" spans="8:16" x14ac:dyDescent="0.25">
      <c r="H1954" s="3"/>
      <c r="K1954" s="3"/>
      <c r="M1954" s="3"/>
      <c r="P1954" s="3"/>
    </row>
    <row r="1955" spans="8:16" x14ac:dyDescent="0.25">
      <c r="H1955" s="3"/>
      <c r="K1955" s="3"/>
      <c r="M1955" s="3"/>
      <c r="P1955" s="3"/>
    </row>
    <row r="1956" spans="8:16" x14ac:dyDescent="0.25">
      <c r="H1956" s="3"/>
      <c r="K1956" s="3"/>
      <c r="M1956" s="3"/>
      <c r="P1956" s="3"/>
    </row>
    <row r="1957" spans="8:16" x14ac:dyDescent="0.25">
      <c r="H1957" s="3"/>
      <c r="K1957" s="3"/>
      <c r="M1957" s="3"/>
      <c r="P1957" s="3"/>
    </row>
    <row r="1958" spans="8:16" x14ac:dyDescent="0.25">
      <c r="H1958" s="3"/>
      <c r="K1958" s="3"/>
      <c r="M1958" s="3"/>
      <c r="P1958" s="3"/>
    </row>
    <row r="1959" spans="8:16" x14ac:dyDescent="0.25">
      <c r="H1959" s="3"/>
      <c r="K1959" s="3"/>
      <c r="M1959" s="3"/>
      <c r="P1959" s="3"/>
    </row>
    <row r="1960" spans="8:16" x14ac:dyDescent="0.25">
      <c r="H1960" s="3"/>
      <c r="K1960" s="3"/>
      <c r="M1960" s="3"/>
      <c r="P1960" s="3"/>
    </row>
    <row r="1961" spans="8:16" x14ac:dyDescent="0.25">
      <c r="H1961" s="3"/>
      <c r="K1961" s="3"/>
      <c r="M1961" s="3"/>
      <c r="P1961" s="3"/>
    </row>
    <row r="1962" spans="8:16" x14ac:dyDescent="0.25">
      <c r="H1962" s="3"/>
      <c r="K1962" s="3"/>
      <c r="M1962" s="3"/>
      <c r="P1962" s="3"/>
    </row>
    <row r="1963" spans="8:16" x14ac:dyDescent="0.25">
      <c r="H1963" s="3"/>
      <c r="K1963" s="3"/>
      <c r="M1963" s="3"/>
      <c r="P1963" s="3"/>
    </row>
    <row r="1964" spans="8:16" x14ac:dyDescent="0.25">
      <c r="H1964" s="3"/>
      <c r="K1964" s="3"/>
      <c r="M1964" s="3"/>
      <c r="P1964" s="3"/>
    </row>
    <row r="1965" spans="8:16" x14ac:dyDescent="0.25">
      <c r="H1965" s="3"/>
      <c r="K1965" s="3"/>
      <c r="M1965" s="3"/>
      <c r="P1965" s="3"/>
    </row>
    <row r="1966" spans="8:16" x14ac:dyDescent="0.25">
      <c r="H1966" s="3"/>
      <c r="K1966" s="3"/>
      <c r="M1966" s="3"/>
      <c r="P1966" s="3"/>
    </row>
    <row r="1967" spans="8:16" x14ac:dyDescent="0.25">
      <c r="H1967" s="3"/>
      <c r="K1967" s="3"/>
      <c r="M1967" s="3"/>
      <c r="P1967" s="3"/>
    </row>
    <row r="1968" spans="8:16" x14ac:dyDescent="0.25">
      <c r="H1968" s="3"/>
      <c r="K1968" s="3"/>
      <c r="M1968" s="3"/>
      <c r="P1968" s="3"/>
    </row>
    <row r="1969" spans="8:16" x14ac:dyDescent="0.25">
      <c r="H1969" s="3"/>
      <c r="K1969" s="3"/>
      <c r="M1969" s="3"/>
      <c r="P1969" s="3"/>
    </row>
    <row r="1970" spans="8:16" x14ac:dyDescent="0.25">
      <c r="H1970" s="3"/>
      <c r="K1970" s="3"/>
      <c r="M1970" s="3"/>
      <c r="P1970" s="3"/>
    </row>
    <row r="1971" spans="8:16" x14ac:dyDescent="0.25">
      <c r="H1971" s="3"/>
      <c r="K1971" s="3"/>
      <c r="M1971" s="3"/>
      <c r="P1971" s="3"/>
    </row>
    <row r="1972" spans="8:16" x14ac:dyDescent="0.25">
      <c r="H1972" s="3"/>
      <c r="K1972" s="3"/>
      <c r="M1972" s="3"/>
      <c r="P1972" s="3"/>
    </row>
    <row r="1973" spans="8:16" x14ac:dyDescent="0.25">
      <c r="H1973" s="3"/>
      <c r="K1973" s="3"/>
      <c r="M1973" s="3"/>
      <c r="P1973" s="3"/>
    </row>
    <row r="1974" spans="8:16" x14ac:dyDescent="0.25">
      <c r="H1974" s="3"/>
      <c r="K1974" s="3"/>
      <c r="M1974" s="3"/>
      <c r="P1974" s="3"/>
    </row>
    <row r="1975" spans="8:16" x14ac:dyDescent="0.25">
      <c r="H1975" s="3"/>
      <c r="K1975" s="3"/>
      <c r="M1975" s="3"/>
      <c r="P1975" s="3"/>
    </row>
    <row r="1976" spans="8:16" x14ac:dyDescent="0.25">
      <c r="H1976" s="3"/>
      <c r="K1976" s="3"/>
      <c r="M1976" s="3"/>
      <c r="P1976" s="3"/>
    </row>
    <row r="1977" spans="8:16" x14ac:dyDescent="0.25">
      <c r="H1977" s="3"/>
      <c r="K1977" s="3"/>
      <c r="M1977" s="3"/>
      <c r="P1977" s="3"/>
    </row>
    <row r="1978" spans="8:16" x14ac:dyDescent="0.25">
      <c r="H1978" s="3"/>
      <c r="K1978" s="3"/>
      <c r="M1978" s="3"/>
      <c r="P1978" s="3"/>
    </row>
    <row r="1979" spans="8:16" x14ac:dyDescent="0.25">
      <c r="H1979" s="3"/>
      <c r="K1979" s="3"/>
      <c r="M1979" s="3"/>
      <c r="P1979" s="3"/>
    </row>
    <row r="1980" spans="8:16" x14ac:dyDescent="0.25">
      <c r="H1980" s="3"/>
      <c r="K1980" s="3"/>
      <c r="M1980" s="3"/>
      <c r="P1980" s="3"/>
    </row>
    <row r="1981" spans="8:16" x14ac:dyDescent="0.25">
      <c r="H1981" s="3"/>
      <c r="K1981" s="3"/>
      <c r="M1981" s="3"/>
      <c r="P1981" s="3"/>
    </row>
    <row r="1982" spans="8:16" x14ac:dyDescent="0.25">
      <c r="H1982" s="3"/>
      <c r="K1982" s="3"/>
      <c r="M1982" s="3"/>
      <c r="P1982" s="3"/>
    </row>
    <row r="1983" spans="8:16" x14ac:dyDescent="0.25">
      <c r="H1983" s="3"/>
      <c r="K1983" s="3"/>
      <c r="M1983" s="3"/>
      <c r="P1983" s="3"/>
    </row>
    <row r="1984" spans="8:16" x14ac:dyDescent="0.25">
      <c r="H1984" s="3"/>
      <c r="K1984" s="3"/>
      <c r="M1984" s="3"/>
      <c r="P1984" s="3"/>
    </row>
    <row r="1985" spans="8:16" x14ac:dyDescent="0.25">
      <c r="H1985" s="3"/>
      <c r="K1985" s="3"/>
      <c r="M1985" s="3"/>
      <c r="P1985" s="3"/>
    </row>
    <row r="1986" spans="8:16" x14ac:dyDescent="0.25">
      <c r="H1986" s="3"/>
      <c r="K1986" s="3"/>
      <c r="M1986" s="3"/>
      <c r="P1986" s="3"/>
    </row>
    <row r="1987" spans="8:16" x14ac:dyDescent="0.25">
      <c r="H1987" s="3"/>
      <c r="K1987" s="3"/>
      <c r="M1987" s="3"/>
      <c r="P1987" s="3"/>
    </row>
    <row r="1988" spans="8:16" x14ac:dyDescent="0.25">
      <c r="H1988" s="3"/>
      <c r="K1988" s="3"/>
      <c r="M1988" s="3"/>
      <c r="P1988" s="3"/>
    </row>
    <row r="1989" spans="8:16" x14ac:dyDescent="0.25">
      <c r="H1989" s="3"/>
      <c r="K1989" s="3"/>
      <c r="M1989" s="3"/>
      <c r="P1989" s="3"/>
    </row>
    <row r="1990" spans="8:16" x14ac:dyDescent="0.25">
      <c r="H1990" s="3"/>
      <c r="K1990" s="3"/>
      <c r="M1990" s="3"/>
      <c r="P1990" s="3"/>
    </row>
    <row r="1991" spans="8:16" x14ac:dyDescent="0.25">
      <c r="H1991" s="3"/>
      <c r="K1991" s="3"/>
      <c r="M1991" s="3"/>
      <c r="P1991" s="3"/>
    </row>
    <row r="1992" spans="8:16" x14ac:dyDescent="0.25">
      <c r="H1992" s="3"/>
      <c r="K1992" s="3"/>
      <c r="M1992" s="3"/>
      <c r="P1992" s="3"/>
    </row>
    <row r="1993" spans="8:16" x14ac:dyDescent="0.25">
      <c r="H1993" s="3"/>
      <c r="K1993" s="3"/>
      <c r="M1993" s="3"/>
      <c r="P1993" s="3"/>
    </row>
    <row r="1994" spans="8:16" x14ac:dyDescent="0.25">
      <c r="H1994" s="3"/>
      <c r="K1994" s="3"/>
      <c r="M1994" s="3"/>
      <c r="P1994" s="3"/>
    </row>
    <row r="1995" spans="8:16" x14ac:dyDescent="0.25">
      <c r="H1995" s="3"/>
      <c r="K1995" s="3"/>
      <c r="M1995" s="3"/>
      <c r="P1995" s="3"/>
    </row>
    <row r="1996" spans="8:16" x14ac:dyDescent="0.25">
      <c r="H1996" s="3"/>
      <c r="K1996" s="3"/>
      <c r="M1996" s="3"/>
      <c r="P1996" s="3"/>
    </row>
    <row r="1997" spans="8:16" x14ac:dyDescent="0.25">
      <c r="H1997" s="3"/>
      <c r="K1997" s="3"/>
      <c r="M1997" s="3"/>
      <c r="P1997" s="3"/>
    </row>
    <row r="1998" spans="8:16" x14ac:dyDescent="0.25">
      <c r="H1998" s="3"/>
      <c r="K1998" s="3"/>
      <c r="M1998" s="3"/>
      <c r="P1998" s="3"/>
    </row>
    <row r="1999" spans="8:16" x14ac:dyDescent="0.25">
      <c r="H1999" s="3"/>
      <c r="K1999" s="3"/>
      <c r="M1999" s="3"/>
      <c r="P1999" s="3"/>
    </row>
    <row r="2000" spans="8:16" x14ac:dyDescent="0.25">
      <c r="H2000" s="3"/>
      <c r="K2000" s="3"/>
      <c r="M2000" s="3"/>
      <c r="P2000" s="3"/>
    </row>
    <row r="2001" spans="8:16" x14ac:dyDescent="0.25">
      <c r="H2001" s="3"/>
      <c r="K2001" s="3"/>
      <c r="M2001" s="3"/>
      <c r="P2001" s="3"/>
    </row>
    <row r="2002" spans="8:16" x14ac:dyDescent="0.25">
      <c r="H2002" s="3"/>
      <c r="K2002" s="3"/>
      <c r="M2002" s="3"/>
      <c r="P2002" s="3"/>
    </row>
    <row r="2003" spans="8:16" x14ac:dyDescent="0.25">
      <c r="H2003" s="3"/>
      <c r="K2003" s="3"/>
      <c r="M2003" s="3"/>
      <c r="P2003" s="3"/>
    </row>
    <row r="2004" spans="8:16" x14ac:dyDescent="0.25">
      <c r="H2004" s="3"/>
      <c r="K2004" s="3"/>
      <c r="M2004" s="3"/>
      <c r="P2004" s="3"/>
    </row>
    <row r="2005" spans="8:16" x14ac:dyDescent="0.25">
      <c r="H2005" s="3"/>
      <c r="K2005" s="3"/>
      <c r="M2005" s="3"/>
      <c r="P2005" s="3"/>
    </row>
    <row r="2006" spans="8:16" x14ac:dyDescent="0.25">
      <c r="H2006" s="3"/>
      <c r="K2006" s="3"/>
      <c r="M2006" s="3"/>
      <c r="P2006" s="3"/>
    </row>
    <row r="2007" spans="8:16" x14ac:dyDescent="0.25">
      <c r="H2007" s="3"/>
      <c r="K2007" s="3"/>
      <c r="M2007" s="3"/>
      <c r="P2007" s="3"/>
    </row>
    <row r="2008" spans="8:16" x14ac:dyDescent="0.25">
      <c r="H2008" s="3"/>
      <c r="K2008" s="3"/>
      <c r="M2008" s="3"/>
      <c r="P2008" s="3"/>
    </row>
    <row r="2009" spans="8:16" x14ac:dyDescent="0.25">
      <c r="H2009" s="3"/>
      <c r="K2009" s="3"/>
      <c r="M2009" s="3"/>
      <c r="P2009" s="3"/>
    </row>
    <row r="2010" spans="8:16" x14ac:dyDescent="0.25">
      <c r="H2010" s="3"/>
      <c r="K2010" s="3"/>
      <c r="M2010" s="3"/>
      <c r="P2010" s="3"/>
    </row>
    <row r="2011" spans="8:16" x14ac:dyDescent="0.25">
      <c r="H2011" s="3"/>
      <c r="K2011" s="3"/>
      <c r="M2011" s="3"/>
      <c r="P2011" s="3"/>
    </row>
    <row r="2012" spans="8:16" x14ac:dyDescent="0.25">
      <c r="H2012" s="3"/>
      <c r="K2012" s="3"/>
      <c r="M2012" s="3"/>
      <c r="P2012" s="3"/>
    </row>
    <row r="2013" spans="8:16" x14ac:dyDescent="0.25">
      <c r="H2013" s="3"/>
      <c r="K2013" s="3"/>
      <c r="M2013" s="3"/>
      <c r="P2013" s="3"/>
    </row>
    <row r="2014" spans="8:16" x14ac:dyDescent="0.25">
      <c r="H2014" s="3"/>
      <c r="K2014" s="3"/>
      <c r="M2014" s="3"/>
      <c r="P2014" s="3"/>
    </row>
    <row r="2015" spans="8:16" x14ac:dyDescent="0.25">
      <c r="H2015" s="3"/>
      <c r="K2015" s="3"/>
      <c r="M2015" s="3"/>
      <c r="P2015" s="3"/>
    </row>
    <row r="2016" spans="8:16" x14ac:dyDescent="0.25">
      <c r="H2016" s="3"/>
      <c r="K2016" s="3"/>
      <c r="M2016" s="3"/>
      <c r="P2016" s="3"/>
    </row>
    <row r="2017" spans="8:16" x14ac:dyDescent="0.25">
      <c r="H2017" s="3"/>
      <c r="K2017" s="3"/>
      <c r="M2017" s="3"/>
      <c r="P2017" s="3"/>
    </row>
    <row r="2018" spans="8:16" x14ac:dyDescent="0.25">
      <c r="H2018" s="3"/>
      <c r="K2018" s="3"/>
      <c r="M2018" s="3"/>
      <c r="P2018" s="3"/>
    </row>
    <row r="2019" spans="8:16" x14ac:dyDescent="0.25">
      <c r="H2019" s="3"/>
      <c r="K2019" s="3"/>
      <c r="M2019" s="3"/>
      <c r="P2019" s="3"/>
    </row>
    <row r="2020" spans="8:16" x14ac:dyDescent="0.25">
      <c r="H2020" s="3"/>
      <c r="K2020" s="3"/>
      <c r="M2020" s="3"/>
      <c r="P2020" s="3"/>
    </row>
    <row r="2021" spans="8:16" x14ac:dyDescent="0.25">
      <c r="H2021" s="3"/>
      <c r="K2021" s="3"/>
      <c r="M2021" s="3"/>
      <c r="P2021" s="3"/>
    </row>
    <row r="2022" spans="8:16" x14ac:dyDescent="0.25">
      <c r="H2022" s="3"/>
      <c r="K2022" s="3"/>
      <c r="M2022" s="3"/>
      <c r="P2022" s="3"/>
    </row>
    <row r="2023" spans="8:16" x14ac:dyDescent="0.25">
      <c r="H2023" s="3"/>
      <c r="K2023" s="3"/>
      <c r="M2023" s="3"/>
      <c r="P2023" s="3"/>
    </row>
    <row r="2024" spans="8:16" x14ac:dyDescent="0.25">
      <c r="H2024" s="3"/>
      <c r="K2024" s="3"/>
      <c r="M2024" s="3"/>
      <c r="P2024" s="3"/>
    </row>
    <row r="2025" spans="8:16" x14ac:dyDescent="0.25">
      <c r="H2025" s="3"/>
      <c r="K2025" s="3"/>
      <c r="M2025" s="3"/>
      <c r="P2025" s="3"/>
    </row>
    <row r="2026" spans="8:16" x14ac:dyDescent="0.25">
      <c r="H2026" s="3"/>
      <c r="K2026" s="3"/>
      <c r="M2026" s="3"/>
      <c r="P2026" s="3"/>
    </row>
    <row r="2027" spans="8:16" x14ac:dyDescent="0.25">
      <c r="H2027" s="3"/>
      <c r="K2027" s="3"/>
      <c r="M2027" s="3"/>
      <c r="P2027" s="3"/>
    </row>
    <row r="2028" spans="8:16" x14ac:dyDescent="0.25">
      <c r="H2028" s="3"/>
      <c r="K2028" s="3"/>
      <c r="M2028" s="3"/>
      <c r="P2028" s="3"/>
    </row>
    <row r="2029" spans="8:16" x14ac:dyDescent="0.25">
      <c r="H2029" s="3"/>
      <c r="K2029" s="3"/>
      <c r="M2029" s="3"/>
      <c r="P2029" s="3"/>
    </row>
    <row r="2030" spans="8:16" x14ac:dyDescent="0.25">
      <c r="H2030" s="3"/>
      <c r="K2030" s="3"/>
      <c r="M2030" s="3"/>
      <c r="P2030" s="3"/>
    </row>
    <row r="2031" spans="8:16" x14ac:dyDescent="0.25">
      <c r="H2031" s="3"/>
      <c r="K2031" s="3"/>
      <c r="M2031" s="3"/>
      <c r="P2031" s="3"/>
    </row>
    <row r="2032" spans="8:16" x14ac:dyDescent="0.25">
      <c r="H2032" s="3"/>
      <c r="K2032" s="3"/>
      <c r="M2032" s="3"/>
      <c r="P2032" s="3"/>
    </row>
    <row r="2033" spans="8:16" x14ac:dyDescent="0.25">
      <c r="H2033" s="3"/>
      <c r="K2033" s="3"/>
      <c r="M2033" s="3"/>
      <c r="P2033" s="3"/>
    </row>
    <row r="2034" spans="8:16" x14ac:dyDescent="0.25">
      <c r="H2034" s="3"/>
      <c r="K2034" s="3"/>
      <c r="M2034" s="3"/>
      <c r="P2034" s="3"/>
    </row>
    <row r="2035" spans="8:16" x14ac:dyDescent="0.25">
      <c r="H2035" s="3"/>
      <c r="K2035" s="3"/>
      <c r="M2035" s="3"/>
      <c r="P2035" s="3"/>
    </row>
    <row r="2036" spans="8:16" x14ac:dyDescent="0.25">
      <c r="H2036" s="3"/>
      <c r="K2036" s="3"/>
      <c r="M2036" s="3"/>
      <c r="P2036" s="3"/>
    </row>
    <row r="2037" spans="8:16" x14ac:dyDescent="0.25">
      <c r="H2037" s="3"/>
      <c r="K2037" s="3"/>
      <c r="M2037" s="3"/>
      <c r="P2037" s="3"/>
    </row>
    <row r="2038" spans="8:16" x14ac:dyDescent="0.25">
      <c r="H2038" s="3"/>
      <c r="K2038" s="3"/>
      <c r="M2038" s="3"/>
      <c r="P2038" s="3"/>
    </row>
    <row r="2039" spans="8:16" x14ac:dyDescent="0.25">
      <c r="H2039" s="3"/>
      <c r="K2039" s="3"/>
      <c r="M2039" s="3"/>
      <c r="P2039" s="3"/>
    </row>
    <row r="2040" spans="8:16" x14ac:dyDescent="0.25">
      <c r="H2040" s="3"/>
      <c r="K2040" s="3"/>
      <c r="M2040" s="3"/>
      <c r="P2040" s="3"/>
    </row>
    <row r="2041" spans="8:16" x14ac:dyDescent="0.25">
      <c r="H2041" s="3"/>
      <c r="K2041" s="3"/>
      <c r="M2041" s="3"/>
      <c r="P2041" s="3"/>
    </row>
    <row r="2042" spans="8:16" x14ac:dyDescent="0.25">
      <c r="H2042" s="3"/>
      <c r="K2042" s="3"/>
      <c r="M2042" s="3"/>
      <c r="P2042" s="3"/>
    </row>
    <row r="2043" spans="8:16" x14ac:dyDescent="0.25">
      <c r="H2043" s="3"/>
      <c r="K2043" s="3"/>
      <c r="M2043" s="3"/>
      <c r="P2043" s="3"/>
    </row>
    <row r="2044" spans="8:16" x14ac:dyDescent="0.25">
      <c r="H2044" s="3"/>
      <c r="K2044" s="3"/>
      <c r="M2044" s="3"/>
      <c r="P2044" s="3"/>
    </row>
    <row r="2045" spans="8:16" x14ac:dyDescent="0.25">
      <c r="H2045" s="3"/>
      <c r="K2045" s="3"/>
      <c r="M2045" s="3"/>
      <c r="P2045" s="3"/>
    </row>
    <row r="2046" spans="8:16" x14ac:dyDescent="0.25">
      <c r="H2046" s="3"/>
      <c r="K2046" s="3"/>
      <c r="M2046" s="3"/>
      <c r="P2046" s="3"/>
    </row>
    <row r="2047" spans="8:16" x14ac:dyDescent="0.25">
      <c r="H2047" s="3"/>
      <c r="K2047" s="3"/>
      <c r="M2047" s="3"/>
      <c r="P2047" s="3"/>
    </row>
    <row r="2048" spans="8:16" x14ac:dyDescent="0.25">
      <c r="H2048" s="3"/>
      <c r="K2048" s="3"/>
      <c r="M2048" s="3"/>
      <c r="P2048" s="3"/>
    </row>
    <row r="2049" spans="8:16" x14ac:dyDescent="0.25">
      <c r="H2049" s="3"/>
      <c r="K2049" s="3"/>
      <c r="M2049" s="3"/>
      <c r="P2049" s="3"/>
    </row>
    <row r="2050" spans="8:16" x14ac:dyDescent="0.25">
      <c r="H2050" s="3"/>
      <c r="K2050" s="3"/>
      <c r="M2050" s="3"/>
      <c r="P2050" s="3"/>
    </row>
    <row r="2051" spans="8:16" x14ac:dyDescent="0.25">
      <c r="H2051" s="3"/>
      <c r="K2051" s="3"/>
      <c r="M2051" s="3"/>
      <c r="P2051" s="3"/>
    </row>
    <row r="2052" spans="8:16" x14ac:dyDescent="0.25">
      <c r="H2052" s="3"/>
      <c r="K2052" s="3"/>
      <c r="M2052" s="3"/>
      <c r="P2052" s="3"/>
    </row>
    <row r="2053" spans="8:16" x14ac:dyDescent="0.25">
      <c r="H2053" s="3"/>
      <c r="K2053" s="3"/>
      <c r="M2053" s="3"/>
      <c r="P2053" s="3"/>
    </row>
    <row r="2054" spans="8:16" x14ac:dyDescent="0.25">
      <c r="H2054" s="3"/>
      <c r="K2054" s="3"/>
      <c r="M2054" s="3"/>
      <c r="P2054" s="3"/>
    </row>
    <row r="2055" spans="8:16" x14ac:dyDescent="0.25">
      <c r="H2055" s="3"/>
      <c r="K2055" s="3"/>
      <c r="M2055" s="3"/>
      <c r="P2055" s="3"/>
    </row>
    <row r="2056" spans="8:16" x14ac:dyDescent="0.25">
      <c r="H2056" s="3"/>
      <c r="K2056" s="3"/>
      <c r="M2056" s="3"/>
      <c r="P2056" s="3"/>
    </row>
    <row r="2057" spans="8:16" x14ac:dyDescent="0.25">
      <c r="H2057" s="3"/>
      <c r="K2057" s="3"/>
      <c r="M2057" s="3"/>
      <c r="P2057" s="3"/>
    </row>
    <row r="2058" spans="8:16" x14ac:dyDescent="0.25">
      <c r="H2058" s="3"/>
      <c r="K2058" s="3"/>
      <c r="M2058" s="3"/>
      <c r="P2058" s="3"/>
    </row>
    <row r="2059" spans="8:16" x14ac:dyDescent="0.25">
      <c r="H2059" s="3"/>
      <c r="K2059" s="3"/>
      <c r="M2059" s="3"/>
      <c r="P2059" s="3"/>
    </row>
    <row r="2060" spans="8:16" x14ac:dyDescent="0.25">
      <c r="H2060" s="3"/>
      <c r="K2060" s="3"/>
      <c r="M2060" s="3"/>
      <c r="P2060" s="3"/>
    </row>
    <row r="2061" spans="8:16" x14ac:dyDescent="0.25">
      <c r="H2061" s="3"/>
      <c r="K2061" s="3"/>
      <c r="M2061" s="3"/>
      <c r="P2061" s="3"/>
    </row>
    <row r="2062" spans="8:16" x14ac:dyDescent="0.25">
      <c r="H2062" s="3"/>
      <c r="K2062" s="3"/>
      <c r="M2062" s="3"/>
      <c r="P2062" s="3"/>
    </row>
    <row r="2063" spans="8:16" x14ac:dyDescent="0.25">
      <c r="H2063" s="3"/>
      <c r="K2063" s="3"/>
      <c r="M2063" s="3"/>
      <c r="P2063" s="3"/>
    </row>
    <row r="2064" spans="8:16" x14ac:dyDescent="0.25">
      <c r="H2064" s="3"/>
      <c r="K2064" s="3"/>
      <c r="M2064" s="3"/>
      <c r="P2064" s="3"/>
    </row>
    <row r="2065" spans="8:16" x14ac:dyDescent="0.25">
      <c r="H2065" s="3"/>
      <c r="K2065" s="3"/>
      <c r="M2065" s="3"/>
      <c r="P2065" s="3"/>
    </row>
    <row r="2066" spans="8:16" x14ac:dyDescent="0.25">
      <c r="H2066" s="3"/>
      <c r="K2066" s="3"/>
      <c r="M2066" s="3"/>
      <c r="P2066" s="3"/>
    </row>
    <row r="2067" spans="8:16" x14ac:dyDescent="0.25">
      <c r="H2067" s="3"/>
      <c r="K2067" s="3"/>
      <c r="M2067" s="3"/>
      <c r="P2067" s="3"/>
    </row>
    <row r="2068" spans="8:16" x14ac:dyDescent="0.25">
      <c r="H2068" s="3"/>
      <c r="K2068" s="3"/>
      <c r="M2068" s="3"/>
      <c r="P2068" s="3"/>
    </row>
    <row r="2069" spans="8:16" x14ac:dyDescent="0.25">
      <c r="H2069" s="3"/>
      <c r="K2069" s="3"/>
      <c r="M2069" s="3"/>
      <c r="P2069" s="3"/>
    </row>
    <row r="2070" spans="8:16" x14ac:dyDescent="0.25">
      <c r="H2070" s="3"/>
      <c r="K2070" s="3"/>
      <c r="M2070" s="3"/>
      <c r="P2070" s="3"/>
    </row>
    <row r="2071" spans="8:16" x14ac:dyDescent="0.25">
      <c r="H2071" s="3"/>
      <c r="K2071" s="3"/>
      <c r="M2071" s="3"/>
      <c r="P2071" s="3"/>
    </row>
    <row r="2072" spans="8:16" x14ac:dyDescent="0.25">
      <c r="H2072" s="3"/>
      <c r="K2072" s="3"/>
      <c r="M2072" s="3"/>
      <c r="P2072" s="3"/>
    </row>
    <row r="2073" spans="8:16" x14ac:dyDescent="0.25">
      <c r="H2073" s="3"/>
      <c r="K2073" s="3"/>
      <c r="M2073" s="3"/>
      <c r="P2073" s="3"/>
    </row>
    <row r="2074" spans="8:16" x14ac:dyDescent="0.25">
      <c r="H2074" s="3"/>
      <c r="K2074" s="3"/>
      <c r="M2074" s="3"/>
      <c r="P2074" s="3"/>
    </row>
    <row r="2075" spans="8:16" x14ac:dyDescent="0.25">
      <c r="H2075" s="3"/>
      <c r="K2075" s="3"/>
      <c r="M2075" s="3"/>
      <c r="P2075" s="3"/>
    </row>
    <row r="2076" spans="8:16" x14ac:dyDescent="0.25">
      <c r="H2076" s="3"/>
      <c r="K2076" s="3"/>
      <c r="M2076" s="3"/>
      <c r="P2076" s="3"/>
    </row>
    <row r="2077" spans="8:16" x14ac:dyDescent="0.25">
      <c r="H2077" s="3"/>
      <c r="K2077" s="3"/>
      <c r="M2077" s="3"/>
      <c r="P2077" s="3"/>
    </row>
    <row r="2078" spans="8:16" x14ac:dyDescent="0.25">
      <c r="H2078" s="3"/>
      <c r="K2078" s="3"/>
      <c r="M2078" s="3"/>
      <c r="P2078" s="3"/>
    </row>
    <row r="2079" spans="8:16" x14ac:dyDescent="0.25">
      <c r="H2079" s="3"/>
      <c r="K2079" s="3"/>
      <c r="M2079" s="3"/>
      <c r="P2079" s="3"/>
    </row>
    <row r="2080" spans="8:16" x14ac:dyDescent="0.25">
      <c r="H2080" s="3"/>
      <c r="K2080" s="3"/>
      <c r="M2080" s="3"/>
      <c r="P2080" s="3"/>
    </row>
    <row r="2081" spans="8:16" x14ac:dyDescent="0.25">
      <c r="H2081" s="3"/>
      <c r="K2081" s="3"/>
      <c r="M2081" s="3"/>
      <c r="P2081" s="3"/>
    </row>
    <row r="2082" spans="8:16" x14ac:dyDescent="0.25">
      <c r="H2082" s="3"/>
      <c r="K2082" s="3"/>
      <c r="M2082" s="3"/>
      <c r="P2082" s="3"/>
    </row>
    <row r="2083" spans="8:16" x14ac:dyDescent="0.25">
      <c r="H2083" s="3"/>
      <c r="K2083" s="3"/>
      <c r="M2083" s="3"/>
      <c r="P2083" s="3"/>
    </row>
    <row r="2084" spans="8:16" x14ac:dyDescent="0.25">
      <c r="H2084" s="3"/>
      <c r="K2084" s="3"/>
      <c r="M2084" s="3"/>
      <c r="P2084" s="3"/>
    </row>
    <row r="2085" spans="8:16" x14ac:dyDescent="0.25">
      <c r="H2085" s="3"/>
      <c r="K2085" s="3"/>
      <c r="M2085" s="3"/>
      <c r="P2085" s="3"/>
    </row>
    <row r="2086" spans="8:16" x14ac:dyDescent="0.25">
      <c r="H2086" s="3"/>
      <c r="K2086" s="3"/>
      <c r="M2086" s="3"/>
      <c r="P2086" s="3"/>
    </row>
    <row r="2087" spans="8:16" x14ac:dyDescent="0.25">
      <c r="H2087" s="3"/>
      <c r="K2087" s="3"/>
      <c r="M2087" s="3"/>
      <c r="P2087" s="3"/>
    </row>
    <row r="2088" spans="8:16" x14ac:dyDescent="0.25">
      <c r="H2088" s="3"/>
      <c r="K2088" s="3"/>
      <c r="M2088" s="3"/>
      <c r="P2088" s="3"/>
    </row>
    <row r="2089" spans="8:16" x14ac:dyDescent="0.25">
      <c r="H2089" s="3"/>
      <c r="K2089" s="3"/>
      <c r="M2089" s="3"/>
      <c r="P2089" s="3"/>
    </row>
    <row r="2090" spans="8:16" x14ac:dyDescent="0.25">
      <c r="H2090" s="3"/>
      <c r="K2090" s="3"/>
      <c r="M2090" s="3"/>
      <c r="P2090" s="3"/>
    </row>
    <row r="2091" spans="8:16" x14ac:dyDescent="0.25">
      <c r="H2091" s="3"/>
      <c r="K2091" s="3"/>
      <c r="M2091" s="3"/>
      <c r="P2091" s="3"/>
    </row>
    <row r="2092" spans="8:16" x14ac:dyDescent="0.25">
      <c r="H2092" s="3"/>
      <c r="K2092" s="3"/>
      <c r="M2092" s="3"/>
      <c r="P2092" s="3"/>
    </row>
    <row r="2093" spans="8:16" x14ac:dyDescent="0.25">
      <c r="H2093" s="3"/>
      <c r="K2093" s="3"/>
      <c r="M2093" s="3"/>
      <c r="P2093" s="3"/>
    </row>
    <row r="2094" spans="8:16" x14ac:dyDescent="0.25">
      <c r="H2094" s="3"/>
      <c r="K2094" s="3"/>
      <c r="M2094" s="3"/>
      <c r="P2094" s="3"/>
    </row>
    <row r="2095" spans="8:16" x14ac:dyDescent="0.25">
      <c r="H2095" s="3"/>
      <c r="K2095" s="3"/>
      <c r="M2095" s="3"/>
      <c r="P2095" s="3"/>
    </row>
    <row r="2096" spans="8:16" x14ac:dyDescent="0.25">
      <c r="H2096" s="3"/>
      <c r="K2096" s="3"/>
      <c r="M2096" s="3"/>
      <c r="P2096" s="3"/>
    </row>
    <row r="2097" spans="8:16" x14ac:dyDescent="0.25">
      <c r="H2097" s="3"/>
      <c r="K2097" s="3"/>
      <c r="M2097" s="3"/>
      <c r="P2097" s="3"/>
    </row>
    <row r="2098" spans="8:16" x14ac:dyDescent="0.25">
      <c r="H2098" s="3"/>
      <c r="K2098" s="3"/>
      <c r="M2098" s="3"/>
      <c r="P2098" s="3"/>
    </row>
    <row r="2099" spans="8:16" x14ac:dyDescent="0.25">
      <c r="H2099" s="3"/>
      <c r="K2099" s="3"/>
      <c r="M2099" s="3"/>
      <c r="P2099" s="3"/>
    </row>
    <row r="2100" spans="8:16" x14ac:dyDescent="0.25">
      <c r="H2100" s="3"/>
      <c r="K2100" s="3"/>
      <c r="M2100" s="3"/>
      <c r="P2100" s="3"/>
    </row>
    <row r="2101" spans="8:16" x14ac:dyDescent="0.25">
      <c r="H2101" s="3"/>
      <c r="K2101" s="3"/>
      <c r="M2101" s="3"/>
      <c r="P2101" s="3"/>
    </row>
    <row r="2102" spans="8:16" x14ac:dyDescent="0.25">
      <c r="H2102" s="3"/>
      <c r="K2102" s="3"/>
      <c r="M2102" s="3"/>
      <c r="P2102" s="3"/>
    </row>
    <row r="2103" spans="8:16" x14ac:dyDescent="0.25">
      <c r="H2103" s="3"/>
      <c r="K2103" s="3"/>
      <c r="M2103" s="3"/>
      <c r="P2103" s="3"/>
    </row>
    <row r="2104" spans="8:16" x14ac:dyDescent="0.25">
      <c r="H2104" s="3"/>
      <c r="K2104" s="3"/>
      <c r="M2104" s="3"/>
      <c r="P2104" s="3"/>
    </row>
    <row r="2105" spans="8:16" x14ac:dyDescent="0.25">
      <c r="H2105" s="3"/>
      <c r="K2105" s="3"/>
      <c r="M2105" s="3"/>
      <c r="P2105" s="3"/>
    </row>
    <row r="2106" spans="8:16" x14ac:dyDescent="0.25">
      <c r="H2106" s="3"/>
      <c r="K2106" s="3"/>
      <c r="M2106" s="3"/>
      <c r="P2106" s="3"/>
    </row>
    <row r="2107" spans="8:16" x14ac:dyDescent="0.25">
      <c r="H2107" s="3"/>
      <c r="K2107" s="3"/>
      <c r="M2107" s="3"/>
      <c r="P2107" s="3"/>
    </row>
    <row r="2108" spans="8:16" x14ac:dyDescent="0.25">
      <c r="H2108" s="3"/>
      <c r="K2108" s="3"/>
      <c r="M2108" s="3"/>
      <c r="P2108" s="3"/>
    </row>
    <row r="2109" spans="8:16" x14ac:dyDescent="0.25">
      <c r="H2109" s="3"/>
      <c r="K2109" s="3"/>
      <c r="M2109" s="3"/>
      <c r="P2109" s="3"/>
    </row>
    <row r="2110" spans="8:16" x14ac:dyDescent="0.25">
      <c r="H2110" s="3"/>
      <c r="K2110" s="3"/>
      <c r="M2110" s="3"/>
      <c r="P2110" s="3"/>
    </row>
    <row r="2111" spans="8:16" x14ac:dyDescent="0.25">
      <c r="H2111" s="3"/>
      <c r="K2111" s="3"/>
      <c r="M2111" s="3"/>
      <c r="P2111" s="3"/>
    </row>
    <row r="2112" spans="8:16" x14ac:dyDescent="0.25">
      <c r="H2112" s="3"/>
      <c r="K2112" s="3"/>
      <c r="M2112" s="3"/>
      <c r="P2112" s="3"/>
    </row>
    <row r="2113" spans="8:16" x14ac:dyDescent="0.25">
      <c r="H2113" s="3"/>
      <c r="K2113" s="3"/>
      <c r="M2113" s="3"/>
      <c r="P2113" s="3"/>
    </row>
    <row r="2114" spans="8:16" x14ac:dyDescent="0.25">
      <c r="H2114" s="3"/>
      <c r="K2114" s="3"/>
      <c r="M2114" s="3"/>
      <c r="P2114" s="3"/>
    </row>
    <row r="2115" spans="8:16" x14ac:dyDescent="0.25">
      <c r="H2115" s="3"/>
      <c r="K2115" s="3"/>
      <c r="M2115" s="3"/>
      <c r="P2115" s="3"/>
    </row>
    <row r="2116" spans="8:16" x14ac:dyDescent="0.25">
      <c r="H2116" s="3"/>
      <c r="K2116" s="3"/>
      <c r="M2116" s="3"/>
      <c r="P2116" s="3"/>
    </row>
    <row r="2117" spans="8:16" x14ac:dyDescent="0.25">
      <c r="H2117" s="3"/>
      <c r="K2117" s="3"/>
      <c r="M2117" s="3"/>
      <c r="P2117" s="3"/>
    </row>
    <row r="2118" spans="8:16" x14ac:dyDescent="0.25">
      <c r="H2118" s="3"/>
      <c r="K2118" s="3"/>
      <c r="M2118" s="3"/>
      <c r="P2118" s="3"/>
    </row>
    <row r="2119" spans="8:16" x14ac:dyDescent="0.25">
      <c r="H2119" s="3"/>
      <c r="K2119" s="3"/>
      <c r="M2119" s="3"/>
      <c r="P2119" s="3"/>
    </row>
    <row r="2120" spans="8:16" x14ac:dyDescent="0.25">
      <c r="H2120" s="3"/>
      <c r="K2120" s="3"/>
      <c r="M2120" s="3"/>
      <c r="P2120" s="3"/>
    </row>
    <row r="2121" spans="8:16" x14ac:dyDescent="0.25">
      <c r="H2121" s="3"/>
      <c r="K2121" s="3"/>
      <c r="M2121" s="3"/>
      <c r="P2121" s="3"/>
    </row>
    <row r="2122" spans="8:16" x14ac:dyDescent="0.25">
      <c r="H2122" s="3"/>
      <c r="K2122" s="3"/>
      <c r="M2122" s="3"/>
      <c r="P2122" s="3"/>
    </row>
    <row r="2123" spans="8:16" x14ac:dyDescent="0.25">
      <c r="H2123" s="3"/>
      <c r="K2123" s="3"/>
      <c r="M2123" s="3"/>
      <c r="P2123" s="3"/>
    </row>
    <row r="2124" spans="8:16" x14ac:dyDescent="0.25">
      <c r="H2124" s="3"/>
      <c r="K2124" s="3"/>
      <c r="M2124" s="3"/>
      <c r="P2124" s="3"/>
    </row>
    <row r="2125" spans="8:16" x14ac:dyDescent="0.25">
      <c r="H2125" s="3"/>
      <c r="K2125" s="3"/>
      <c r="M2125" s="3"/>
      <c r="P2125" s="3"/>
    </row>
    <row r="2126" spans="8:16" x14ac:dyDescent="0.25">
      <c r="H2126" s="3"/>
      <c r="K2126" s="3"/>
      <c r="M2126" s="3"/>
      <c r="P2126" s="3"/>
    </row>
    <row r="2127" spans="8:16" x14ac:dyDescent="0.25">
      <c r="H2127" s="3"/>
      <c r="K2127" s="3"/>
      <c r="M2127" s="3"/>
      <c r="P2127" s="3"/>
    </row>
    <row r="2128" spans="8:16" x14ac:dyDescent="0.25">
      <c r="H2128" s="3"/>
      <c r="K2128" s="3"/>
      <c r="M2128" s="3"/>
      <c r="P2128" s="3"/>
    </row>
    <row r="2129" spans="8:16" x14ac:dyDescent="0.25">
      <c r="H2129" s="3"/>
      <c r="K2129" s="3"/>
      <c r="M2129" s="3"/>
      <c r="P2129" s="3"/>
    </row>
    <row r="2130" spans="8:16" x14ac:dyDescent="0.25">
      <c r="H2130" s="3"/>
      <c r="K2130" s="3"/>
      <c r="M2130" s="3"/>
      <c r="P2130" s="3"/>
    </row>
    <row r="2131" spans="8:16" x14ac:dyDescent="0.25">
      <c r="H2131" s="3"/>
      <c r="K2131" s="3"/>
      <c r="M2131" s="3"/>
      <c r="P2131" s="3"/>
    </row>
    <row r="2132" spans="8:16" x14ac:dyDescent="0.25">
      <c r="H2132" s="3"/>
      <c r="K2132" s="3"/>
      <c r="M2132" s="3"/>
      <c r="P2132" s="3"/>
    </row>
    <row r="2133" spans="8:16" x14ac:dyDescent="0.25">
      <c r="H2133" s="3"/>
      <c r="K2133" s="3"/>
      <c r="M2133" s="3"/>
      <c r="P2133" s="3"/>
    </row>
    <row r="2134" spans="8:16" x14ac:dyDescent="0.25">
      <c r="H2134" s="3"/>
      <c r="K2134" s="3"/>
      <c r="M2134" s="3"/>
      <c r="P2134" s="3"/>
    </row>
    <row r="2135" spans="8:16" x14ac:dyDescent="0.25">
      <c r="H2135" s="3"/>
      <c r="K2135" s="3"/>
      <c r="M2135" s="3"/>
      <c r="P2135" s="3"/>
    </row>
    <row r="2136" spans="8:16" x14ac:dyDescent="0.25">
      <c r="H2136" s="3"/>
      <c r="K2136" s="3"/>
      <c r="M2136" s="3"/>
      <c r="P2136" s="3"/>
    </row>
    <row r="2137" spans="8:16" x14ac:dyDescent="0.25">
      <c r="H2137" s="3"/>
      <c r="K2137" s="3"/>
      <c r="M2137" s="3"/>
      <c r="P2137" s="3"/>
    </row>
    <row r="2138" spans="8:16" x14ac:dyDescent="0.25">
      <c r="H2138" s="3"/>
      <c r="K2138" s="3"/>
      <c r="M2138" s="3"/>
      <c r="P2138" s="3"/>
    </row>
    <row r="2139" spans="8:16" x14ac:dyDescent="0.25">
      <c r="H2139" s="3"/>
      <c r="K2139" s="3"/>
      <c r="M2139" s="3"/>
      <c r="P2139" s="3"/>
    </row>
    <row r="2140" spans="8:16" x14ac:dyDescent="0.25">
      <c r="H2140" s="3"/>
      <c r="K2140" s="3"/>
      <c r="M2140" s="3"/>
      <c r="P2140" s="3"/>
    </row>
    <row r="2141" spans="8:16" x14ac:dyDescent="0.25">
      <c r="H2141" s="3"/>
      <c r="K2141" s="3"/>
      <c r="M2141" s="3"/>
      <c r="P2141" s="3"/>
    </row>
    <row r="2142" spans="8:16" x14ac:dyDescent="0.25">
      <c r="H2142" s="3"/>
      <c r="K2142" s="3"/>
      <c r="M2142" s="3"/>
      <c r="P2142" s="3"/>
    </row>
    <row r="2143" spans="8:16" x14ac:dyDescent="0.25">
      <c r="H2143" s="3"/>
      <c r="K2143" s="3"/>
      <c r="M2143" s="3"/>
      <c r="P2143" s="3"/>
    </row>
    <row r="2144" spans="8:16" x14ac:dyDescent="0.25">
      <c r="H2144" s="3"/>
      <c r="K2144" s="3"/>
      <c r="M2144" s="3"/>
      <c r="P2144" s="3"/>
    </row>
    <row r="2145" spans="8:16" x14ac:dyDescent="0.25">
      <c r="H2145" s="3"/>
      <c r="K2145" s="3"/>
      <c r="M2145" s="3"/>
      <c r="P2145" s="3"/>
    </row>
    <row r="2146" spans="8:16" x14ac:dyDescent="0.25">
      <c r="H2146" s="3"/>
      <c r="K2146" s="3"/>
      <c r="M2146" s="3"/>
      <c r="P2146" s="3"/>
    </row>
    <row r="2147" spans="8:16" x14ac:dyDescent="0.25">
      <c r="H2147" s="3"/>
      <c r="K2147" s="3"/>
      <c r="M2147" s="3"/>
      <c r="P2147" s="3"/>
    </row>
    <row r="2148" spans="8:16" x14ac:dyDescent="0.25">
      <c r="H2148" s="3"/>
      <c r="K2148" s="3"/>
      <c r="M2148" s="3"/>
      <c r="P2148" s="3"/>
    </row>
    <row r="2149" spans="8:16" x14ac:dyDescent="0.25">
      <c r="H2149" s="3"/>
      <c r="K2149" s="3"/>
      <c r="M2149" s="3"/>
      <c r="P2149" s="3"/>
    </row>
    <row r="2150" spans="8:16" x14ac:dyDescent="0.25">
      <c r="H2150" s="3"/>
      <c r="K2150" s="3"/>
      <c r="M2150" s="3"/>
      <c r="P2150" s="3"/>
    </row>
    <row r="2151" spans="8:16" x14ac:dyDescent="0.25">
      <c r="H2151" s="3"/>
      <c r="K2151" s="3"/>
      <c r="M2151" s="3"/>
      <c r="P2151" s="3"/>
    </row>
    <row r="2152" spans="8:16" x14ac:dyDescent="0.25">
      <c r="H2152" s="3"/>
      <c r="K2152" s="3"/>
      <c r="M2152" s="3"/>
      <c r="P2152" s="3"/>
    </row>
    <row r="2153" spans="8:16" x14ac:dyDescent="0.25">
      <c r="H2153" s="3"/>
      <c r="K2153" s="3"/>
      <c r="M2153" s="3"/>
      <c r="P2153" s="3"/>
    </row>
    <row r="2154" spans="8:16" x14ac:dyDescent="0.25">
      <c r="H2154" s="3"/>
      <c r="K2154" s="3"/>
      <c r="M2154" s="3"/>
      <c r="P2154" s="3"/>
    </row>
    <row r="2155" spans="8:16" x14ac:dyDescent="0.25">
      <c r="H2155" s="3"/>
      <c r="K2155" s="3"/>
      <c r="M2155" s="3"/>
      <c r="P2155" s="3"/>
    </row>
    <row r="2156" spans="8:16" x14ac:dyDescent="0.25">
      <c r="H2156" s="3"/>
      <c r="K2156" s="3"/>
      <c r="M2156" s="3"/>
      <c r="P2156" s="3"/>
    </row>
    <row r="2157" spans="8:16" x14ac:dyDescent="0.25">
      <c r="H2157" s="3"/>
      <c r="K2157" s="3"/>
      <c r="M2157" s="3"/>
      <c r="P2157" s="3"/>
    </row>
    <row r="2158" spans="8:16" x14ac:dyDescent="0.25">
      <c r="H2158" s="3"/>
      <c r="K2158" s="3"/>
      <c r="M2158" s="3"/>
      <c r="P2158" s="3"/>
    </row>
    <row r="2159" spans="8:16" x14ac:dyDescent="0.25">
      <c r="H2159" s="3"/>
      <c r="K2159" s="3"/>
      <c r="M2159" s="3"/>
      <c r="P2159" s="3"/>
    </row>
    <row r="2160" spans="8:16" x14ac:dyDescent="0.25">
      <c r="H2160" s="3"/>
      <c r="K2160" s="3"/>
      <c r="M2160" s="3"/>
      <c r="P2160" s="3"/>
    </row>
    <row r="2161" spans="8:16" x14ac:dyDescent="0.25">
      <c r="H2161" s="3"/>
      <c r="K2161" s="3"/>
      <c r="M2161" s="3"/>
      <c r="P2161" s="3"/>
    </row>
    <row r="2162" spans="8:16" x14ac:dyDescent="0.25">
      <c r="H2162" s="3"/>
      <c r="K2162" s="3"/>
      <c r="M2162" s="3"/>
      <c r="P2162" s="3"/>
    </row>
    <row r="2163" spans="8:16" x14ac:dyDescent="0.25">
      <c r="H2163" s="3"/>
      <c r="K2163" s="3"/>
      <c r="M2163" s="3"/>
      <c r="P2163" s="3"/>
    </row>
    <row r="2164" spans="8:16" x14ac:dyDescent="0.25">
      <c r="H2164" s="3"/>
      <c r="K2164" s="3"/>
      <c r="M2164" s="3"/>
      <c r="P2164" s="3"/>
    </row>
    <row r="2165" spans="8:16" x14ac:dyDescent="0.25">
      <c r="H2165" s="3"/>
      <c r="K2165" s="3"/>
      <c r="M2165" s="3"/>
      <c r="P2165" s="3"/>
    </row>
    <row r="2166" spans="8:16" x14ac:dyDescent="0.25">
      <c r="H2166" s="3"/>
      <c r="K2166" s="3"/>
      <c r="M2166" s="3"/>
      <c r="P2166" s="3"/>
    </row>
    <row r="2167" spans="8:16" x14ac:dyDescent="0.25">
      <c r="H2167" s="3"/>
      <c r="K2167" s="3"/>
      <c r="M2167" s="3"/>
      <c r="P2167" s="3"/>
    </row>
    <row r="2168" spans="8:16" x14ac:dyDescent="0.25">
      <c r="H2168" s="3"/>
      <c r="K2168" s="3"/>
      <c r="M2168" s="3"/>
      <c r="P2168" s="3"/>
    </row>
    <row r="2169" spans="8:16" x14ac:dyDescent="0.25">
      <c r="H2169" s="3"/>
      <c r="K2169" s="3"/>
      <c r="M2169" s="3"/>
      <c r="P2169" s="3"/>
    </row>
    <row r="2170" spans="8:16" x14ac:dyDescent="0.25">
      <c r="H2170" s="3"/>
      <c r="K2170" s="3"/>
      <c r="M2170" s="3"/>
      <c r="P2170" s="3"/>
    </row>
    <row r="2171" spans="8:16" x14ac:dyDescent="0.25">
      <c r="H2171" s="3"/>
      <c r="K2171" s="3"/>
      <c r="M2171" s="3"/>
      <c r="P2171" s="3"/>
    </row>
    <row r="2172" spans="8:16" x14ac:dyDescent="0.25">
      <c r="H2172" s="3"/>
      <c r="K2172" s="3"/>
      <c r="M2172" s="3"/>
      <c r="P2172" s="3"/>
    </row>
    <row r="2173" spans="8:16" x14ac:dyDescent="0.25">
      <c r="H2173" s="3"/>
      <c r="K2173" s="3"/>
      <c r="M2173" s="3"/>
      <c r="P2173" s="3"/>
    </row>
    <row r="2174" spans="8:16" x14ac:dyDescent="0.25">
      <c r="H2174" s="3"/>
      <c r="K2174" s="3"/>
      <c r="M2174" s="3"/>
      <c r="P2174" s="3"/>
    </row>
    <row r="2175" spans="8:16" x14ac:dyDescent="0.25">
      <c r="H2175" s="3"/>
      <c r="K2175" s="3"/>
      <c r="M2175" s="3"/>
      <c r="P2175" s="3"/>
    </row>
    <row r="2176" spans="8:16" x14ac:dyDescent="0.25">
      <c r="H2176" s="3"/>
      <c r="K2176" s="3"/>
      <c r="M2176" s="3"/>
      <c r="P2176" s="3"/>
    </row>
    <row r="2177" spans="8:16" x14ac:dyDescent="0.25">
      <c r="H2177" s="3"/>
      <c r="K2177" s="3"/>
      <c r="M2177" s="3"/>
      <c r="P2177" s="3"/>
    </row>
    <row r="2178" spans="8:16" x14ac:dyDescent="0.25">
      <c r="H2178" s="3"/>
      <c r="K2178" s="3"/>
      <c r="M2178" s="3"/>
      <c r="P2178" s="3"/>
    </row>
    <row r="2179" spans="8:16" x14ac:dyDescent="0.25">
      <c r="H2179" s="3"/>
      <c r="K2179" s="3"/>
      <c r="M2179" s="3"/>
      <c r="P2179" s="3"/>
    </row>
    <row r="2180" spans="8:16" x14ac:dyDescent="0.25">
      <c r="H2180" s="3"/>
      <c r="K2180" s="3"/>
      <c r="M2180" s="3"/>
      <c r="P2180" s="3"/>
    </row>
    <row r="2181" spans="8:16" x14ac:dyDescent="0.25">
      <c r="H2181" s="3"/>
      <c r="K2181" s="3"/>
      <c r="M2181" s="3"/>
      <c r="P2181" s="3"/>
    </row>
    <row r="2182" spans="8:16" x14ac:dyDescent="0.25">
      <c r="H2182" s="3"/>
      <c r="K2182" s="3"/>
      <c r="M2182" s="3"/>
      <c r="P2182" s="3"/>
    </row>
    <row r="2183" spans="8:16" x14ac:dyDescent="0.25">
      <c r="H2183" s="3"/>
      <c r="K2183" s="3"/>
      <c r="M2183" s="3"/>
      <c r="P2183" s="3"/>
    </row>
    <row r="2184" spans="8:16" x14ac:dyDescent="0.25">
      <c r="H2184" s="3"/>
      <c r="K2184" s="3"/>
      <c r="M2184" s="3"/>
      <c r="P2184" s="3"/>
    </row>
    <row r="2185" spans="8:16" x14ac:dyDescent="0.25">
      <c r="H2185" s="3"/>
      <c r="K2185" s="3"/>
      <c r="M2185" s="3"/>
      <c r="P2185" s="3"/>
    </row>
    <row r="2186" spans="8:16" x14ac:dyDescent="0.25">
      <c r="H2186" s="3"/>
      <c r="K2186" s="3"/>
      <c r="M2186" s="3"/>
      <c r="P2186" s="3"/>
    </row>
    <row r="2187" spans="8:16" x14ac:dyDescent="0.25">
      <c r="H2187" s="3"/>
      <c r="K2187" s="3"/>
      <c r="M2187" s="3"/>
      <c r="P2187" s="3"/>
    </row>
    <row r="2188" spans="8:16" x14ac:dyDescent="0.25">
      <c r="H2188" s="3"/>
      <c r="K2188" s="3"/>
      <c r="M2188" s="3"/>
      <c r="P2188" s="3"/>
    </row>
    <row r="2189" spans="8:16" x14ac:dyDescent="0.25">
      <c r="H2189" s="3"/>
      <c r="K2189" s="3"/>
      <c r="M2189" s="3"/>
      <c r="P2189" s="3"/>
    </row>
    <row r="2190" spans="8:16" x14ac:dyDescent="0.25">
      <c r="H2190" s="3"/>
      <c r="K2190" s="3"/>
      <c r="M2190" s="3"/>
      <c r="P2190" s="3"/>
    </row>
    <row r="2191" spans="8:16" x14ac:dyDescent="0.25">
      <c r="H2191" s="3"/>
      <c r="K2191" s="3"/>
      <c r="M2191" s="3"/>
      <c r="P2191" s="3"/>
    </row>
    <row r="2192" spans="8:16" x14ac:dyDescent="0.25">
      <c r="H2192" s="3"/>
      <c r="K2192" s="3"/>
      <c r="M2192" s="3"/>
      <c r="P2192" s="3"/>
    </row>
    <row r="2193" spans="8:16" x14ac:dyDescent="0.25">
      <c r="H2193" s="3"/>
      <c r="K2193" s="3"/>
      <c r="M2193" s="3"/>
      <c r="P2193" s="3"/>
    </row>
    <row r="2194" spans="8:16" x14ac:dyDescent="0.25">
      <c r="H2194" s="3"/>
      <c r="K2194" s="3"/>
      <c r="M2194" s="3"/>
      <c r="P2194" s="3"/>
    </row>
    <row r="2195" spans="8:16" x14ac:dyDescent="0.25">
      <c r="H2195" s="3"/>
      <c r="K2195" s="3"/>
      <c r="M2195" s="3"/>
      <c r="P2195" s="3"/>
    </row>
    <row r="2196" spans="8:16" x14ac:dyDescent="0.25">
      <c r="H2196" s="3"/>
      <c r="K2196" s="3"/>
      <c r="M2196" s="3"/>
      <c r="P2196" s="3"/>
    </row>
    <row r="2197" spans="8:16" x14ac:dyDescent="0.25">
      <c r="H2197" s="3"/>
      <c r="K2197" s="3"/>
      <c r="M2197" s="3"/>
      <c r="P2197" s="3"/>
    </row>
    <row r="2198" spans="8:16" x14ac:dyDescent="0.25">
      <c r="H2198" s="3"/>
      <c r="K2198" s="3"/>
      <c r="M2198" s="3"/>
      <c r="P2198" s="3"/>
    </row>
    <row r="2199" spans="8:16" x14ac:dyDescent="0.25">
      <c r="H2199" s="3"/>
      <c r="K2199" s="3"/>
      <c r="M2199" s="3"/>
      <c r="P2199" s="3"/>
    </row>
    <row r="2200" spans="8:16" x14ac:dyDescent="0.25">
      <c r="H2200" s="3"/>
      <c r="K2200" s="3"/>
      <c r="M2200" s="3"/>
      <c r="P2200" s="3"/>
    </row>
    <row r="2201" spans="8:16" x14ac:dyDescent="0.25">
      <c r="H2201" s="3"/>
      <c r="K2201" s="3"/>
      <c r="M2201" s="3"/>
      <c r="P2201" s="3"/>
    </row>
    <row r="2202" spans="8:16" x14ac:dyDescent="0.25">
      <c r="H2202" s="3"/>
      <c r="K2202" s="3"/>
      <c r="M2202" s="3"/>
      <c r="P2202" s="3"/>
    </row>
    <row r="2203" spans="8:16" x14ac:dyDescent="0.25">
      <c r="H2203" s="3"/>
      <c r="K2203" s="3"/>
      <c r="M2203" s="3"/>
      <c r="P2203" s="3"/>
    </row>
    <row r="2204" spans="8:16" x14ac:dyDescent="0.25">
      <c r="H2204" s="3"/>
      <c r="K2204" s="3"/>
      <c r="M2204" s="3"/>
      <c r="P2204" s="3"/>
    </row>
    <row r="2205" spans="8:16" x14ac:dyDescent="0.25">
      <c r="H2205" s="3"/>
      <c r="K2205" s="3"/>
      <c r="M2205" s="3"/>
      <c r="P2205" s="3"/>
    </row>
    <row r="2206" spans="8:16" x14ac:dyDescent="0.25">
      <c r="H2206" s="3"/>
      <c r="K2206" s="3"/>
      <c r="M2206" s="3"/>
      <c r="P2206" s="3"/>
    </row>
    <row r="2207" spans="8:16" x14ac:dyDescent="0.25">
      <c r="H2207" s="3"/>
      <c r="K2207" s="3"/>
      <c r="M2207" s="3"/>
      <c r="P2207" s="3"/>
    </row>
    <row r="2208" spans="8:16" x14ac:dyDescent="0.25">
      <c r="H2208" s="3"/>
      <c r="K2208" s="3"/>
      <c r="M2208" s="3"/>
      <c r="P2208" s="3"/>
    </row>
    <row r="2209" spans="8:16" x14ac:dyDescent="0.25">
      <c r="H2209" s="3"/>
      <c r="K2209" s="3"/>
      <c r="M2209" s="3"/>
      <c r="P2209" s="3"/>
    </row>
    <row r="2210" spans="8:16" x14ac:dyDescent="0.25">
      <c r="H2210" s="3"/>
      <c r="K2210" s="3"/>
      <c r="M2210" s="3"/>
      <c r="P2210" s="3"/>
    </row>
    <row r="2211" spans="8:16" x14ac:dyDescent="0.25">
      <c r="H2211" s="3"/>
      <c r="K2211" s="3"/>
      <c r="M2211" s="3"/>
      <c r="P2211" s="3"/>
    </row>
    <row r="2212" spans="8:16" x14ac:dyDescent="0.25">
      <c r="H2212" s="3"/>
      <c r="K2212" s="3"/>
      <c r="M2212" s="3"/>
      <c r="P2212" s="3"/>
    </row>
    <row r="2213" spans="8:16" x14ac:dyDescent="0.25">
      <c r="H2213" s="3"/>
      <c r="K2213" s="3"/>
      <c r="M2213" s="3"/>
      <c r="P2213" s="3"/>
    </row>
    <row r="2214" spans="8:16" x14ac:dyDescent="0.25">
      <c r="H2214" s="3"/>
      <c r="K2214" s="3"/>
      <c r="M2214" s="3"/>
      <c r="P2214" s="3"/>
    </row>
    <row r="2215" spans="8:16" x14ac:dyDescent="0.25">
      <c r="H2215" s="3"/>
      <c r="K2215" s="3"/>
      <c r="M2215" s="3"/>
      <c r="P2215" s="3"/>
    </row>
    <row r="2216" spans="8:16" x14ac:dyDescent="0.25">
      <c r="H2216" s="3"/>
      <c r="K2216" s="3"/>
      <c r="M2216" s="3"/>
      <c r="P2216" s="3"/>
    </row>
    <row r="2217" spans="8:16" x14ac:dyDescent="0.25">
      <c r="H2217" s="3"/>
      <c r="K2217" s="3"/>
      <c r="M2217" s="3"/>
      <c r="P2217" s="3"/>
    </row>
    <row r="2218" spans="8:16" x14ac:dyDescent="0.25">
      <c r="H2218" s="3"/>
      <c r="K2218" s="3"/>
      <c r="M2218" s="3"/>
      <c r="P2218" s="3"/>
    </row>
    <row r="2219" spans="8:16" x14ac:dyDescent="0.25">
      <c r="H2219" s="3"/>
      <c r="K2219" s="3"/>
      <c r="M2219" s="3"/>
      <c r="P2219" s="3"/>
    </row>
    <row r="2220" spans="8:16" x14ac:dyDescent="0.25">
      <c r="H2220" s="3"/>
      <c r="K2220" s="3"/>
      <c r="M2220" s="3"/>
      <c r="P2220" s="3"/>
    </row>
    <row r="2221" spans="8:16" x14ac:dyDescent="0.25">
      <c r="H2221" s="3"/>
      <c r="K2221" s="3"/>
      <c r="M2221" s="3"/>
      <c r="P2221" s="3"/>
    </row>
    <row r="2222" spans="8:16" x14ac:dyDescent="0.25">
      <c r="H2222" s="3"/>
      <c r="K2222" s="3"/>
      <c r="M2222" s="3"/>
      <c r="P2222" s="3"/>
    </row>
    <row r="2223" spans="8:16" x14ac:dyDescent="0.25">
      <c r="H2223" s="3"/>
      <c r="K2223" s="3"/>
      <c r="M2223" s="3"/>
      <c r="P2223" s="3"/>
    </row>
    <row r="2224" spans="8:16" x14ac:dyDescent="0.25">
      <c r="H2224" s="3"/>
      <c r="K2224" s="3"/>
      <c r="M2224" s="3"/>
      <c r="P2224" s="3"/>
    </row>
    <row r="2225" spans="8:16" x14ac:dyDescent="0.25">
      <c r="H2225" s="3"/>
      <c r="K2225" s="3"/>
      <c r="M2225" s="3"/>
      <c r="P2225" s="3"/>
    </row>
    <row r="2226" spans="8:16" x14ac:dyDescent="0.25">
      <c r="H2226" s="3"/>
      <c r="K2226" s="3"/>
      <c r="M2226" s="3"/>
      <c r="P2226" s="3"/>
    </row>
    <row r="2227" spans="8:16" x14ac:dyDescent="0.25">
      <c r="H2227" s="3"/>
      <c r="K2227" s="3"/>
      <c r="M2227" s="3"/>
      <c r="P2227" s="3"/>
    </row>
    <row r="2228" spans="8:16" x14ac:dyDescent="0.25">
      <c r="H2228" s="3"/>
      <c r="K2228" s="3"/>
      <c r="M2228" s="3"/>
      <c r="P2228" s="3"/>
    </row>
    <row r="2229" spans="8:16" x14ac:dyDescent="0.25">
      <c r="H2229" s="3"/>
      <c r="K2229" s="3"/>
      <c r="M2229" s="3"/>
      <c r="P2229" s="3"/>
    </row>
    <row r="2230" spans="8:16" x14ac:dyDescent="0.25">
      <c r="H2230" s="3"/>
      <c r="K2230" s="3"/>
      <c r="M2230" s="3"/>
      <c r="P2230" s="3"/>
    </row>
    <row r="2231" spans="8:16" x14ac:dyDescent="0.25">
      <c r="H2231" s="3"/>
      <c r="K2231" s="3"/>
      <c r="M2231" s="3"/>
      <c r="P2231" s="3"/>
    </row>
    <row r="2232" spans="8:16" x14ac:dyDescent="0.25">
      <c r="H2232" s="3"/>
      <c r="K2232" s="3"/>
      <c r="M2232" s="3"/>
      <c r="P2232" s="3"/>
    </row>
    <row r="2233" spans="8:16" x14ac:dyDescent="0.25">
      <c r="H2233" s="3"/>
      <c r="K2233" s="3"/>
      <c r="M2233" s="3"/>
      <c r="P2233" s="3"/>
    </row>
    <row r="2234" spans="8:16" x14ac:dyDescent="0.25">
      <c r="H2234" s="3"/>
      <c r="K2234" s="3"/>
      <c r="M2234" s="3"/>
      <c r="P2234" s="3"/>
    </row>
    <row r="2235" spans="8:16" x14ac:dyDescent="0.25">
      <c r="H2235" s="3"/>
      <c r="K2235" s="3"/>
      <c r="M2235" s="3"/>
      <c r="P2235" s="3"/>
    </row>
    <row r="2236" spans="8:16" x14ac:dyDescent="0.25">
      <c r="H2236" s="3"/>
      <c r="K2236" s="3"/>
      <c r="M2236" s="3"/>
      <c r="P2236" s="3"/>
    </row>
    <row r="2237" spans="8:16" x14ac:dyDescent="0.25">
      <c r="H2237" s="3"/>
      <c r="K2237" s="3"/>
      <c r="M2237" s="3"/>
      <c r="P2237" s="3"/>
    </row>
    <row r="2238" spans="8:16" x14ac:dyDescent="0.25">
      <c r="H2238" s="3"/>
      <c r="K2238" s="3"/>
      <c r="M2238" s="3"/>
      <c r="P2238" s="3"/>
    </row>
    <row r="2239" spans="8:16" x14ac:dyDescent="0.25">
      <c r="H2239" s="3"/>
      <c r="K2239" s="3"/>
      <c r="M2239" s="3"/>
      <c r="P2239" s="3"/>
    </row>
    <row r="2240" spans="8:16" x14ac:dyDescent="0.25">
      <c r="H2240" s="3"/>
      <c r="K2240" s="3"/>
      <c r="M2240" s="3"/>
      <c r="P2240" s="3"/>
    </row>
    <row r="2241" spans="8:16" x14ac:dyDescent="0.25">
      <c r="H2241" s="3"/>
      <c r="K2241" s="3"/>
      <c r="M2241" s="3"/>
      <c r="P2241" s="3"/>
    </row>
    <row r="2242" spans="8:16" x14ac:dyDescent="0.25">
      <c r="H2242" s="3"/>
      <c r="K2242" s="3"/>
      <c r="M2242" s="3"/>
      <c r="P2242" s="3"/>
    </row>
    <row r="2243" spans="8:16" x14ac:dyDescent="0.25">
      <c r="H2243" s="3"/>
      <c r="K2243" s="3"/>
      <c r="M2243" s="3"/>
      <c r="P2243" s="3"/>
    </row>
    <row r="2244" spans="8:16" x14ac:dyDescent="0.25">
      <c r="H2244" s="3"/>
      <c r="K2244" s="3"/>
      <c r="M2244" s="3"/>
      <c r="P2244" s="3"/>
    </row>
    <row r="2245" spans="8:16" x14ac:dyDescent="0.25">
      <c r="H2245" s="3"/>
      <c r="K2245" s="3"/>
      <c r="M2245" s="3"/>
      <c r="P2245" s="3"/>
    </row>
    <row r="2246" spans="8:16" x14ac:dyDescent="0.25">
      <c r="H2246" s="3"/>
      <c r="K2246" s="3"/>
      <c r="M2246" s="3"/>
      <c r="P2246" s="3"/>
    </row>
    <row r="2247" spans="8:16" x14ac:dyDescent="0.25">
      <c r="H2247" s="3"/>
      <c r="K2247" s="3"/>
      <c r="M2247" s="3"/>
      <c r="P2247" s="3"/>
    </row>
    <row r="2248" spans="8:16" x14ac:dyDescent="0.25">
      <c r="H2248" s="3"/>
      <c r="K2248" s="3"/>
      <c r="M2248" s="3"/>
      <c r="P2248" s="3"/>
    </row>
    <row r="2249" spans="8:16" x14ac:dyDescent="0.25">
      <c r="H2249" s="3"/>
      <c r="K2249" s="3"/>
      <c r="M2249" s="3"/>
      <c r="P2249" s="3"/>
    </row>
    <row r="2250" spans="8:16" x14ac:dyDescent="0.25">
      <c r="H2250" s="3"/>
      <c r="K2250" s="3"/>
      <c r="M2250" s="3"/>
      <c r="P2250" s="3"/>
    </row>
    <row r="2251" spans="8:16" x14ac:dyDescent="0.25">
      <c r="H2251" s="3"/>
      <c r="K2251" s="3"/>
      <c r="M2251" s="3"/>
      <c r="P2251" s="3"/>
    </row>
    <row r="2252" spans="8:16" x14ac:dyDescent="0.25">
      <c r="H2252" s="3"/>
      <c r="K2252" s="3"/>
      <c r="M2252" s="3"/>
      <c r="P2252" s="3"/>
    </row>
    <row r="2253" spans="8:16" x14ac:dyDescent="0.25">
      <c r="H2253" s="3"/>
      <c r="K2253" s="3"/>
      <c r="M2253" s="3"/>
      <c r="P2253" s="3"/>
    </row>
    <row r="2254" spans="8:16" x14ac:dyDescent="0.25">
      <c r="H2254" s="3"/>
      <c r="K2254" s="3"/>
      <c r="M2254" s="3"/>
      <c r="P2254" s="3"/>
    </row>
    <row r="2255" spans="8:16" x14ac:dyDescent="0.25">
      <c r="H2255" s="3"/>
      <c r="K2255" s="3"/>
      <c r="M2255" s="3"/>
      <c r="P2255" s="3"/>
    </row>
    <row r="2256" spans="8:16" x14ac:dyDescent="0.25">
      <c r="H2256" s="3"/>
      <c r="K2256" s="3"/>
      <c r="M2256" s="3"/>
      <c r="P2256" s="3"/>
    </row>
    <row r="2257" spans="8:16" x14ac:dyDescent="0.25">
      <c r="H2257" s="3"/>
      <c r="K2257" s="3"/>
      <c r="M2257" s="3"/>
      <c r="P2257" s="3"/>
    </row>
    <row r="2258" spans="8:16" x14ac:dyDescent="0.25">
      <c r="H2258" s="3"/>
      <c r="K2258" s="3"/>
      <c r="M2258" s="3"/>
      <c r="P2258" s="3"/>
    </row>
    <row r="2259" spans="8:16" x14ac:dyDescent="0.25">
      <c r="H2259" s="3"/>
      <c r="K2259" s="3"/>
      <c r="M2259" s="3"/>
      <c r="P2259" s="3"/>
    </row>
    <row r="2260" spans="8:16" x14ac:dyDescent="0.25">
      <c r="H2260" s="3"/>
      <c r="K2260" s="3"/>
      <c r="M2260" s="3"/>
      <c r="P2260" s="3"/>
    </row>
    <row r="2261" spans="8:16" x14ac:dyDescent="0.25">
      <c r="H2261" s="3"/>
      <c r="K2261" s="3"/>
      <c r="M2261" s="3"/>
      <c r="P2261" s="3"/>
    </row>
    <row r="2262" spans="8:16" x14ac:dyDescent="0.25">
      <c r="H2262" s="3"/>
      <c r="K2262" s="3"/>
      <c r="M2262" s="3"/>
      <c r="P2262" s="3"/>
    </row>
    <row r="2263" spans="8:16" x14ac:dyDescent="0.25">
      <c r="H2263" s="3"/>
      <c r="K2263" s="3"/>
      <c r="M2263" s="3"/>
      <c r="P2263" s="3"/>
    </row>
    <row r="2264" spans="8:16" x14ac:dyDescent="0.25">
      <c r="H2264" s="3"/>
      <c r="K2264" s="3"/>
      <c r="M2264" s="3"/>
      <c r="P2264" s="3"/>
    </row>
    <row r="2265" spans="8:16" x14ac:dyDescent="0.25">
      <c r="H2265" s="3"/>
      <c r="K2265" s="3"/>
      <c r="M2265" s="3"/>
      <c r="P2265" s="3"/>
    </row>
    <row r="2266" spans="8:16" x14ac:dyDescent="0.25">
      <c r="H2266" s="3"/>
      <c r="K2266" s="3"/>
      <c r="M2266" s="3"/>
      <c r="P2266" s="3"/>
    </row>
    <row r="2267" spans="8:16" x14ac:dyDescent="0.25">
      <c r="H2267" s="3"/>
      <c r="K2267" s="3"/>
      <c r="M2267" s="3"/>
      <c r="P2267" s="3"/>
    </row>
    <row r="2268" spans="8:16" x14ac:dyDescent="0.25">
      <c r="H2268" s="3"/>
      <c r="K2268" s="3"/>
      <c r="M2268" s="3"/>
      <c r="P2268" s="3"/>
    </row>
    <row r="2269" spans="8:16" x14ac:dyDescent="0.25">
      <c r="H2269" s="3"/>
      <c r="K2269" s="3"/>
      <c r="M2269" s="3"/>
      <c r="P2269" s="3"/>
    </row>
    <row r="2270" spans="8:16" x14ac:dyDescent="0.25">
      <c r="H2270" s="3"/>
      <c r="K2270" s="3"/>
      <c r="M2270" s="3"/>
      <c r="P2270" s="3"/>
    </row>
    <row r="2271" spans="8:16" x14ac:dyDescent="0.25">
      <c r="H2271" s="3"/>
      <c r="K2271" s="3"/>
      <c r="M2271" s="3"/>
      <c r="P2271" s="3"/>
    </row>
    <row r="2272" spans="8:16" x14ac:dyDescent="0.25">
      <c r="H2272" s="3"/>
      <c r="K2272" s="3"/>
      <c r="M2272" s="3"/>
      <c r="P2272" s="3"/>
    </row>
    <row r="2273" spans="8:16" x14ac:dyDescent="0.25">
      <c r="H2273" s="3"/>
      <c r="K2273" s="3"/>
      <c r="M2273" s="3"/>
      <c r="P2273" s="3"/>
    </row>
    <row r="2274" spans="8:16" x14ac:dyDescent="0.25">
      <c r="H2274" s="3"/>
      <c r="K2274" s="3"/>
      <c r="M2274" s="3"/>
      <c r="P2274" s="3"/>
    </row>
    <row r="2275" spans="8:16" x14ac:dyDescent="0.25">
      <c r="H2275" s="3"/>
      <c r="K2275" s="3"/>
      <c r="M2275" s="3"/>
      <c r="P2275" s="3"/>
    </row>
    <row r="2276" spans="8:16" x14ac:dyDescent="0.25">
      <c r="H2276" s="3"/>
      <c r="K2276" s="3"/>
      <c r="M2276" s="3"/>
      <c r="P2276" s="3"/>
    </row>
    <row r="2277" spans="8:16" x14ac:dyDescent="0.25">
      <c r="H2277" s="3"/>
      <c r="K2277" s="3"/>
      <c r="M2277" s="3"/>
      <c r="P2277" s="3"/>
    </row>
    <row r="2278" spans="8:16" x14ac:dyDescent="0.25">
      <c r="H2278" s="3"/>
      <c r="K2278" s="3"/>
      <c r="M2278" s="3"/>
      <c r="P2278" s="3"/>
    </row>
    <row r="2279" spans="8:16" x14ac:dyDescent="0.25">
      <c r="H2279" s="3"/>
      <c r="K2279" s="3"/>
      <c r="M2279" s="3"/>
      <c r="P2279" s="3"/>
    </row>
    <row r="2280" spans="8:16" x14ac:dyDescent="0.25">
      <c r="H2280" s="3"/>
      <c r="K2280" s="3"/>
      <c r="M2280" s="3"/>
      <c r="P2280" s="3"/>
    </row>
    <row r="2281" spans="8:16" x14ac:dyDescent="0.25">
      <c r="H2281" s="3"/>
      <c r="K2281" s="3"/>
      <c r="M2281" s="3"/>
      <c r="P2281" s="3"/>
    </row>
    <row r="2282" spans="8:16" x14ac:dyDescent="0.25">
      <c r="H2282" s="3"/>
      <c r="K2282" s="3"/>
      <c r="M2282" s="3"/>
      <c r="P2282" s="3"/>
    </row>
    <row r="2283" spans="8:16" x14ac:dyDescent="0.25">
      <c r="H2283" s="3"/>
      <c r="K2283" s="3"/>
      <c r="M2283" s="3"/>
      <c r="P2283" s="3"/>
    </row>
    <row r="2284" spans="8:16" x14ac:dyDescent="0.25">
      <c r="H2284" s="3"/>
      <c r="K2284" s="3"/>
      <c r="M2284" s="3"/>
      <c r="P2284" s="3"/>
    </row>
    <row r="2285" spans="8:16" x14ac:dyDescent="0.25">
      <c r="H2285" s="3"/>
      <c r="K2285" s="3"/>
      <c r="M2285" s="3"/>
      <c r="P2285" s="3"/>
    </row>
    <row r="2286" spans="8:16" x14ac:dyDescent="0.25">
      <c r="H2286" s="3"/>
      <c r="K2286" s="3"/>
      <c r="M2286" s="3"/>
      <c r="P2286" s="3"/>
    </row>
    <row r="2287" spans="8:16" x14ac:dyDescent="0.25">
      <c r="H2287" s="3"/>
      <c r="K2287" s="3"/>
      <c r="M2287" s="3"/>
      <c r="P2287" s="3"/>
    </row>
    <row r="2288" spans="8:16" x14ac:dyDescent="0.25">
      <c r="H2288" s="3"/>
      <c r="K2288" s="3"/>
      <c r="M2288" s="3"/>
      <c r="P2288" s="3"/>
    </row>
    <row r="2289" spans="8:16" x14ac:dyDescent="0.25">
      <c r="H2289" s="3"/>
      <c r="K2289" s="3"/>
      <c r="M2289" s="3"/>
      <c r="P2289" s="3"/>
    </row>
    <row r="2290" spans="8:16" x14ac:dyDescent="0.25">
      <c r="H2290" s="3"/>
      <c r="K2290" s="3"/>
      <c r="M2290" s="3"/>
      <c r="P2290" s="3"/>
    </row>
    <row r="2291" spans="8:16" x14ac:dyDescent="0.25">
      <c r="H2291" s="3"/>
      <c r="K2291" s="3"/>
      <c r="M2291" s="3"/>
      <c r="P2291" s="3"/>
    </row>
    <row r="2292" spans="8:16" x14ac:dyDescent="0.25">
      <c r="H2292" s="3"/>
      <c r="K2292" s="3"/>
      <c r="M2292" s="3"/>
      <c r="P2292" s="3"/>
    </row>
    <row r="2293" spans="8:16" x14ac:dyDescent="0.25">
      <c r="H2293" s="3"/>
      <c r="K2293" s="3"/>
      <c r="M2293" s="3"/>
      <c r="P2293" s="3"/>
    </row>
    <row r="2294" spans="8:16" x14ac:dyDescent="0.25">
      <c r="H2294" s="3"/>
      <c r="K2294" s="3"/>
      <c r="M2294" s="3"/>
      <c r="P2294" s="3"/>
    </row>
    <row r="2295" spans="8:16" x14ac:dyDescent="0.25">
      <c r="H2295" s="3"/>
      <c r="K2295" s="3"/>
      <c r="M2295" s="3"/>
      <c r="P2295" s="3"/>
    </row>
    <row r="2296" spans="8:16" x14ac:dyDescent="0.25">
      <c r="H2296" s="3"/>
      <c r="K2296" s="3"/>
      <c r="M2296" s="3"/>
      <c r="P2296" s="3"/>
    </row>
    <row r="2297" spans="8:16" x14ac:dyDescent="0.25">
      <c r="H2297" s="3"/>
      <c r="K2297" s="3"/>
      <c r="M2297" s="3"/>
      <c r="P2297" s="3"/>
    </row>
    <row r="2298" spans="8:16" x14ac:dyDescent="0.25">
      <c r="H2298" s="3"/>
      <c r="K2298" s="3"/>
      <c r="M2298" s="3"/>
      <c r="P2298" s="3"/>
    </row>
    <row r="2299" spans="8:16" x14ac:dyDescent="0.25">
      <c r="H2299" s="3"/>
      <c r="K2299" s="3"/>
      <c r="M2299" s="3"/>
      <c r="P2299" s="3"/>
    </row>
    <row r="2300" spans="8:16" x14ac:dyDescent="0.25">
      <c r="H2300" s="3"/>
      <c r="K2300" s="3"/>
      <c r="M2300" s="3"/>
      <c r="P2300" s="3"/>
    </row>
    <row r="2301" spans="8:16" x14ac:dyDescent="0.25">
      <c r="H2301" s="3"/>
      <c r="K2301" s="3"/>
      <c r="M2301" s="3"/>
      <c r="P2301" s="3"/>
    </row>
    <row r="2302" spans="8:16" x14ac:dyDescent="0.25">
      <c r="H2302" s="3"/>
      <c r="K2302" s="3"/>
      <c r="M2302" s="3"/>
      <c r="P2302" s="3"/>
    </row>
    <row r="2303" spans="8:16" x14ac:dyDescent="0.25">
      <c r="H2303" s="3"/>
      <c r="K2303" s="3"/>
      <c r="M2303" s="3"/>
      <c r="P2303" s="3"/>
    </row>
    <row r="2304" spans="8:16" x14ac:dyDescent="0.25">
      <c r="H2304" s="3"/>
      <c r="K2304" s="3"/>
      <c r="M2304" s="3"/>
      <c r="P2304" s="3"/>
    </row>
    <row r="2305" spans="8:16" x14ac:dyDescent="0.25">
      <c r="H2305" s="3"/>
      <c r="K2305" s="3"/>
      <c r="M2305" s="3"/>
      <c r="P2305" s="3"/>
    </row>
    <row r="2306" spans="8:16" x14ac:dyDescent="0.25">
      <c r="H2306" s="3"/>
      <c r="K2306" s="3"/>
      <c r="M2306" s="3"/>
      <c r="P2306" s="3"/>
    </row>
    <row r="2307" spans="8:16" x14ac:dyDescent="0.25">
      <c r="H2307" s="3"/>
      <c r="K2307" s="3"/>
      <c r="M2307" s="3"/>
      <c r="P2307" s="3"/>
    </row>
    <row r="2308" spans="8:16" x14ac:dyDescent="0.25">
      <c r="H2308" s="3"/>
      <c r="K2308" s="3"/>
      <c r="M2308" s="3"/>
      <c r="P2308" s="3"/>
    </row>
    <row r="2309" spans="8:16" x14ac:dyDescent="0.25">
      <c r="H2309" s="3"/>
      <c r="K2309" s="3"/>
      <c r="M2309" s="3"/>
      <c r="P2309" s="3"/>
    </row>
    <row r="2310" spans="8:16" x14ac:dyDescent="0.25">
      <c r="H2310" s="3"/>
      <c r="K2310" s="3"/>
      <c r="M2310" s="3"/>
      <c r="P2310" s="3"/>
    </row>
    <row r="2311" spans="8:16" x14ac:dyDescent="0.25">
      <c r="H2311" s="3"/>
      <c r="K2311" s="3"/>
      <c r="M2311" s="3"/>
      <c r="P2311" s="3"/>
    </row>
    <row r="2312" spans="8:16" x14ac:dyDescent="0.25">
      <c r="H2312" s="3"/>
      <c r="K2312" s="3"/>
      <c r="M2312" s="3"/>
      <c r="P2312" s="3"/>
    </row>
    <row r="2313" spans="8:16" x14ac:dyDescent="0.25">
      <c r="H2313" s="3"/>
      <c r="K2313" s="3"/>
      <c r="M2313" s="3"/>
      <c r="P2313" s="3"/>
    </row>
    <row r="2314" spans="8:16" x14ac:dyDescent="0.25">
      <c r="H2314" s="3"/>
      <c r="K2314" s="3"/>
      <c r="M2314" s="3"/>
      <c r="P2314" s="3"/>
    </row>
    <row r="2315" spans="8:16" x14ac:dyDescent="0.25">
      <c r="H2315" s="3"/>
      <c r="K2315" s="3"/>
      <c r="M2315" s="3"/>
      <c r="P2315" s="3"/>
    </row>
    <row r="2316" spans="8:16" x14ac:dyDescent="0.25">
      <c r="H2316" s="3"/>
      <c r="K2316" s="3"/>
      <c r="M2316" s="3"/>
      <c r="P2316" s="3"/>
    </row>
    <row r="2317" spans="8:16" x14ac:dyDescent="0.25">
      <c r="H2317" s="3"/>
      <c r="K2317" s="3"/>
      <c r="M2317" s="3"/>
      <c r="P2317" s="3"/>
    </row>
    <row r="2318" spans="8:16" x14ac:dyDescent="0.25">
      <c r="H2318" s="3"/>
      <c r="K2318" s="3"/>
      <c r="M2318" s="3"/>
      <c r="P2318" s="3"/>
    </row>
    <row r="2319" spans="8:16" x14ac:dyDescent="0.25">
      <c r="H2319" s="3"/>
      <c r="K2319" s="3"/>
      <c r="M2319" s="3"/>
      <c r="P2319" s="3"/>
    </row>
    <row r="2320" spans="8:16" x14ac:dyDescent="0.25">
      <c r="H2320" s="3"/>
      <c r="K2320" s="3"/>
      <c r="M2320" s="3"/>
      <c r="P2320" s="3"/>
    </row>
    <row r="2321" spans="8:16" x14ac:dyDescent="0.25">
      <c r="H2321" s="3"/>
      <c r="K2321" s="3"/>
      <c r="M2321" s="3"/>
      <c r="P2321" s="3"/>
    </row>
    <row r="2322" spans="8:16" x14ac:dyDescent="0.25">
      <c r="H2322" s="3"/>
      <c r="K2322" s="3"/>
      <c r="M2322" s="3"/>
      <c r="P2322" s="3"/>
    </row>
    <row r="2323" spans="8:16" x14ac:dyDescent="0.25">
      <c r="H2323" s="3"/>
      <c r="K2323" s="3"/>
      <c r="M2323" s="3"/>
      <c r="P2323" s="3"/>
    </row>
    <row r="2324" spans="8:16" x14ac:dyDescent="0.25">
      <c r="H2324" s="3"/>
      <c r="K2324" s="3"/>
      <c r="M2324" s="3"/>
      <c r="P2324" s="3"/>
    </row>
    <row r="2325" spans="8:16" x14ac:dyDescent="0.25">
      <c r="H2325" s="3"/>
      <c r="K2325" s="3"/>
      <c r="M2325" s="3"/>
      <c r="P2325" s="3"/>
    </row>
    <row r="2326" spans="8:16" x14ac:dyDescent="0.25">
      <c r="H2326" s="3"/>
      <c r="K2326" s="3"/>
      <c r="M2326" s="3"/>
      <c r="P2326" s="3"/>
    </row>
    <row r="2327" spans="8:16" x14ac:dyDescent="0.25">
      <c r="H2327" s="3"/>
      <c r="K2327" s="3"/>
      <c r="M2327" s="3"/>
      <c r="P2327" s="3"/>
    </row>
    <row r="2328" spans="8:16" x14ac:dyDescent="0.25">
      <c r="H2328" s="3"/>
      <c r="K2328" s="3"/>
      <c r="M2328" s="3"/>
      <c r="P2328" s="3"/>
    </row>
    <row r="2329" spans="8:16" x14ac:dyDescent="0.25">
      <c r="H2329" s="3"/>
      <c r="K2329" s="3"/>
      <c r="M2329" s="3"/>
      <c r="P2329" s="3"/>
    </row>
    <row r="2330" spans="8:16" x14ac:dyDescent="0.25">
      <c r="H2330" s="3"/>
      <c r="K2330" s="3"/>
      <c r="M2330" s="3"/>
      <c r="P2330" s="3"/>
    </row>
    <row r="2331" spans="8:16" x14ac:dyDescent="0.25">
      <c r="H2331" s="3"/>
      <c r="K2331" s="3"/>
      <c r="M2331" s="3"/>
      <c r="P2331" s="3"/>
    </row>
    <row r="2332" spans="8:16" x14ac:dyDescent="0.25">
      <c r="H2332" s="3"/>
      <c r="K2332" s="3"/>
      <c r="M2332" s="3"/>
      <c r="P2332" s="3"/>
    </row>
    <row r="2333" spans="8:16" x14ac:dyDescent="0.25">
      <c r="H2333" s="3"/>
      <c r="K2333" s="3"/>
      <c r="M2333" s="3"/>
      <c r="P2333" s="3"/>
    </row>
    <row r="2334" spans="8:16" x14ac:dyDescent="0.25">
      <c r="H2334" s="3"/>
      <c r="K2334" s="3"/>
      <c r="M2334" s="3"/>
      <c r="P2334" s="3"/>
    </row>
    <row r="2335" spans="8:16" x14ac:dyDescent="0.25">
      <c r="H2335" s="3"/>
      <c r="K2335" s="3"/>
      <c r="M2335" s="3"/>
      <c r="P2335" s="3"/>
    </row>
    <row r="2336" spans="8:16" x14ac:dyDescent="0.25">
      <c r="H2336" s="3"/>
      <c r="K2336" s="3"/>
      <c r="M2336" s="3"/>
      <c r="P2336" s="3"/>
    </row>
    <row r="2337" spans="8:16" x14ac:dyDescent="0.25">
      <c r="H2337" s="3"/>
      <c r="K2337" s="3"/>
      <c r="M2337" s="3"/>
      <c r="P2337" s="3"/>
    </row>
    <row r="2338" spans="8:16" x14ac:dyDescent="0.25">
      <c r="H2338" s="3"/>
      <c r="K2338" s="3"/>
      <c r="M2338" s="3"/>
      <c r="P2338" s="3"/>
    </row>
    <row r="2339" spans="8:16" x14ac:dyDescent="0.25">
      <c r="H2339" s="3"/>
      <c r="K2339" s="3"/>
      <c r="M2339" s="3"/>
      <c r="P2339" s="3"/>
    </row>
    <row r="2340" spans="8:16" x14ac:dyDescent="0.25">
      <c r="H2340" s="3"/>
      <c r="K2340" s="3"/>
      <c r="M2340" s="3"/>
      <c r="P2340" s="3"/>
    </row>
    <row r="2341" spans="8:16" x14ac:dyDescent="0.25">
      <c r="H2341" s="3"/>
      <c r="K2341" s="3"/>
      <c r="M2341" s="3"/>
      <c r="P2341" s="3"/>
    </row>
    <row r="2342" spans="8:16" x14ac:dyDescent="0.25">
      <c r="H2342" s="3"/>
      <c r="K2342" s="3"/>
      <c r="M2342" s="3"/>
      <c r="P2342" s="3"/>
    </row>
    <row r="2343" spans="8:16" x14ac:dyDescent="0.25">
      <c r="H2343" s="3"/>
      <c r="K2343" s="3"/>
      <c r="M2343" s="3"/>
      <c r="P2343" s="3"/>
    </row>
    <row r="2344" spans="8:16" x14ac:dyDescent="0.25">
      <c r="H2344" s="3"/>
      <c r="K2344" s="3"/>
      <c r="M2344" s="3"/>
      <c r="P2344" s="3"/>
    </row>
    <row r="2345" spans="8:16" x14ac:dyDescent="0.25">
      <c r="H2345" s="3"/>
      <c r="K2345" s="3"/>
      <c r="M2345" s="3"/>
      <c r="P2345" s="3"/>
    </row>
    <row r="2346" spans="8:16" x14ac:dyDescent="0.25">
      <c r="H2346" s="3"/>
      <c r="K2346" s="3"/>
      <c r="M2346" s="3"/>
      <c r="P2346" s="3"/>
    </row>
    <row r="2347" spans="8:16" x14ac:dyDescent="0.25">
      <c r="H2347" s="3"/>
      <c r="K2347" s="3"/>
      <c r="M2347" s="3"/>
      <c r="P2347" s="3"/>
    </row>
    <row r="2348" spans="8:16" x14ac:dyDescent="0.25">
      <c r="H2348" s="3"/>
      <c r="K2348" s="3"/>
      <c r="M2348" s="3"/>
      <c r="P2348" s="3"/>
    </row>
    <row r="2349" spans="8:16" x14ac:dyDescent="0.25">
      <c r="H2349" s="3"/>
      <c r="K2349" s="3"/>
      <c r="M2349" s="3"/>
      <c r="P2349" s="3"/>
    </row>
    <row r="2350" spans="8:16" x14ac:dyDescent="0.25">
      <c r="H2350" s="3"/>
      <c r="K2350" s="3"/>
      <c r="M2350" s="3"/>
      <c r="P2350" s="3"/>
    </row>
    <row r="2351" spans="8:16" x14ac:dyDescent="0.25">
      <c r="H2351" s="3"/>
      <c r="K2351" s="3"/>
      <c r="M2351" s="3"/>
      <c r="P2351" s="3"/>
    </row>
    <row r="2352" spans="8:16" x14ac:dyDescent="0.25">
      <c r="H2352" s="3"/>
      <c r="K2352" s="3"/>
      <c r="M2352" s="3"/>
      <c r="P2352" s="3"/>
    </row>
    <row r="2353" spans="8:16" x14ac:dyDescent="0.25">
      <c r="H2353" s="3"/>
      <c r="K2353" s="3"/>
      <c r="M2353" s="3"/>
      <c r="P2353" s="3"/>
    </row>
    <row r="2354" spans="8:16" x14ac:dyDescent="0.25">
      <c r="H2354" s="3"/>
      <c r="K2354" s="3"/>
      <c r="M2354" s="3"/>
      <c r="P2354" s="3"/>
    </row>
    <row r="2355" spans="8:16" x14ac:dyDescent="0.25">
      <c r="H2355" s="3"/>
      <c r="K2355" s="3"/>
      <c r="M2355" s="3"/>
      <c r="P2355" s="3"/>
    </row>
    <row r="2356" spans="8:16" x14ac:dyDescent="0.25">
      <c r="H2356" s="3"/>
      <c r="K2356" s="3"/>
      <c r="M2356" s="3"/>
      <c r="P2356" s="3"/>
    </row>
    <row r="2357" spans="8:16" x14ac:dyDescent="0.25">
      <c r="H2357" s="3"/>
      <c r="K2357" s="3"/>
      <c r="M2357" s="3"/>
      <c r="P2357" s="3"/>
    </row>
    <row r="2358" spans="8:16" x14ac:dyDescent="0.25">
      <c r="H2358" s="3"/>
      <c r="K2358" s="3"/>
      <c r="M2358" s="3"/>
      <c r="P2358" s="3"/>
    </row>
    <row r="2359" spans="8:16" x14ac:dyDescent="0.25">
      <c r="H2359" s="3"/>
      <c r="K2359" s="3"/>
      <c r="M2359" s="3"/>
      <c r="P2359" s="3"/>
    </row>
    <row r="2360" spans="8:16" x14ac:dyDescent="0.25">
      <c r="H2360" s="3"/>
      <c r="K2360" s="3"/>
      <c r="M2360" s="3"/>
      <c r="P2360" s="3"/>
    </row>
    <row r="2361" spans="8:16" x14ac:dyDescent="0.25">
      <c r="H2361" s="3"/>
      <c r="K2361" s="3"/>
      <c r="M2361" s="3"/>
      <c r="P2361" s="3"/>
    </row>
    <row r="2362" spans="8:16" x14ac:dyDescent="0.25">
      <c r="H2362" s="3"/>
      <c r="K2362" s="3"/>
      <c r="M2362" s="3"/>
      <c r="P2362" s="3"/>
    </row>
    <row r="2363" spans="8:16" x14ac:dyDescent="0.25">
      <c r="H2363" s="3"/>
      <c r="K2363" s="3"/>
      <c r="M2363" s="3"/>
      <c r="P2363" s="3"/>
    </row>
    <row r="2364" spans="8:16" x14ac:dyDescent="0.25">
      <c r="H2364" s="3"/>
      <c r="K2364" s="3"/>
      <c r="M2364" s="3"/>
      <c r="P2364" s="3"/>
    </row>
    <row r="2365" spans="8:16" x14ac:dyDescent="0.25">
      <c r="H2365" s="3"/>
      <c r="K2365" s="3"/>
      <c r="M2365" s="3"/>
      <c r="P2365" s="3"/>
    </row>
    <row r="2366" spans="8:16" x14ac:dyDescent="0.25">
      <c r="H2366" s="3"/>
      <c r="K2366" s="3"/>
      <c r="M2366" s="3"/>
      <c r="P2366" s="3"/>
    </row>
    <row r="2367" spans="8:16" x14ac:dyDescent="0.25">
      <c r="H2367" s="3"/>
      <c r="K2367" s="3"/>
      <c r="M2367" s="3"/>
      <c r="P2367" s="3"/>
    </row>
    <row r="2368" spans="8:16" x14ac:dyDescent="0.25">
      <c r="H2368" s="3"/>
      <c r="K2368" s="3"/>
      <c r="M2368" s="3"/>
      <c r="P2368" s="3"/>
    </row>
    <row r="2369" spans="8:16" x14ac:dyDescent="0.25">
      <c r="H2369" s="3"/>
      <c r="K2369" s="3"/>
      <c r="M2369" s="3"/>
      <c r="P2369" s="3"/>
    </row>
    <row r="2370" spans="8:16" x14ac:dyDescent="0.25">
      <c r="H2370" s="3"/>
      <c r="K2370" s="3"/>
      <c r="M2370" s="3"/>
      <c r="P2370" s="3"/>
    </row>
    <row r="2371" spans="8:16" x14ac:dyDescent="0.25">
      <c r="H2371" s="3"/>
      <c r="K2371" s="3"/>
      <c r="M2371" s="3"/>
      <c r="P2371" s="3"/>
    </row>
    <row r="2372" spans="8:16" x14ac:dyDescent="0.25">
      <c r="H2372" s="3"/>
      <c r="K2372" s="3"/>
      <c r="M2372" s="3"/>
      <c r="P2372" s="3"/>
    </row>
    <row r="2373" spans="8:16" x14ac:dyDescent="0.25">
      <c r="H2373" s="3"/>
      <c r="K2373" s="3"/>
      <c r="M2373" s="3"/>
      <c r="P2373" s="3"/>
    </row>
    <row r="2374" spans="8:16" x14ac:dyDescent="0.25">
      <c r="H2374" s="3"/>
      <c r="K2374" s="3"/>
      <c r="M2374" s="3"/>
      <c r="P2374" s="3"/>
    </row>
    <row r="2375" spans="8:16" x14ac:dyDescent="0.25">
      <c r="H2375" s="3"/>
      <c r="K2375" s="3"/>
      <c r="M2375" s="3"/>
      <c r="P2375" s="3"/>
    </row>
    <row r="2376" spans="8:16" x14ac:dyDescent="0.25">
      <c r="H2376" s="3"/>
      <c r="K2376" s="3"/>
      <c r="M2376" s="3"/>
      <c r="P2376" s="3"/>
    </row>
    <row r="2377" spans="8:16" x14ac:dyDescent="0.25">
      <c r="H2377" s="3"/>
      <c r="K2377" s="3"/>
      <c r="M2377" s="3"/>
      <c r="P2377" s="3"/>
    </row>
    <row r="2378" spans="8:16" x14ac:dyDescent="0.25">
      <c r="H2378" s="3"/>
      <c r="K2378" s="3"/>
      <c r="M2378" s="3"/>
      <c r="P2378" s="3"/>
    </row>
    <row r="2379" spans="8:16" x14ac:dyDescent="0.25">
      <c r="H2379" s="3"/>
      <c r="K2379" s="3"/>
      <c r="M2379" s="3"/>
      <c r="P2379" s="3"/>
    </row>
    <row r="2380" spans="8:16" x14ac:dyDescent="0.25">
      <c r="H2380" s="3"/>
      <c r="K2380" s="3"/>
      <c r="M2380" s="3"/>
      <c r="P2380" s="3"/>
    </row>
    <row r="2381" spans="8:16" x14ac:dyDescent="0.25">
      <c r="H2381" s="3"/>
      <c r="K2381" s="3"/>
      <c r="M2381" s="3"/>
      <c r="P2381" s="3"/>
    </row>
    <row r="2382" spans="8:16" x14ac:dyDescent="0.25">
      <c r="H2382" s="3"/>
      <c r="K2382" s="3"/>
      <c r="M2382" s="3"/>
      <c r="P2382" s="3"/>
    </row>
    <row r="2383" spans="8:16" x14ac:dyDescent="0.25">
      <c r="H2383" s="3"/>
      <c r="K2383" s="3"/>
      <c r="M2383" s="3"/>
      <c r="P2383" s="3"/>
    </row>
    <row r="2384" spans="8:16" x14ac:dyDescent="0.25">
      <c r="H2384" s="3"/>
      <c r="K2384" s="3"/>
      <c r="M2384" s="3"/>
      <c r="P2384" s="3"/>
    </row>
    <row r="2385" spans="8:16" x14ac:dyDescent="0.25">
      <c r="H2385" s="3"/>
      <c r="K2385" s="3"/>
      <c r="M2385" s="3"/>
      <c r="P2385" s="3"/>
    </row>
    <row r="2386" spans="8:16" x14ac:dyDescent="0.25">
      <c r="H2386" s="3"/>
      <c r="K2386" s="3"/>
      <c r="M2386" s="3"/>
      <c r="P2386" s="3"/>
    </row>
    <row r="2387" spans="8:16" x14ac:dyDescent="0.25">
      <c r="H2387" s="3"/>
      <c r="K2387" s="3"/>
      <c r="M2387" s="3"/>
      <c r="P2387" s="3"/>
    </row>
    <row r="2388" spans="8:16" x14ac:dyDescent="0.25">
      <c r="H2388" s="3"/>
      <c r="K2388" s="3"/>
      <c r="M2388" s="3"/>
      <c r="P2388" s="3"/>
    </row>
    <row r="2389" spans="8:16" x14ac:dyDescent="0.25">
      <c r="H2389" s="3"/>
      <c r="K2389" s="3"/>
      <c r="M2389" s="3"/>
      <c r="P2389" s="3"/>
    </row>
    <row r="2390" spans="8:16" x14ac:dyDescent="0.25">
      <c r="H2390" s="3"/>
      <c r="K2390" s="3"/>
      <c r="M2390" s="3"/>
      <c r="P2390" s="3"/>
    </row>
    <row r="2391" spans="8:16" x14ac:dyDescent="0.25">
      <c r="H2391" s="3"/>
      <c r="K2391" s="3"/>
      <c r="M2391" s="3"/>
      <c r="P2391" s="3"/>
    </row>
    <row r="2392" spans="8:16" x14ac:dyDescent="0.25">
      <c r="H2392" s="3"/>
      <c r="K2392" s="3"/>
      <c r="M2392" s="3"/>
      <c r="P2392" s="3"/>
    </row>
    <row r="2393" spans="8:16" x14ac:dyDescent="0.25">
      <c r="H2393" s="3"/>
      <c r="K2393" s="3"/>
      <c r="M2393" s="3"/>
      <c r="P2393" s="3"/>
    </row>
    <row r="2394" spans="8:16" x14ac:dyDescent="0.25">
      <c r="H2394" s="3"/>
      <c r="K2394" s="3"/>
      <c r="M2394" s="3"/>
      <c r="P2394" s="3"/>
    </row>
    <row r="2395" spans="8:16" x14ac:dyDescent="0.25">
      <c r="H2395" s="3"/>
      <c r="K2395" s="3"/>
      <c r="M2395" s="3"/>
      <c r="P2395" s="3"/>
    </row>
    <row r="2396" spans="8:16" x14ac:dyDescent="0.25">
      <c r="H2396" s="3"/>
      <c r="K2396" s="3"/>
      <c r="M2396" s="3"/>
      <c r="P2396" s="3"/>
    </row>
    <row r="2397" spans="8:16" x14ac:dyDescent="0.25">
      <c r="H2397" s="3"/>
      <c r="K2397" s="3"/>
      <c r="M2397" s="3"/>
      <c r="P2397" s="3"/>
    </row>
    <row r="2398" spans="8:16" x14ac:dyDescent="0.25">
      <c r="H2398" s="3"/>
      <c r="K2398" s="3"/>
      <c r="M2398" s="3"/>
      <c r="P2398" s="3"/>
    </row>
    <row r="2399" spans="8:16" x14ac:dyDescent="0.25">
      <c r="H2399" s="3"/>
      <c r="K2399" s="3"/>
      <c r="M2399" s="3"/>
      <c r="P2399" s="3"/>
    </row>
    <row r="2400" spans="8:16" x14ac:dyDescent="0.25">
      <c r="H2400" s="3"/>
      <c r="K2400" s="3"/>
      <c r="M2400" s="3"/>
      <c r="P2400" s="3"/>
    </row>
    <row r="2401" spans="8:16" x14ac:dyDescent="0.25">
      <c r="H2401" s="3"/>
      <c r="K2401" s="3"/>
      <c r="M2401" s="3"/>
      <c r="P2401" s="3"/>
    </row>
    <row r="2402" spans="8:16" x14ac:dyDescent="0.25">
      <c r="H2402" s="3"/>
      <c r="K2402" s="3"/>
      <c r="M2402" s="3"/>
      <c r="P2402" s="3"/>
    </row>
    <row r="2403" spans="8:16" x14ac:dyDescent="0.25">
      <c r="H2403" s="3"/>
      <c r="K2403" s="3"/>
      <c r="M2403" s="3"/>
      <c r="P2403" s="3"/>
    </row>
    <row r="2404" spans="8:16" x14ac:dyDescent="0.25">
      <c r="H2404" s="3"/>
      <c r="K2404" s="3"/>
      <c r="M2404" s="3"/>
      <c r="P2404" s="3"/>
    </row>
    <row r="2405" spans="8:16" x14ac:dyDescent="0.25">
      <c r="H2405" s="3"/>
      <c r="K2405" s="3"/>
      <c r="M2405" s="3"/>
      <c r="P2405" s="3"/>
    </row>
    <row r="2406" spans="8:16" x14ac:dyDescent="0.25">
      <c r="H2406" s="3"/>
      <c r="K2406" s="3"/>
      <c r="M2406" s="3"/>
      <c r="P2406" s="3"/>
    </row>
    <row r="2407" spans="8:16" x14ac:dyDescent="0.25">
      <c r="H2407" s="3"/>
      <c r="K2407" s="3"/>
      <c r="M2407" s="3"/>
      <c r="P2407" s="3"/>
    </row>
    <row r="2408" spans="8:16" x14ac:dyDescent="0.25">
      <c r="H2408" s="3"/>
      <c r="K2408" s="3"/>
      <c r="M2408" s="3"/>
      <c r="P2408" s="3"/>
    </row>
    <row r="2409" spans="8:16" x14ac:dyDescent="0.25">
      <c r="H2409" s="3"/>
      <c r="K2409" s="3"/>
      <c r="M2409" s="3"/>
      <c r="P2409" s="3"/>
    </row>
    <row r="2410" spans="8:16" x14ac:dyDescent="0.25">
      <c r="H2410" s="3"/>
      <c r="K2410" s="3"/>
      <c r="M2410" s="3"/>
      <c r="P2410" s="3"/>
    </row>
    <row r="2411" spans="8:16" x14ac:dyDescent="0.25">
      <c r="H2411" s="3"/>
      <c r="K2411" s="3"/>
      <c r="M2411" s="3"/>
      <c r="P2411" s="3"/>
    </row>
    <row r="2412" spans="8:16" x14ac:dyDescent="0.25">
      <c r="H2412" s="3"/>
      <c r="K2412" s="3"/>
      <c r="M2412" s="3"/>
      <c r="P2412" s="3"/>
    </row>
    <row r="2413" spans="8:16" x14ac:dyDescent="0.25">
      <c r="H2413" s="3"/>
      <c r="K2413" s="3"/>
      <c r="M2413" s="3"/>
      <c r="P2413" s="3"/>
    </row>
    <row r="2414" spans="8:16" x14ac:dyDescent="0.25">
      <c r="H2414" s="3"/>
      <c r="K2414" s="3"/>
      <c r="M2414" s="3"/>
      <c r="P2414" s="3"/>
    </row>
    <row r="2415" spans="8:16" x14ac:dyDescent="0.25">
      <c r="H2415" s="3"/>
      <c r="K2415" s="3"/>
      <c r="M2415" s="3"/>
      <c r="P2415" s="3"/>
    </row>
    <row r="2416" spans="8:16" x14ac:dyDescent="0.25">
      <c r="H2416" s="3"/>
      <c r="K2416" s="3"/>
      <c r="M2416" s="3"/>
      <c r="P2416" s="3"/>
    </row>
    <row r="2417" spans="8:16" x14ac:dyDescent="0.25">
      <c r="H2417" s="3"/>
      <c r="K2417" s="3"/>
      <c r="M2417" s="3"/>
      <c r="P2417" s="3"/>
    </row>
    <row r="2418" spans="8:16" x14ac:dyDescent="0.25">
      <c r="H2418" s="3"/>
      <c r="K2418" s="3"/>
      <c r="M2418" s="3"/>
      <c r="P2418" s="3"/>
    </row>
    <row r="2419" spans="8:16" x14ac:dyDescent="0.25">
      <c r="H2419" s="3"/>
      <c r="K2419" s="3"/>
      <c r="M2419" s="3"/>
      <c r="P2419" s="3"/>
    </row>
    <row r="2420" spans="8:16" x14ac:dyDescent="0.25">
      <c r="H2420" s="3"/>
      <c r="K2420" s="3"/>
      <c r="M2420" s="3"/>
      <c r="P2420" s="3"/>
    </row>
  </sheetData>
  <sheetCalcPr fullCalcOnLoad="1"/>
  <phoneticPr fontId="0" type="noConversion"/>
  <printOptions horizontalCentered="1" verticalCentered="1" gridLines="1"/>
  <pageMargins left="0.75" right="0.75" top="1" bottom="1" header="0.5" footer="0.5"/>
  <pageSetup pageOrder="overThenDown" orientation="landscape" horizontalDpi="300" r:id="rId1"/>
  <headerFooter alignWithMargins="0">
    <oddHeader>&amp;LHarmless&amp;RAs of &amp;T &amp;D</oddHeader>
    <oddFooter>&amp;L&amp;A&amp;C- &amp;P -&amp;R&amp;F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view="pageBreakPreview" zoomScaleNormal="75" workbookViewId="0">
      <selection activeCell="L19" sqref="L19"/>
    </sheetView>
  </sheetViews>
  <sheetFormatPr defaultColWidth="4.7265625" defaultRowHeight="12.5" x14ac:dyDescent="0.25"/>
  <cols>
    <col min="1" max="1" width="4.26953125" style="3" customWidth="1"/>
    <col min="2" max="2" width="21.81640625" style="3" customWidth="1"/>
    <col min="3" max="3" width="11.26953125" style="3" customWidth="1"/>
    <col min="4" max="4" width="6.7265625" style="3" customWidth="1"/>
    <col min="5" max="16384" width="4.7265625" style="3"/>
  </cols>
  <sheetData>
    <row r="1" spans="1:6" x14ac:dyDescent="0.25">
      <c r="B1" s="58" t="str">
        <f>Names!B1</f>
        <v>Quarter 1</v>
      </c>
      <c r="C1" s="58"/>
    </row>
    <row r="2" spans="1:6" x14ac:dyDescent="0.25">
      <c r="B2" s="58" t="str">
        <f>Names!B2</f>
        <v>Class</v>
      </c>
      <c r="C2" s="58"/>
    </row>
    <row r="3" spans="1:6" s="5" customFormat="1" ht="48" customHeight="1" thickBot="1" x14ac:dyDescent="0.3">
      <c r="A3" s="4"/>
      <c r="B3" s="58" t="str">
        <f>Names!G1</f>
        <v>Participation Grade</v>
      </c>
      <c r="C3" s="168">
        <f>Names!G2</f>
        <v>0.05</v>
      </c>
      <c r="D3" s="4"/>
    </row>
    <row r="4" spans="1:6" s="4" customFormat="1" ht="77.25" customHeight="1" thickBot="1" x14ac:dyDescent="0.3">
      <c r="B4" s="162"/>
      <c r="C4" s="156" t="s">
        <v>99</v>
      </c>
      <c r="D4" s="157" t="s">
        <v>30</v>
      </c>
      <c r="E4" s="4" t="s">
        <v>38</v>
      </c>
      <c r="F4" s="4" t="s">
        <v>44</v>
      </c>
    </row>
    <row r="5" spans="1:6" s="7" customFormat="1" ht="13" thickBot="1" x14ac:dyDescent="0.3">
      <c r="A5" s="191" t="str">
        <f>Names!$A:$A</f>
        <v>#</v>
      </c>
      <c r="B5" s="192" t="str">
        <f>Names!$B:$B</f>
        <v>Last Name, First Name</v>
      </c>
      <c r="C5" s="181">
        <v>1</v>
      </c>
      <c r="D5" s="158">
        <f>SUM(E5:IV5)+0.001</f>
        <v>5.0010000000000003</v>
      </c>
      <c r="E5" s="7">
        <v>5</v>
      </c>
    </row>
    <row r="6" spans="1:6" x14ac:dyDescent="0.25">
      <c r="A6" s="189">
        <f>Names!$A:$A</f>
        <v>1</v>
      </c>
      <c r="B6" s="190" t="str">
        <f>Names!$B:$B</f>
        <v>Adams, Bob</v>
      </c>
      <c r="C6" s="182">
        <f>D6/D5</f>
        <v>0.99980003999200151</v>
      </c>
      <c r="D6" s="159">
        <f t="shared" ref="D6:D40" si="0">SUM(E6:IV6)</f>
        <v>5</v>
      </c>
      <c r="E6" s="3">
        <v>5</v>
      </c>
    </row>
    <row r="7" spans="1:6" x14ac:dyDescent="0.25">
      <c r="A7" s="185">
        <f>Names!$A:$A</f>
        <v>2</v>
      </c>
      <c r="B7" s="186" t="str">
        <f>Names!$B:$B</f>
        <v>Jones, George</v>
      </c>
      <c r="C7" s="183">
        <f>D7/D5</f>
        <v>0.79984003199360121</v>
      </c>
      <c r="D7" s="160">
        <f t="shared" si="0"/>
        <v>4</v>
      </c>
      <c r="E7" s="3">
        <v>4</v>
      </c>
    </row>
    <row r="8" spans="1:6" x14ac:dyDescent="0.25">
      <c r="A8" s="185">
        <f>Names!$A:$A</f>
        <v>3</v>
      </c>
      <c r="B8" s="186" t="str">
        <f>Names!$B:$B</f>
        <v>Smith, Ralph</v>
      </c>
      <c r="C8" s="183">
        <f>D8/D5</f>
        <v>0.99980003999200151</v>
      </c>
      <c r="D8" s="160">
        <f t="shared" si="0"/>
        <v>5</v>
      </c>
      <c r="E8" s="27">
        <v>5</v>
      </c>
      <c r="F8" s="27"/>
    </row>
    <row r="9" spans="1:6" x14ac:dyDescent="0.25">
      <c r="A9" s="185">
        <f>Names!$A:$A</f>
        <v>4</v>
      </c>
      <c r="B9" s="186">
        <f>Names!$B:$B</f>
        <v>0</v>
      </c>
      <c r="C9" s="183">
        <f>D9/D5</f>
        <v>0</v>
      </c>
      <c r="D9" s="160">
        <f t="shared" si="0"/>
        <v>0</v>
      </c>
      <c r="F9" s="27"/>
    </row>
    <row r="10" spans="1:6" x14ac:dyDescent="0.25">
      <c r="A10" s="185">
        <f>Names!$A:$A</f>
        <v>5</v>
      </c>
      <c r="B10" s="186">
        <f>Names!$B:$B</f>
        <v>0</v>
      </c>
      <c r="C10" s="183">
        <f>D10/D5</f>
        <v>0</v>
      </c>
      <c r="D10" s="160">
        <f t="shared" si="0"/>
        <v>0</v>
      </c>
      <c r="F10" s="27"/>
    </row>
    <row r="11" spans="1:6" x14ac:dyDescent="0.25">
      <c r="A11" s="185">
        <f>Names!$A:$A</f>
        <v>6</v>
      </c>
      <c r="B11" s="186">
        <f>Names!$B:$B</f>
        <v>0</v>
      </c>
      <c r="C11" s="183">
        <f>D11/D5</f>
        <v>0</v>
      </c>
      <c r="D11" s="160">
        <f t="shared" si="0"/>
        <v>0</v>
      </c>
      <c r="F11" s="27"/>
    </row>
    <row r="12" spans="1:6" x14ac:dyDescent="0.25">
      <c r="A12" s="185">
        <f>Names!$A:$A</f>
        <v>7</v>
      </c>
      <c r="B12" s="186">
        <f>Names!$B:$B</f>
        <v>0</v>
      </c>
      <c r="C12" s="183">
        <f>D12/D5</f>
        <v>0</v>
      </c>
      <c r="D12" s="160">
        <f t="shared" si="0"/>
        <v>0</v>
      </c>
      <c r="F12" s="27"/>
    </row>
    <row r="13" spans="1:6" x14ac:dyDescent="0.25">
      <c r="A13" s="185">
        <f>Names!$A:$A</f>
        <v>8</v>
      </c>
      <c r="B13" s="186">
        <f>Names!$B:$B</f>
        <v>0</v>
      </c>
      <c r="C13" s="183">
        <f>D13/D5</f>
        <v>0</v>
      </c>
      <c r="D13" s="160">
        <f t="shared" si="0"/>
        <v>0</v>
      </c>
      <c r="F13" s="27"/>
    </row>
    <row r="14" spans="1:6" x14ac:dyDescent="0.25">
      <c r="A14" s="185">
        <f>Names!$A:$A</f>
        <v>9</v>
      </c>
      <c r="B14" s="186">
        <f>Names!$B:$B</f>
        <v>0</v>
      </c>
      <c r="C14" s="183">
        <f>D14/D5</f>
        <v>0</v>
      </c>
      <c r="D14" s="160">
        <f t="shared" si="0"/>
        <v>0</v>
      </c>
      <c r="F14" s="27"/>
    </row>
    <row r="15" spans="1:6" x14ac:dyDescent="0.25">
      <c r="A15" s="185">
        <f>Names!$A:$A</f>
        <v>10</v>
      </c>
      <c r="B15" s="186">
        <f>Names!$B:$B</f>
        <v>0</v>
      </c>
      <c r="C15" s="183">
        <f>D15/D5</f>
        <v>0</v>
      </c>
      <c r="D15" s="160">
        <f t="shared" si="0"/>
        <v>0</v>
      </c>
      <c r="F15" s="27"/>
    </row>
    <row r="16" spans="1:6" x14ac:dyDescent="0.25">
      <c r="A16" s="185">
        <f>Names!$A:$A</f>
        <v>11</v>
      </c>
      <c r="B16" s="186">
        <f>Names!$B:$B</f>
        <v>0</v>
      </c>
      <c r="C16" s="183">
        <f>D16/D5</f>
        <v>0</v>
      </c>
      <c r="D16" s="160">
        <f t="shared" si="0"/>
        <v>0</v>
      </c>
    </row>
    <row r="17" spans="1:4" x14ac:dyDescent="0.25">
      <c r="A17" s="185">
        <f>Names!$A:$A</f>
        <v>12</v>
      </c>
      <c r="B17" s="186">
        <f>Names!$B:$B</f>
        <v>0</v>
      </c>
      <c r="C17" s="183">
        <f>D17/D5</f>
        <v>0</v>
      </c>
      <c r="D17" s="160">
        <f t="shared" si="0"/>
        <v>0</v>
      </c>
    </row>
    <row r="18" spans="1:4" x14ac:dyDescent="0.25">
      <c r="A18" s="185">
        <f>Names!$A:$A</f>
        <v>13</v>
      </c>
      <c r="B18" s="186">
        <f>Names!$B:$B</f>
        <v>0</v>
      </c>
      <c r="C18" s="183">
        <f>D18/D5</f>
        <v>0</v>
      </c>
      <c r="D18" s="160">
        <f t="shared" si="0"/>
        <v>0</v>
      </c>
    </row>
    <row r="19" spans="1:4" x14ac:dyDescent="0.25">
      <c r="A19" s="185">
        <f>Names!$A:$A</f>
        <v>14</v>
      </c>
      <c r="B19" s="186">
        <f>Names!$B:$B</f>
        <v>0</v>
      </c>
      <c r="C19" s="183">
        <f>D19/D5</f>
        <v>0</v>
      </c>
      <c r="D19" s="160">
        <f t="shared" si="0"/>
        <v>0</v>
      </c>
    </row>
    <row r="20" spans="1:4" x14ac:dyDescent="0.25">
      <c r="A20" s="185">
        <f>Names!$A:$A</f>
        <v>15</v>
      </c>
      <c r="B20" s="186">
        <f>Names!$B:$B</f>
        <v>0</v>
      </c>
      <c r="C20" s="183">
        <f>D20/D5</f>
        <v>0</v>
      </c>
      <c r="D20" s="160">
        <f t="shared" si="0"/>
        <v>0</v>
      </c>
    </row>
    <row r="21" spans="1:4" x14ac:dyDescent="0.25">
      <c r="A21" s="185">
        <f>Names!$A:$A</f>
        <v>16</v>
      </c>
      <c r="B21" s="186">
        <f>Names!$B:$B</f>
        <v>0</v>
      </c>
      <c r="C21" s="183">
        <f>D21/D5</f>
        <v>0</v>
      </c>
      <c r="D21" s="160">
        <f t="shared" si="0"/>
        <v>0</v>
      </c>
    </row>
    <row r="22" spans="1:4" x14ac:dyDescent="0.25">
      <c r="A22" s="185">
        <f>Names!$A:$A</f>
        <v>17</v>
      </c>
      <c r="B22" s="186">
        <f>Names!$B:$B</f>
        <v>0</v>
      </c>
      <c r="C22" s="183">
        <f>D22/D5</f>
        <v>0</v>
      </c>
      <c r="D22" s="160">
        <f t="shared" si="0"/>
        <v>0</v>
      </c>
    </row>
    <row r="23" spans="1:4" x14ac:dyDescent="0.25">
      <c r="A23" s="185">
        <f>Names!$A:$A</f>
        <v>18</v>
      </c>
      <c r="B23" s="186">
        <f>Names!$B:$B</f>
        <v>0</v>
      </c>
      <c r="C23" s="183">
        <f>D23/D5</f>
        <v>0</v>
      </c>
      <c r="D23" s="160">
        <f t="shared" si="0"/>
        <v>0</v>
      </c>
    </row>
    <row r="24" spans="1:4" x14ac:dyDescent="0.25">
      <c r="A24" s="185">
        <f>Names!$A:$A</f>
        <v>19</v>
      </c>
      <c r="B24" s="186">
        <f>Names!$B:$B</f>
        <v>0</v>
      </c>
      <c r="C24" s="183">
        <f>D24/D5</f>
        <v>0</v>
      </c>
      <c r="D24" s="160">
        <f t="shared" si="0"/>
        <v>0</v>
      </c>
    </row>
    <row r="25" spans="1:4" x14ac:dyDescent="0.25">
      <c r="A25" s="185">
        <f>Names!$A:$A</f>
        <v>20</v>
      </c>
      <c r="B25" s="186">
        <f>Names!$B:$B</f>
        <v>0</v>
      </c>
      <c r="C25" s="183">
        <f>D25/D5</f>
        <v>0</v>
      </c>
      <c r="D25" s="160">
        <f t="shared" si="0"/>
        <v>0</v>
      </c>
    </row>
    <row r="26" spans="1:4" x14ac:dyDescent="0.25">
      <c r="A26" s="185">
        <f>Names!$A:$A</f>
        <v>21</v>
      </c>
      <c r="B26" s="186">
        <f>Names!$B:$B</f>
        <v>0</v>
      </c>
      <c r="C26" s="183">
        <f>D26/D5</f>
        <v>0</v>
      </c>
      <c r="D26" s="160">
        <f t="shared" si="0"/>
        <v>0</v>
      </c>
    </row>
    <row r="27" spans="1:4" x14ac:dyDescent="0.25">
      <c r="A27" s="185">
        <f>Names!$A:$A</f>
        <v>22</v>
      </c>
      <c r="B27" s="186">
        <f>Names!$B:$B</f>
        <v>0</v>
      </c>
      <c r="C27" s="183">
        <f>D27/D5</f>
        <v>0</v>
      </c>
      <c r="D27" s="160">
        <f t="shared" si="0"/>
        <v>0</v>
      </c>
    </row>
    <row r="28" spans="1:4" x14ac:dyDescent="0.25">
      <c r="A28" s="185">
        <f>Names!$A:$A</f>
        <v>23</v>
      </c>
      <c r="B28" s="186">
        <f>Names!$B:$B</f>
        <v>0</v>
      </c>
      <c r="C28" s="183">
        <f>D28/D5</f>
        <v>0</v>
      </c>
      <c r="D28" s="160">
        <f t="shared" si="0"/>
        <v>0</v>
      </c>
    </row>
    <row r="29" spans="1:4" x14ac:dyDescent="0.25">
      <c r="A29" s="185">
        <f>Names!$A:$A</f>
        <v>24</v>
      </c>
      <c r="B29" s="186">
        <f>Names!$B:$B</f>
        <v>0</v>
      </c>
      <c r="C29" s="183">
        <f>D29/D5</f>
        <v>0</v>
      </c>
      <c r="D29" s="160">
        <f t="shared" si="0"/>
        <v>0</v>
      </c>
    </row>
    <row r="30" spans="1:4" x14ac:dyDescent="0.25">
      <c r="A30" s="185">
        <f>Names!$A:$A</f>
        <v>25</v>
      </c>
      <c r="B30" s="186">
        <f>Names!$B:$B</f>
        <v>0</v>
      </c>
      <c r="C30" s="183">
        <f>D30/D5</f>
        <v>0</v>
      </c>
      <c r="D30" s="160">
        <f t="shared" si="0"/>
        <v>0</v>
      </c>
    </row>
    <row r="31" spans="1:4" x14ac:dyDescent="0.25">
      <c r="A31" s="185">
        <f>Names!$A:$A</f>
        <v>26</v>
      </c>
      <c r="B31" s="186">
        <f>Names!$B:$B</f>
        <v>0</v>
      </c>
      <c r="C31" s="183">
        <f>D31/D5</f>
        <v>0</v>
      </c>
      <c r="D31" s="160">
        <f t="shared" si="0"/>
        <v>0</v>
      </c>
    </row>
    <row r="32" spans="1:4" x14ac:dyDescent="0.25">
      <c r="A32" s="185">
        <f>Names!$A:$A</f>
        <v>27</v>
      </c>
      <c r="B32" s="186">
        <f>Names!$B:$B</f>
        <v>0</v>
      </c>
      <c r="C32" s="183">
        <f>D32/D5</f>
        <v>0</v>
      </c>
      <c r="D32" s="160">
        <f t="shared" si="0"/>
        <v>0</v>
      </c>
    </row>
    <row r="33" spans="1:4" x14ac:dyDescent="0.25">
      <c r="A33" s="185">
        <f>Names!$A:$A</f>
        <v>28</v>
      </c>
      <c r="B33" s="186">
        <f>Names!$B:$B</f>
        <v>0</v>
      </c>
      <c r="C33" s="183">
        <f>D33/D5</f>
        <v>0</v>
      </c>
      <c r="D33" s="160">
        <f t="shared" si="0"/>
        <v>0</v>
      </c>
    </row>
    <row r="34" spans="1:4" x14ac:dyDescent="0.25">
      <c r="A34" s="185">
        <f>Names!$A:$A</f>
        <v>29</v>
      </c>
      <c r="B34" s="186">
        <f>Names!$B:$B</f>
        <v>0</v>
      </c>
      <c r="C34" s="183">
        <f>D34/D5</f>
        <v>0</v>
      </c>
      <c r="D34" s="160">
        <f t="shared" si="0"/>
        <v>0</v>
      </c>
    </row>
    <row r="35" spans="1:4" x14ac:dyDescent="0.25">
      <c r="A35" s="185">
        <f>Names!$A:$A</f>
        <v>30</v>
      </c>
      <c r="B35" s="186">
        <f>Names!$B:$B</f>
        <v>0</v>
      </c>
      <c r="C35" s="183">
        <f>D35/D5</f>
        <v>0</v>
      </c>
      <c r="D35" s="160">
        <f t="shared" si="0"/>
        <v>0</v>
      </c>
    </row>
    <row r="36" spans="1:4" x14ac:dyDescent="0.25">
      <c r="A36" s="185">
        <f>Names!$A:$A</f>
        <v>31</v>
      </c>
      <c r="B36" s="186">
        <f>Names!$B:$B</f>
        <v>0</v>
      </c>
      <c r="C36" s="183">
        <f>D36/D5</f>
        <v>0</v>
      </c>
      <c r="D36" s="160">
        <f t="shared" si="0"/>
        <v>0</v>
      </c>
    </row>
    <row r="37" spans="1:4" x14ac:dyDescent="0.25">
      <c r="A37" s="185">
        <f>Names!$A:$A</f>
        <v>32</v>
      </c>
      <c r="B37" s="186">
        <f>Names!$B:$B</f>
        <v>0</v>
      </c>
      <c r="C37" s="183">
        <f>D37/D5</f>
        <v>0</v>
      </c>
      <c r="D37" s="160">
        <f t="shared" si="0"/>
        <v>0</v>
      </c>
    </row>
    <row r="38" spans="1:4" x14ac:dyDescent="0.25">
      <c r="A38" s="185">
        <f>Names!$A:$A</f>
        <v>33</v>
      </c>
      <c r="B38" s="186">
        <f>Names!$B:$B</f>
        <v>0</v>
      </c>
      <c r="C38" s="183">
        <f>D38/D5</f>
        <v>0</v>
      </c>
      <c r="D38" s="160">
        <f t="shared" si="0"/>
        <v>0</v>
      </c>
    </row>
    <row r="39" spans="1:4" x14ac:dyDescent="0.25">
      <c r="A39" s="185">
        <f>Names!$A:$A</f>
        <v>34</v>
      </c>
      <c r="B39" s="186">
        <f>Names!$B:$B</f>
        <v>0</v>
      </c>
      <c r="C39" s="183">
        <f>D39/D5</f>
        <v>0</v>
      </c>
      <c r="D39" s="160">
        <f t="shared" si="0"/>
        <v>0</v>
      </c>
    </row>
    <row r="40" spans="1:4" ht="13" thickBot="1" x14ac:dyDescent="0.3">
      <c r="A40" s="187">
        <f>Names!$A:$A</f>
        <v>35</v>
      </c>
      <c r="B40" s="188">
        <f>Names!$B:$B</f>
        <v>0</v>
      </c>
      <c r="C40" s="184">
        <f>D40/D5</f>
        <v>0</v>
      </c>
      <c r="D40" s="161">
        <f t="shared" si="0"/>
        <v>0</v>
      </c>
    </row>
  </sheetData>
  <sheetCalcPr fullCalcOnLoad="1"/>
  <phoneticPr fontId="0" type="noConversion"/>
  <printOptions gridLines="1"/>
  <pageMargins left="0.75" right="0.75" top="1" bottom="1" header="0.5" footer="0.5"/>
  <pageSetup scale="98" pageOrder="overThenDown" orientation="portrait" horizontalDpi="300" r:id="rId1"/>
  <headerFooter alignWithMargins="0">
    <oddHeader>&amp;LHarmless&amp;RAs of &amp;T &amp;D</oddHeader>
    <oddFooter>&amp;L&amp;A&amp;C- &amp;P -&amp;R&amp;F</oddFooter>
  </headerFooter>
  <colBreaks count="1" manualBreakCount="1">
    <brk id="18" max="39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view="pageBreakPreview" zoomScale="60" zoomScaleNormal="100" workbookViewId="0">
      <selection activeCell="S6" sqref="S6"/>
    </sheetView>
  </sheetViews>
  <sheetFormatPr defaultColWidth="9.1796875" defaultRowHeight="12.5" x14ac:dyDescent="0.25"/>
  <cols>
    <col min="1" max="1" width="9.1796875" style="137"/>
    <col min="2" max="2" width="6.7265625" style="137" customWidth="1"/>
    <col min="3" max="3" width="9.1796875" style="137"/>
    <col min="4" max="4" width="5.7265625" style="137" customWidth="1"/>
    <col min="5" max="5" width="9.1796875" style="137"/>
    <col min="6" max="6" width="5.7265625" style="137" customWidth="1"/>
    <col min="7" max="7" width="9.1796875" style="137"/>
    <col min="8" max="8" width="5.7265625" style="137" customWidth="1"/>
    <col min="9" max="9" width="9.1796875" style="137"/>
    <col min="10" max="10" width="5.7265625" style="137" customWidth="1"/>
    <col min="11" max="11" width="9.1796875" style="137"/>
    <col min="12" max="12" width="5.7265625" style="137" customWidth="1"/>
    <col min="13" max="13" width="9.1796875" style="137"/>
    <col min="14" max="14" width="6.26953125" style="137" customWidth="1"/>
    <col min="15" max="16384" width="9.1796875" style="137"/>
  </cols>
  <sheetData>
    <row r="1" spans="1:14" ht="13" thickBot="1" x14ac:dyDescent="0.3">
      <c r="A1" s="211"/>
      <c r="B1" s="212"/>
      <c r="C1" s="291" t="s">
        <v>85</v>
      </c>
      <c r="D1" s="292"/>
      <c r="E1" s="292"/>
      <c r="F1" s="293"/>
      <c r="G1" s="291" t="s">
        <v>86</v>
      </c>
      <c r="H1" s="292"/>
      <c r="I1" s="292"/>
      <c r="J1" s="292"/>
      <c r="K1" s="293"/>
      <c r="L1" s="213"/>
      <c r="M1" s="212"/>
      <c r="N1" s="214"/>
    </row>
    <row r="2" spans="1:14" ht="55" customHeight="1" x14ac:dyDescent="0.25">
      <c r="A2" s="138"/>
      <c r="B2" s="288"/>
      <c r="C2" s="288"/>
      <c r="D2" s="288"/>
      <c r="E2" s="288"/>
      <c r="F2" s="288"/>
      <c r="G2" s="288"/>
      <c r="H2" s="140"/>
      <c r="I2" s="140" t="s">
        <v>90</v>
      </c>
      <c r="J2" s="140"/>
      <c r="K2" s="140"/>
      <c r="L2" s="140"/>
      <c r="M2" s="140"/>
      <c r="N2" s="215" t="s">
        <v>87</v>
      </c>
    </row>
    <row r="3" spans="1:14" ht="55" customHeight="1" thickBot="1" x14ac:dyDescent="0.3">
      <c r="A3" s="171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216" t="s">
        <v>87</v>
      </c>
    </row>
    <row r="4" spans="1:14" ht="55" customHeight="1" thickBot="1" x14ac:dyDescent="0.3">
      <c r="A4" s="171"/>
      <c r="B4" s="139"/>
      <c r="C4" s="205"/>
      <c r="D4" s="141"/>
      <c r="E4" s="205"/>
      <c r="F4" s="141"/>
      <c r="G4" s="205"/>
      <c r="H4" s="141"/>
      <c r="I4" s="205"/>
      <c r="J4" s="141"/>
      <c r="K4" s="205"/>
      <c r="L4" s="141"/>
      <c r="M4" s="141"/>
      <c r="N4" s="142" t="s">
        <v>88</v>
      </c>
    </row>
    <row r="5" spans="1:14" ht="55" customHeight="1" thickBot="1" x14ac:dyDescent="0.3">
      <c r="A5" s="143"/>
      <c r="B5" s="139"/>
      <c r="C5" s="206"/>
      <c r="D5" s="141"/>
      <c r="E5" s="206"/>
      <c r="F5" s="141"/>
      <c r="G5" s="206"/>
      <c r="H5" s="141"/>
      <c r="I5" s="206"/>
      <c r="J5" s="141"/>
      <c r="K5" s="208"/>
      <c r="L5" s="141"/>
      <c r="M5" s="209"/>
      <c r="N5" s="217"/>
    </row>
    <row r="6" spans="1:14" ht="55" customHeight="1" x14ac:dyDescent="0.25">
      <c r="A6" s="171"/>
      <c r="B6" s="139"/>
      <c r="C6" s="206"/>
      <c r="D6" s="141"/>
      <c r="E6" s="206"/>
      <c r="F6" s="141"/>
      <c r="G6" s="206"/>
      <c r="H6" s="141"/>
      <c r="I6" s="206"/>
      <c r="J6" s="141"/>
      <c r="K6" s="206"/>
      <c r="L6" s="141"/>
      <c r="M6" s="210"/>
      <c r="N6" s="215" t="s">
        <v>87</v>
      </c>
    </row>
    <row r="7" spans="1:14" ht="55" customHeight="1" thickBot="1" x14ac:dyDescent="0.3">
      <c r="A7" s="171"/>
      <c r="B7" s="139"/>
      <c r="C7" s="206"/>
      <c r="D7" s="141"/>
      <c r="E7" s="206"/>
      <c r="F7" s="141"/>
      <c r="G7" s="206"/>
      <c r="H7" s="141"/>
      <c r="I7" s="206"/>
      <c r="J7" s="141"/>
      <c r="K7" s="206"/>
      <c r="L7" s="141"/>
      <c r="M7" s="206"/>
      <c r="N7" s="216"/>
    </row>
    <row r="8" spans="1:14" ht="55" customHeight="1" thickBot="1" x14ac:dyDescent="0.3">
      <c r="A8" s="171"/>
      <c r="B8" s="139"/>
      <c r="C8" s="207"/>
      <c r="D8" s="141"/>
      <c r="E8" s="207"/>
      <c r="F8" s="141"/>
      <c r="G8" s="207"/>
      <c r="H8" s="141"/>
      <c r="I8" s="207"/>
      <c r="J8" s="141"/>
      <c r="K8" s="207"/>
      <c r="L8" s="141"/>
      <c r="M8" s="207"/>
      <c r="N8" s="142"/>
    </row>
    <row r="9" spans="1:14" ht="19.5" customHeight="1" thickBot="1" x14ac:dyDescent="0.45">
      <c r="A9" s="218"/>
      <c r="B9" s="289" t="s">
        <v>89</v>
      </c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90"/>
    </row>
    <row r="10" spans="1:14" ht="14.25" customHeight="1" x14ac:dyDescent="0.25"/>
    <row r="11" spans="1:14" ht="14.25" customHeight="1" x14ac:dyDescent="0.25"/>
    <row r="12" spans="1:14" ht="14.25" customHeight="1" x14ac:dyDescent="0.25"/>
    <row r="13" spans="1:14" ht="14.25" customHeight="1" x14ac:dyDescent="0.25"/>
    <row r="14" spans="1:14" ht="14.25" customHeight="1" x14ac:dyDescent="0.25"/>
    <row r="15" spans="1:14" ht="14.25" customHeight="1" x14ac:dyDescent="0.25"/>
    <row r="16" spans="1:14" ht="14.25" customHeight="1" x14ac:dyDescent="0.25"/>
    <row r="17" ht="14.25" customHeight="1" x14ac:dyDescent="0.25"/>
    <row r="18" ht="50.15" customHeight="1" x14ac:dyDescent="0.25"/>
    <row r="19" ht="50.15" customHeight="1" x14ac:dyDescent="0.25"/>
    <row r="20" ht="50.15" customHeight="1" x14ac:dyDescent="0.25"/>
    <row r="21" ht="50.15" customHeight="1" x14ac:dyDescent="0.25"/>
    <row r="22" ht="50.15" customHeight="1" x14ac:dyDescent="0.25"/>
    <row r="23" ht="50.15" customHeight="1" x14ac:dyDescent="0.25"/>
    <row r="24" ht="50.15" customHeight="1" x14ac:dyDescent="0.25"/>
    <row r="25" ht="50.15" customHeight="1" x14ac:dyDescent="0.25"/>
    <row r="26" ht="50.15" customHeight="1" x14ac:dyDescent="0.25"/>
    <row r="27" ht="50.15" customHeight="1" x14ac:dyDescent="0.25"/>
    <row r="28" ht="50.15" customHeight="1" x14ac:dyDescent="0.25"/>
    <row r="29" ht="50.15" customHeight="1" x14ac:dyDescent="0.25"/>
    <row r="30" ht="50.15" customHeight="1" x14ac:dyDescent="0.25"/>
    <row r="31" ht="50.15" customHeight="1" x14ac:dyDescent="0.25"/>
    <row r="32" ht="50.15" customHeight="1" x14ac:dyDescent="0.25"/>
    <row r="33" ht="50.15" customHeight="1" x14ac:dyDescent="0.25"/>
    <row r="34" ht="50.15" customHeight="1" x14ac:dyDescent="0.25"/>
    <row r="35" ht="50.15" customHeight="1" x14ac:dyDescent="0.25"/>
    <row r="36" ht="50.15" customHeight="1" x14ac:dyDescent="0.25"/>
    <row r="37" ht="50.15" customHeight="1" x14ac:dyDescent="0.25"/>
    <row r="38" ht="50.15" customHeight="1" x14ac:dyDescent="0.25"/>
    <row r="39" ht="50.15" customHeight="1" x14ac:dyDescent="0.25"/>
    <row r="40" ht="50.15" customHeight="1" x14ac:dyDescent="0.25"/>
    <row r="41" ht="50.15" customHeight="1" x14ac:dyDescent="0.25"/>
    <row r="42" ht="50.15" customHeight="1" x14ac:dyDescent="0.25"/>
    <row r="43" ht="50.15" customHeight="1" x14ac:dyDescent="0.25"/>
    <row r="44" ht="50.15" customHeight="1" x14ac:dyDescent="0.25"/>
    <row r="45" ht="50.15" customHeight="1" x14ac:dyDescent="0.25"/>
    <row r="46" ht="50.15" customHeight="1" x14ac:dyDescent="0.25"/>
    <row r="47" ht="50.15" customHeight="1" x14ac:dyDescent="0.25"/>
    <row r="48" ht="50.15" customHeight="1" x14ac:dyDescent="0.25"/>
    <row r="49" ht="50.15" customHeight="1" x14ac:dyDescent="0.25"/>
    <row r="50" ht="50.15" customHeight="1" x14ac:dyDescent="0.25"/>
    <row r="51" ht="50.15" customHeight="1" x14ac:dyDescent="0.25"/>
    <row r="52" ht="50.15" customHeight="1" x14ac:dyDescent="0.25"/>
    <row r="53" ht="50.15" customHeight="1" x14ac:dyDescent="0.25"/>
    <row r="54" ht="50.15" customHeight="1" x14ac:dyDescent="0.25"/>
    <row r="55" ht="50.15" customHeight="1" x14ac:dyDescent="0.25"/>
    <row r="56" ht="50.15" customHeight="1" x14ac:dyDescent="0.25"/>
    <row r="57" ht="50.15" customHeight="1" x14ac:dyDescent="0.25"/>
    <row r="58" ht="50.15" customHeight="1" x14ac:dyDescent="0.25"/>
    <row r="59" ht="50.15" customHeight="1" x14ac:dyDescent="0.25"/>
    <row r="60" ht="50.15" customHeight="1" x14ac:dyDescent="0.25"/>
    <row r="61" ht="50.15" customHeight="1" x14ac:dyDescent="0.25"/>
    <row r="62" ht="50.15" customHeight="1" x14ac:dyDescent="0.25"/>
    <row r="63" ht="50.15" customHeight="1" x14ac:dyDescent="0.25"/>
    <row r="64" ht="50.15" customHeight="1" x14ac:dyDescent="0.25"/>
    <row r="65" ht="50.15" customHeight="1" x14ac:dyDescent="0.25"/>
    <row r="66" ht="50.15" customHeight="1" x14ac:dyDescent="0.25"/>
    <row r="67" ht="50.15" customHeight="1" x14ac:dyDescent="0.25"/>
    <row r="68" ht="50.15" customHeight="1" x14ac:dyDescent="0.25"/>
    <row r="69" ht="50.15" customHeight="1" x14ac:dyDescent="0.25"/>
    <row r="70" ht="50.15" customHeight="1" x14ac:dyDescent="0.25"/>
    <row r="71" ht="50.15" customHeight="1" x14ac:dyDescent="0.25"/>
    <row r="72" ht="50.15" customHeight="1" x14ac:dyDescent="0.25"/>
    <row r="73" ht="50.15" customHeight="1" x14ac:dyDescent="0.25"/>
    <row r="74" ht="50.15" customHeight="1" x14ac:dyDescent="0.25"/>
    <row r="75" ht="50.15" customHeight="1" x14ac:dyDescent="0.25"/>
    <row r="76" ht="50.15" customHeight="1" x14ac:dyDescent="0.25"/>
    <row r="77" ht="50.15" customHeight="1" x14ac:dyDescent="0.25"/>
    <row r="78" ht="50.15" customHeight="1" x14ac:dyDescent="0.25"/>
    <row r="79" ht="50.15" customHeight="1" x14ac:dyDescent="0.25"/>
    <row r="80" ht="50.15" customHeight="1" x14ac:dyDescent="0.25"/>
    <row r="81" ht="50.15" customHeight="1" x14ac:dyDescent="0.25"/>
    <row r="82" ht="50.15" customHeight="1" x14ac:dyDescent="0.25"/>
    <row r="83" ht="50.15" customHeight="1" x14ac:dyDescent="0.25"/>
    <row r="84" ht="50.15" customHeight="1" x14ac:dyDescent="0.25"/>
    <row r="85" ht="50.15" customHeight="1" x14ac:dyDescent="0.25"/>
    <row r="86" ht="50.15" customHeight="1" x14ac:dyDescent="0.25"/>
    <row r="87" ht="50.15" customHeight="1" x14ac:dyDescent="0.25"/>
    <row r="88" ht="50.15" customHeight="1" x14ac:dyDescent="0.25"/>
    <row r="89" ht="50.15" customHeight="1" x14ac:dyDescent="0.25"/>
    <row r="90" ht="50.15" customHeight="1" x14ac:dyDescent="0.25"/>
    <row r="91" ht="50.15" customHeight="1" x14ac:dyDescent="0.25"/>
    <row r="92" ht="50.15" customHeight="1" x14ac:dyDescent="0.25"/>
    <row r="93" ht="50.15" customHeight="1" x14ac:dyDescent="0.25"/>
    <row r="94" ht="50.15" customHeight="1" x14ac:dyDescent="0.25"/>
    <row r="95" ht="50.15" customHeight="1" x14ac:dyDescent="0.25"/>
    <row r="96" ht="50.15" customHeight="1" x14ac:dyDescent="0.25"/>
    <row r="97" ht="50.15" customHeight="1" x14ac:dyDescent="0.25"/>
    <row r="98" ht="50.15" customHeight="1" x14ac:dyDescent="0.25"/>
    <row r="99" ht="50.15" customHeight="1" x14ac:dyDescent="0.25"/>
    <row r="100" ht="50.15" customHeight="1" x14ac:dyDescent="0.25"/>
    <row r="101" ht="50.15" customHeight="1" x14ac:dyDescent="0.25"/>
  </sheetData>
  <mergeCells count="4">
    <mergeCell ref="B2:G2"/>
    <mergeCell ref="B9:N9"/>
    <mergeCell ref="C1:F1"/>
    <mergeCell ref="G1:K1"/>
  </mergeCells>
  <phoneticPr fontId="0" type="noConversion"/>
  <printOptions horizontalCentered="1" verticalCentered="1"/>
  <pageMargins left="0.75" right="0.75" top="1" bottom="1" header="0.5" footer="0.5"/>
  <pageSetup scale="115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"/>
  <sheetViews>
    <sheetView view="pageBreakPreview" zoomScale="60" zoomScaleNormal="100" workbookViewId="0">
      <selection activeCell="C5" sqref="C5:AF5"/>
    </sheetView>
  </sheetViews>
  <sheetFormatPr defaultColWidth="6.7265625" defaultRowHeight="12.5" x14ac:dyDescent="0.25"/>
  <cols>
    <col min="1" max="1" width="4" style="3" customWidth="1"/>
    <col min="2" max="2" width="22" style="3" customWidth="1"/>
    <col min="3" max="32" width="3.7265625" style="3" customWidth="1"/>
    <col min="33" max="16384" width="6.7265625" style="3"/>
  </cols>
  <sheetData>
    <row r="1" spans="1:32" x14ac:dyDescent="0.25">
      <c r="A1" s="29"/>
      <c r="B1" s="198" t="str">
        <f>Names!B1</f>
        <v>Quarter 1</v>
      </c>
      <c r="C1" s="29"/>
      <c r="D1" s="29" t="s">
        <v>40</v>
      </c>
      <c r="E1" s="29"/>
      <c r="F1" s="29"/>
      <c r="G1" s="29" t="s">
        <v>41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spans="1:32" ht="13" thickBot="1" x14ac:dyDescent="0.3">
      <c r="A2" s="29"/>
      <c r="B2" s="199" t="str">
        <f>Names!B2</f>
        <v>Class</v>
      </c>
      <c r="C2" s="29"/>
      <c r="D2" s="29" t="s">
        <v>42</v>
      </c>
      <c r="E2" s="29"/>
      <c r="F2" s="29"/>
      <c r="G2" s="29" t="s">
        <v>43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</row>
    <row r="3" spans="1:32" ht="3.75" customHeight="1" x14ac:dyDescent="0.25">
      <c r="A3" s="29"/>
      <c r="B3" s="102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</row>
    <row r="4" spans="1:32" ht="4.5" customHeight="1" thickBot="1" x14ac:dyDescent="0.3">
      <c r="A4" s="29"/>
      <c r="B4" s="102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</row>
    <row r="5" spans="1:32" s="35" customFormat="1" ht="14.9" customHeight="1" thickBot="1" x14ac:dyDescent="0.3">
      <c r="A5" s="191" t="str">
        <f>Names!A5</f>
        <v>#</v>
      </c>
      <c r="B5" s="192" t="str">
        <f>Names!B5</f>
        <v>Last Name, First Name</v>
      </c>
      <c r="C5" s="225">
        <v>1</v>
      </c>
      <c r="D5" s="225">
        <v>2</v>
      </c>
      <c r="E5" s="225">
        <v>3</v>
      </c>
      <c r="F5" s="225">
        <v>4</v>
      </c>
      <c r="G5" s="225">
        <v>5</v>
      </c>
      <c r="H5" s="225">
        <v>6</v>
      </c>
      <c r="I5" s="225">
        <v>7</v>
      </c>
      <c r="J5" s="225">
        <v>8</v>
      </c>
      <c r="K5" s="225">
        <v>9</v>
      </c>
      <c r="L5" s="225">
        <v>10</v>
      </c>
      <c r="M5" s="225">
        <v>11</v>
      </c>
      <c r="N5" s="225">
        <v>12</v>
      </c>
      <c r="O5" s="225">
        <v>13</v>
      </c>
      <c r="P5" s="225">
        <v>14</v>
      </c>
      <c r="Q5" s="226">
        <v>15</v>
      </c>
      <c r="R5" s="227">
        <v>16</v>
      </c>
      <c r="S5" s="225">
        <v>17</v>
      </c>
      <c r="T5" s="225">
        <v>18</v>
      </c>
      <c r="U5" s="225">
        <v>19</v>
      </c>
      <c r="V5" s="225">
        <v>20</v>
      </c>
      <c r="W5" s="225">
        <v>21</v>
      </c>
      <c r="X5" s="225">
        <v>22</v>
      </c>
      <c r="Y5" s="225">
        <v>23</v>
      </c>
      <c r="Z5" s="225">
        <v>24</v>
      </c>
      <c r="AA5" s="225">
        <v>25</v>
      </c>
      <c r="AB5" s="225">
        <v>26</v>
      </c>
      <c r="AC5" s="225">
        <v>27</v>
      </c>
      <c r="AD5" s="225">
        <v>28</v>
      </c>
      <c r="AE5" s="225">
        <v>29</v>
      </c>
      <c r="AF5" s="226">
        <v>30</v>
      </c>
    </row>
    <row r="6" spans="1:32" ht="24" customHeight="1" x14ac:dyDescent="0.25">
      <c r="A6" s="189">
        <f>Names!A6</f>
        <v>1</v>
      </c>
      <c r="B6" s="190" t="str">
        <f>Names!$B:$B</f>
        <v>Adams, Bob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</row>
    <row r="7" spans="1:32" ht="24" customHeight="1" x14ac:dyDescent="0.25">
      <c r="A7" s="185">
        <f>Names!A7</f>
        <v>2</v>
      </c>
      <c r="B7" s="186" t="str">
        <f>Names!$B:$B</f>
        <v>Jones, George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</row>
    <row r="8" spans="1:32" ht="24" customHeight="1" x14ac:dyDescent="0.25">
      <c r="A8" s="185">
        <f>Names!A8</f>
        <v>3</v>
      </c>
      <c r="B8" s="186" t="str">
        <f>Names!$B:$B</f>
        <v>Smith, Ralph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</row>
    <row r="9" spans="1:32" ht="24" customHeight="1" x14ac:dyDescent="0.25">
      <c r="A9" s="185">
        <f>Names!A9</f>
        <v>4</v>
      </c>
      <c r="B9" s="186">
        <f>Names!$B:$B</f>
        <v>0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</row>
    <row r="10" spans="1:32" ht="24" customHeight="1" x14ac:dyDescent="0.25">
      <c r="A10" s="185">
        <f>Names!A10</f>
        <v>5</v>
      </c>
      <c r="B10" s="186">
        <f>Names!$B:$B</f>
        <v>0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</row>
    <row r="11" spans="1:32" ht="24" customHeight="1" x14ac:dyDescent="0.25">
      <c r="A11" s="185">
        <f>Names!A11</f>
        <v>6</v>
      </c>
      <c r="B11" s="186">
        <f>Names!$B:$B</f>
        <v>0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</row>
    <row r="12" spans="1:32" ht="24" customHeight="1" x14ac:dyDescent="0.25">
      <c r="A12" s="185">
        <f>Names!A12</f>
        <v>7</v>
      </c>
      <c r="B12" s="186">
        <f>Names!$B:$B</f>
        <v>0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</row>
    <row r="13" spans="1:32" ht="24" customHeight="1" x14ac:dyDescent="0.25">
      <c r="A13" s="185">
        <f>Names!A13</f>
        <v>8</v>
      </c>
      <c r="B13" s="186">
        <f>Names!$B:$B</f>
        <v>0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</row>
    <row r="14" spans="1:32" ht="24" customHeight="1" x14ac:dyDescent="0.25">
      <c r="A14" s="185">
        <f>Names!A14</f>
        <v>9</v>
      </c>
      <c r="B14" s="186">
        <f>Names!$B:$B</f>
        <v>0</v>
      </c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</row>
    <row r="15" spans="1:32" ht="24" customHeight="1" x14ac:dyDescent="0.25">
      <c r="A15" s="185">
        <f>Names!A15</f>
        <v>10</v>
      </c>
      <c r="B15" s="186">
        <f>Names!$B:$B</f>
        <v>0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</row>
    <row r="16" spans="1:32" ht="24" customHeight="1" x14ac:dyDescent="0.25">
      <c r="A16" s="185">
        <f>Names!A16</f>
        <v>11</v>
      </c>
      <c r="B16" s="186">
        <f>Names!$B:$B</f>
        <v>0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</row>
    <row r="17" spans="1:32" ht="24" customHeight="1" x14ac:dyDescent="0.25">
      <c r="A17" s="185">
        <f>Names!A17</f>
        <v>12</v>
      </c>
      <c r="B17" s="186">
        <f>Names!$B:$B</f>
        <v>0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</row>
    <row r="18" spans="1:32" ht="24" customHeight="1" x14ac:dyDescent="0.25">
      <c r="A18" s="185">
        <f>Names!A18</f>
        <v>13</v>
      </c>
      <c r="B18" s="186">
        <f>Names!$B:$B</f>
        <v>0</v>
      </c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</row>
    <row r="19" spans="1:32" ht="24" customHeight="1" x14ac:dyDescent="0.25">
      <c r="A19" s="185">
        <f>Names!A19</f>
        <v>14</v>
      </c>
      <c r="B19" s="186">
        <f>Names!$B:$B</f>
        <v>0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</row>
    <row r="20" spans="1:32" ht="24" customHeight="1" x14ac:dyDescent="0.25">
      <c r="A20" s="185">
        <f>Names!A20</f>
        <v>15</v>
      </c>
      <c r="B20" s="186">
        <f>Names!$B:$B</f>
        <v>0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</row>
    <row r="21" spans="1:32" ht="24" customHeight="1" x14ac:dyDescent="0.25">
      <c r="A21" s="185">
        <f>Names!A21</f>
        <v>16</v>
      </c>
      <c r="B21" s="186">
        <f>Names!$B:$B</f>
        <v>0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</row>
    <row r="22" spans="1:32" ht="24" customHeight="1" x14ac:dyDescent="0.25">
      <c r="A22" s="185">
        <f>Names!A22</f>
        <v>17</v>
      </c>
      <c r="B22" s="186">
        <f>Names!$B:$B</f>
        <v>0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</row>
    <row r="23" spans="1:32" ht="24" customHeight="1" x14ac:dyDescent="0.25">
      <c r="A23" s="185">
        <f>Names!A23</f>
        <v>18</v>
      </c>
      <c r="B23" s="186">
        <f>Names!$B:$B</f>
        <v>0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</row>
    <row r="24" spans="1:32" ht="24" customHeight="1" x14ac:dyDescent="0.25">
      <c r="A24" s="185">
        <f>Names!A24</f>
        <v>19</v>
      </c>
      <c r="B24" s="186">
        <f>Names!$B:$B</f>
        <v>0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</row>
    <row r="25" spans="1:32" ht="24" customHeight="1" x14ac:dyDescent="0.25">
      <c r="A25" s="185">
        <f>Names!A25</f>
        <v>20</v>
      </c>
      <c r="B25" s="186">
        <f>Names!$B:$B</f>
        <v>0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</row>
    <row r="26" spans="1:32" ht="24" customHeight="1" x14ac:dyDescent="0.25">
      <c r="A26" s="185">
        <f>Names!A26</f>
        <v>21</v>
      </c>
      <c r="B26" s="186">
        <f>Names!$B:$B</f>
        <v>0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</row>
    <row r="27" spans="1:32" ht="24" customHeight="1" x14ac:dyDescent="0.25">
      <c r="A27" s="185">
        <f>Names!A27</f>
        <v>22</v>
      </c>
      <c r="B27" s="186">
        <f>Names!$B:$B</f>
        <v>0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</row>
    <row r="28" spans="1:32" ht="24" customHeight="1" x14ac:dyDescent="0.25">
      <c r="A28" s="185">
        <f>Names!A28</f>
        <v>23</v>
      </c>
      <c r="B28" s="186">
        <f>Names!$B:$B</f>
        <v>0</v>
      </c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</row>
    <row r="29" spans="1:32" ht="24" customHeight="1" x14ac:dyDescent="0.25">
      <c r="A29" s="185">
        <f>Names!A29</f>
        <v>24</v>
      </c>
      <c r="B29" s="186">
        <f>Names!$B:$B</f>
        <v>0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</row>
    <row r="30" spans="1:32" ht="24" customHeight="1" x14ac:dyDescent="0.25">
      <c r="A30" s="185">
        <f>Names!A30</f>
        <v>25</v>
      </c>
      <c r="B30" s="186">
        <f>Names!$B:$B</f>
        <v>0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</row>
    <row r="31" spans="1:32" ht="24" customHeight="1" x14ac:dyDescent="0.25">
      <c r="A31" s="185">
        <f>Names!A31</f>
        <v>26</v>
      </c>
      <c r="B31" s="186">
        <f>Names!$B:$B</f>
        <v>0</v>
      </c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</row>
    <row r="32" spans="1:32" ht="24" customHeight="1" x14ac:dyDescent="0.25">
      <c r="A32" s="185">
        <f>Names!A32</f>
        <v>27</v>
      </c>
      <c r="B32" s="186">
        <f>Names!$B:$B</f>
        <v>0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</row>
    <row r="33" spans="1:32" ht="24" customHeight="1" x14ac:dyDescent="0.25">
      <c r="A33" s="185">
        <f>Names!A33</f>
        <v>28</v>
      </c>
      <c r="B33" s="186">
        <f>Names!$B:$B</f>
        <v>0</v>
      </c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</row>
    <row r="34" spans="1:32" ht="24" customHeight="1" x14ac:dyDescent="0.25">
      <c r="A34" s="185">
        <f>Names!A34</f>
        <v>29</v>
      </c>
      <c r="B34" s="186">
        <f>Names!$B:$B</f>
        <v>0</v>
      </c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</row>
    <row r="35" spans="1:32" ht="24" customHeight="1" x14ac:dyDescent="0.25">
      <c r="A35" s="185">
        <f>Names!A35</f>
        <v>30</v>
      </c>
      <c r="B35" s="186">
        <f>Names!$B:$B</f>
        <v>0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</row>
    <row r="36" spans="1:32" ht="24" customHeight="1" x14ac:dyDescent="0.25">
      <c r="A36" s="185">
        <f>Names!A36</f>
        <v>31</v>
      </c>
      <c r="B36" s="186">
        <f>Names!$B:$B</f>
        <v>0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</row>
    <row r="37" spans="1:32" ht="24" customHeight="1" x14ac:dyDescent="0.25">
      <c r="A37" s="185">
        <f>Names!A37</f>
        <v>32</v>
      </c>
      <c r="B37" s="186">
        <f>Names!$B:$B</f>
        <v>0</v>
      </c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</row>
    <row r="38" spans="1:32" ht="24" customHeight="1" x14ac:dyDescent="0.25">
      <c r="A38" s="185">
        <f>Names!A38</f>
        <v>33</v>
      </c>
      <c r="B38" s="186">
        <f>Names!$B:$B</f>
        <v>0</v>
      </c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</row>
    <row r="39" spans="1:32" ht="24" customHeight="1" x14ac:dyDescent="0.25">
      <c r="A39" s="185">
        <f>Names!A39</f>
        <v>34</v>
      </c>
      <c r="B39" s="186">
        <f>Names!$B:$B</f>
        <v>0</v>
      </c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</row>
    <row r="40" spans="1:32" ht="24" customHeight="1" thickBot="1" x14ac:dyDescent="0.3">
      <c r="A40" s="187">
        <f>Names!A40</f>
        <v>35</v>
      </c>
      <c r="B40" s="188">
        <f>Names!$B:$B</f>
        <v>0</v>
      </c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</row>
  </sheetData>
  <sheetCalcPr fullCalcOnLoad="1"/>
  <phoneticPr fontId="0" type="noConversion"/>
  <printOptions gridLines="1"/>
  <pageMargins left="0.75" right="0.75" top="1" bottom="1" header="0.5" footer="0.5"/>
  <pageSetup scale="115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B39"/>
  <sheetViews>
    <sheetView view="pageBreakPreview" zoomScale="60" zoomScaleNormal="100" workbookViewId="0">
      <selection activeCell="C3" sqref="C3:L3"/>
    </sheetView>
  </sheetViews>
  <sheetFormatPr defaultColWidth="4.7265625" defaultRowHeight="12.5" x14ac:dyDescent="0.25"/>
  <cols>
    <col min="1" max="1" width="4.54296875" style="3" customWidth="1"/>
    <col min="2" max="2" width="21.26953125" style="3" customWidth="1"/>
    <col min="3" max="11" width="4.7265625" style="3" customWidth="1"/>
    <col min="12" max="102" width="5" style="3" customWidth="1"/>
    <col min="103" max="16384" width="4.7265625" style="3"/>
  </cols>
  <sheetData>
    <row r="1" spans="1:184" customFormat="1" ht="31.5" customHeight="1" thickBot="1" x14ac:dyDescent="0.3">
      <c r="A1" s="24"/>
      <c r="B1" s="28" t="s">
        <v>6</v>
      </c>
      <c r="C1" s="6"/>
      <c r="D1" s="20"/>
      <c r="E1" s="7"/>
      <c r="F1" s="20"/>
      <c r="G1" s="7"/>
      <c r="H1" s="20"/>
      <c r="I1" s="7"/>
      <c r="J1" s="20"/>
      <c r="K1" s="7"/>
      <c r="L1" s="1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</row>
    <row r="2" spans="1:184" customFormat="1" ht="13" thickBot="1" x14ac:dyDescent="0.3">
      <c r="A2" s="10"/>
      <c r="B2" s="3"/>
      <c r="C2" s="294" t="s">
        <v>39</v>
      </c>
      <c r="D2" s="295"/>
      <c r="E2" s="295"/>
      <c r="F2" s="295"/>
      <c r="G2" s="295"/>
      <c r="H2" s="295"/>
      <c r="I2" s="295"/>
      <c r="J2" s="295"/>
      <c r="K2" s="295"/>
      <c r="L2" s="296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269"/>
      <c r="AI2" s="269"/>
      <c r="AJ2" s="269"/>
      <c r="AK2" s="269"/>
      <c r="AL2" s="269"/>
      <c r="AM2" s="269"/>
      <c r="AN2" s="269"/>
      <c r="AO2" s="269"/>
      <c r="AP2" s="269"/>
      <c r="AQ2" s="269"/>
      <c r="AR2" s="269"/>
      <c r="AS2" s="269"/>
      <c r="AT2" s="269"/>
      <c r="AU2" s="269"/>
      <c r="AV2" s="269"/>
      <c r="AW2" s="269"/>
      <c r="AX2" s="269"/>
      <c r="AY2" s="269"/>
      <c r="AZ2" s="269"/>
      <c r="BA2" s="269"/>
      <c r="BB2" s="269"/>
      <c r="BC2" s="269"/>
      <c r="BD2" s="269"/>
      <c r="BE2" s="269"/>
      <c r="BF2" s="269"/>
      <c r="BG2" s="269"/>
      <c r="BH2" s="269"/>
      <c r="BI2" s="269"/>
      <c r="BJ2" s="269"/>
      <c r="BK2" s="269"/>
      <c r="BL2" s="269"/>
      <c r="BM2" s="269"/>
      <c r="BN2" s="269"/>
      <c r="BO2" s="269"/>
      <c r="BP2" s="269"/>
      <c r="BQ2" s="269"/>
      <c r="BR2" s="269"/>
      <c r="BS2" s="269"/>
      <c r="BT2" s="269"/>
      <c r="BU2" s="269"/>
      <c r="BV2" s="269"/>
      <c r="BW2" s="269"/>
      <c r="BX2" s="269"/>
      <c r="BY2" s="269"/>
      <c r="BZ2" s="269"/>
      <c r="CA2" s="269"/>
      <c r="CB2" s="269"/>
      <c r="CC2" s="269"/>
      <c r="CD2" s="269"/>
      <c r="CE2" s="269"/>
      <c r="CF2" s="269"/>
      <c r="CG2" s="269"/>
      <c r="CH2" s="269"/>
      <c r="CI2" s="269"/>
      <c r="CJ2" s="269"/>
      <c r="CK2" s="269"/>
      <c r="CL2" s="269"/>
      <c r="CM2" s="269"/>
      <c r="CN2" s="269"/>
      <c r="CO2" s="269"/>
      <c r="CP2" s="269"/>
      <c r="CQ2" s="269"/>
      <c r="CR2" s="269"/>
      <c r="CS2" s="269"/>
      <c r="CT2" s="269"/>
      <c r="CU2" s="269"/>
      <c r="CV2" s="269"/>
      <c r="CW2" s="269"/>
      <c r="CX2" s="269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</row>
    <row r="3" spans="1:184" s="9" customFormat="1" ht="13" thickBot="1" x14ac:dyDescent="0.3">
      <c r="A3" s="10"/>
      <c r="B3" s="58" t="s">
        <v>1</v>
      </c>
      <c r="C3" s="297" t="s">
        <v>9</v>
      </c>
      <c r="D3" s="298"/>
      <c r="E3" s="297" t="s">
        <v>10</v>
      </c>
      <c r="F3" s="298"/>
      <c r="G3" s="297" t="s">
        <v>11</v>
      </c>
      <c r="H3" s="298"/>
      <c r="I3" s="297" t="s">
        <v>12</v>
      </c>
      <c r="J3" s="298"/>
      <c r="K3" s="297" t="s">
        <v>13</v>
      </c>
      <c r="L3" s="298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  <c r="AC3" s="269"/>
      <c r="AD3" s="269"/>
      <c r="AE3" s="269"/>
      <c r="AF3" s="269"/>
      <c r="AG3" s="269"/>
      <c r="AH3" s="269"/>
      <c r="AI3" s="269"/>
      <c r="AJ3" s="269"/>
      <c r="AK3" s="269"/>
      <c r="AL3" s="269"/>
      <c r="AM3" s="269"/>
      <c r="AN3" s="269"/>
      <c r="AO3" s="269"/>
      <c r="AP3" s="269"/>
      <c r="AQ3" s="269"/>
      <c r="AR3" s="269"/>
      <c r="AS3" s="269"/>
      <c r="AT3" s="269"/>
      <c r="AU3" s="269"/>
      <c r="AV3" s="269"/>
      <c r="AW3" s="269"/>
      <c r="AX3" s="269"/>
      <c r="AY3" s="269"/>
      <c r="AZ3" s="269"/>
      <c r="BA3" s="269"/>
      <c r="BB3" s="269"/>
      <c r="BC3" s="269"/>
      <c r="BD3" s="269"/>
      <c r="BE3" s="269"/>
      <c r="BF3" s="269"/>
      <c r="BG3" s="269"/>
      <c r="BH3" s="269"/>
      <c r="BI3" s="269"/>
      <c r="BJ3" s="269"/>
      <c r="BK3" s="269"/>
      <c r="BL3" s="269"/>
      <c r="BM3" s="269"/>
      <c r="BN3" s="269"/>
      <c r="BO3" s="269"/>
      <c r="BP3" s="269"/>
      <c r="BQ3" s="269"/>
      <c r="BR3" s="269"/>
      <c r="BS3" s="269"/>
      <c r="BT3" s="269"/>
      <c r="BU3" s="269"/>
      <c r="BV3" s="269"/>
      <c r="BW3" s="269"/>
      <c r="BX3" s="269"/>
      <c r="BY3" s="269"/>
      <c r="BZ3" s="269"/>
      <c r="CA3" s="269"/>
      <c r="CB3" s="269"/>
      <c r="CC3" s="269"/>
      <c r="CD3" s="269"/>
      <c r="CE3" s="269"/>
      <c r="CF3" s="269"/>
      <c r="CG3" s="269"/>
      <c r="CH3" s="269"/>
      <c r="CI3" s="269"/>
      <c r="CJ3" s="269"/>
      <c r="CK3" s="269"/>
      <c r="CL3" s="269"/>
      <c r="CM3" s="269"/>
      <c r="CN3" s="269"/>
      <c r="CO3" s="269"/>
      <c r="CP3" s="269"/>
      <c r="CQ3" s="269"/>
      <c r="CR3" s="269"/>
      <c r="CS3" s="269"/>
      <c r="CT3" s="269"/>
      <c r="CU3" s="269"/>
      <c r="CV3" s="269"/>
      <c r="CW3" s="269"/>
      <c r="CX3" s="269"/>
      <c r="CY3" s="269"/>
      <c r="CZ3" s="269"/>
      <c r="DA3" s="269"/>
      <c r="DB3" s="269"/>
      <c r="DC3" s="269"/>
      <c r="DD3" s="269"/>
      <c r="DE3" s="269"/>
      <c r="DF3" s="269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</row>
    <row r="4" spans="1:184" customFormat="1" ht="17.25" hidden="1" customHeight="1" thickTop="1" thickBot="1" x14ac:dyDescent="0.3">
      <c r="A4" s="200"/>
      <c r="B4" s="172"/>
      <c r="C4" s="21"/>
      <c r="D4" s="22"/>
      <c r="E4" s="21"/>
      <c r="F4" s="22"/>
      <c r="G4" s="21"/>
      <c r="H4" s="22"/>
      <c r="I4" s="21"/>
      <c r="J4" s="22"/>
      <c r="K4" s="21"/>
      <c r="L4" s="2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</row>
    <row r="5" spans="1:184" customFormat="1" ht="13.5" thickTop="1" thickBot="1" x14ac:dyDescent="0.3">
      <c r="A5" s="191">
        <v>1</v>
      </c>
      <c r="B5" s="192" t="str">
        <f>Names!$B:$B</f>
        <v>Last Name, First Name</v>
      </c>
      <c r="C5" s="6"/>
      <c r="D5" s="12"/>
      <c r="E5" s="6"/>
      <c r="F5" s="12"/>
      <c r="G5" s="6"/>
      <c r="H5" s="12"/>
      <c r="I5" s="6"/>
      <c r="J5" s="12"/>
      <c r="K5" s="6"/>
      <c r="L5" s="1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</row>
    <row r="6" spans="1:184" customFormat="1" x14ac:dyDescent="0.25">
      <c r="A6" s="189">
        <v>2</v>
      </c>
      <c r="B6" s="190" t="str">
        <f>Names!B7</f>
        <v>Jones, George</v>
      </c>
      <c r="C6" s="3"/>
      <c r="D6" s="11"/>
      <c r="E6" s="10"/>
      <c r="F6" s="11"/>
      <c r="G6" s="10"/>
      <c r="H6" s="11"/>
      <c r="I6" s="10"/>
      <c r="J6" s="11"/>
      <c r="K6" s="10"/>
      <c r="L6" s="1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</row>
    <row r="7" spans="1:184" customFormat="1" x14ac:dyDescent="0.25">
      <c r="A7" s="185">
        <v>3</v>
      </c>
      <c r="B7" s="186" t="str">
        <f>Names!B8</f>
        <v>Smith, Ralph</v>
      </c>
      <c r="C7" s="3"/>
      <c r="D7" s="11"/>
      <c r="E7" s="10"/>
      <c r="F7" s="11"/>
      <c r="G7" s="10"/>
      <c r="H7" s="11"/>
      <c r="I7" s="10"/>
      <c r="J7" s="11"/>
      <c r="K7" s="10"/>
      <c r="L7" s="1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</row>
    <row r="8" spans="1:184" customFormat="1" x14ac:dyDescent="0.25">
      <c r="A8" s="185">
        <v>4</v>
      </c>
      <c r="B8" s="186">
        <f>Names!B9</f>
        <v>0</v>
      </c>
      <c r="C8" s="3"/>
      <c r="D8" s="11"/>
      <c r="E8" s="10"/>
      <c r="F8" s="11"/>
      <c r="G8" s="10"/>
      <c r="H8" s="11"/>
      <c r="I8" s="10"/>
      <c r="J8" s="11"/>
      <c r="K8" s="10"/>
      <c r="L8" s="1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</row>
    <row r="9" spans="1:184" customFormat="1" x14ac:dyDescent="0.25">
      <c r="A9" s="185">
        <v>5</v>
      </c>
      <c r="B9" s="186">
        <f>Names!B10</f>
        <v>0</v>
      </c>
      <c r="C9" s="3"/>
      <c r="D9" s="11"/>
      <c r="E9" s="10"/>
      <c r="F9" s="11"/>
      <c r="G9" s="10"/>
      <c r="H9" s="11"/>
      <c r="I9" s="10"/>
      <c r="J9" s="11"/>
      <c r="K9" s="10"/>
      <c r="L9" s="1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</row>
    <row r="10" spans="1:184" customFormat="1" x14ac:dyDescent="0.25">
      <c r="A10" s="185">
        <v>6</v>
      </c>
      <c r="B10" s="186">
        <f>Names!B11</f>
        <v>0</v>
      </c>
      <c r="C10" s="3"/>
      <c r="D10" s="11"/>
      <c r="E10" s="10"/>
      <c r="F10" s="11"/>
      <c r="G10" s="10"/>
      <c r="H10" s="11"/>
      <c r="I10" s="10"/>
      <c r="J10" s="11"/>
      <c r="K10" s="10"/>
      <c r="L10" s="11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</row>
    <row r="11" spans="1:184" customFormat="1" x14ac:dyDescent="0.25">
      <c r="A11" s="185">
        <v>7</v>
      </c>
      <c r="B11" s="186">
        <f>Names!B12</f>
        <v>0</v>
      </c>
      <c r="C11" s="3"/>
      <c r="D11" s="11"/>
      <c r="E11" s="10"/>
      <c r="F11" s="11"/>
      <c r="G11" s="10"/>
      <c r="H11" s="11"/>
      <c r="I11" s="10"/>
      <c r="J11" s="11"/>
      <c r="K11" s="10"/>
      <c r="L11" s="11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</row>
    <row r="12" spans="1:184" customFormat="1" x14ac:dyDescent="0.25">
      <c r="A12" s="185">
        <v>8</v>
      </c>
      <c r="B12" s="186">
        <f>Names!B13</f>
        <v>0</v>
      </c>
      <c r="C12" s="3"/>
      <c r="D12" s="11"/>
      <c r="E12" s="10"/>
      <c r="F12" s="11"/>
      <c r="G12" s="10"/>
      <c r="H12" s="11"/>
      <c r="I12" s="10"/>
      <c r="J12" s="11"/>
      <c r="K12" s="10"/>
      <c r="L12" s="11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</row>
    <row r="13" spans="1:184" customFormat="1" x14ac:dyDescent="0.25">
      <c r="A13" s="185">
        <v>9</v>
      </c>
      <c r="B13" s="186">
        <f>Names!B14</f>
        <v>0</v>
      </c>
      <c r="C13" s="3"/>
      <c r="D13" s="11"/>
      <c r="E13" s="10"/>
      <c r="F13" s="11"/>
      <c r="G13" s="10"/>
      <c r="H13" s="11"/>
      <c r="I13" s="10"/>
      <c r="J13" s="11"/>
      <c r="K13" s="10"/>
      <c r="L13" s="1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</row>
    <row r="14" spans="1:184" customFormat="1" x14ac:dyDescent="0.25">
      <c r="A14" s="185">
        <v>10</v>
      </c>
      <c r="B14" s="186">
        <f>Names!B15</f>
        <v>0</v>
      </c>
      <c r="C14" s="3"/>
      <c r="D14" s="11"/>
      <c r="E14" s="10"/>
      <c r="F14" s="11"/>
      <c r="G14" s="10"/>
      <c r="H14" s="11"/>
      <c r="I14" s="10"/>
      <c r="J14" s="11"/>
      <c r="K14" s="10"/>
      <c r="L14" s="1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</row>
    <row r="15" spans="1:184" customFormat="1" x14ac:dyDescent="0.25">
      <c r="A15" s="185">
        <v>11</v>
      </c>
      <c r="B15" s="186">
        <f>Names!B16</f>
        <v>0</v>
      </c>
      <c r="C15" s="3"/>
      <c r="D15" s="11"/>
      <c r="E15" s="10"/>
      <c r="F15" s="11"/>
      <c r="G15" s="10"/>
      <c r="H15" s="11"/>
      <c r="I15" s="10"/>
      <c r="J15" s="11"/>
      <c r="K15" s="10"/>
      <c r="L15" s="11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</row>
    <row r="16" spans="1:184" customFormat="1" x14ac:dyDescent="0.25">
      <c r="A16" s="185">
        <v>12</v>
      </c>
      <c r="B16" s="186">
        <f>Names!B17</f>
        <v>0</v>
      </c>
      <c r="C16" s="3"/>
      <c r="D16" s="11"/>
      <c r="E16" s="10"/>
      <c r="F16" s="11"/>
      <c r="G16" s="10"/>
      <c r="H16" s="11"/>
      <c r="I16" s="10"/>
      <c r="J16" s="11"/>
      <c r="K16" s="10"/>
      <c r="L16" s="11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</row>
    <row r="17" spans="1:184" customFormat="1" x14ac:dyDescent="0.25">
      <c r="A17" s="185">
        <v>13</v>
      </c>
      <c r="B17" s="186">
        <f>Names!B18</f>
        <v>0</v>
      </c>
      <c r="C17" s="3"/>
      <c r="D17" s="11"/>
      <c r="E17" s="10"/>
      <c r="F17" s="11"/>
      <c r="G17" s="10"/>
      <c r="H17" s="11"/>
      <c r="I17" s="10"/>
      <c r="J17" s="11"/>
      <c r="K17" s="10"/>
      <c r="L17" s="11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</row>
    <row r="18" spans="1:184" customFormat="1" x14ac:dyDescent="0.25">
      <c r="A18" s="185">
        <v>14</v>
      </c>
      <c r="B18" s="186">
        <f>Names!B19</f>
        <v>0</v>
      </c>
      <c r="C18" s="3"/>
      <c r="D18" s="11"/>
      <c r="E18" s="10"/>
      <c r="F18" s="11"/>
      <c r="G18" s="10"/>
      <c r="H18" s="11"/>
      <c r="I18" s="10"/>
      <c r="J18" s="11"/>
      <c r="K18" s="10"/>
      <c r="L18" s="11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</row>
    <row r="19" spans="1:184" customFormat="1" x14ac:dyDescent="0.25">
      <c r="A19" s="185">
        <v>15</v>
      </c>
      <c r="B19" s="186">
        <f>Names!B20</f>
        <v>0</v>
      </c>
      <c r="C19" s="3"/>
      <c r="D19" s="11"/>
      <c r="E19" s="10"/>
      <c r="F19" s="11"/>
      <c r="G19" s="10"/>
      <c r="H19" s="11"/>
      <c r="I19" s="10"/>
      <c r="J19" s="11"/>
      <c r="K19" s="10"/>
      <c r="L19" s="1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</row>
    <row r="20" spans="1:184" customFormat="1" x14ac:dyDescent="0.25">
      <c r="A20" s="185">
        <v>16</v>
      </c>
      <c r="B20" s="186">
        <f>Names!B21</f>
        <v>0</v>
      </c>
      <c r="C20" s="3"/>
      <c r="D20" s="11"/>
      <c r="E20" s="10"/>
      <c r="F20" s="11"/>
      <c r="G20" s="10"/>
      <c r="H20" s="11"/>
      <c r="I20" s="10"/>
      <c r="J20" s="11"/>
      <c r="K20" s="10"/>
      <c r="L20" s="11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</row>
    <row r="21" spans="1:184" customFormat="1" x14ac:dyDescent="0.25">
      <c r="A21" s="185">
        <v>17</v>
      </c>
      <c r="B21" s="186">
        <f>Names!B22</f>
        <v>0</v>
      </c>
      <c r="C21" s="3"/>
      <c r="D21" s="11"/>
      <c r="E21" s="10"/>
      <c r="F21" s="11"/>
      <c r="G21" s="10"/>
      <c r="H21" s="11"/>
      <c r="I21" s="10"/>
      <c r="J21" s="11"/>
      <c r="K21" s="10"/>
      <c r="L21" s="11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</row>
    <row r="22" spans="1:184" customFormat="1" x14ac:dyDescent="0.25">
      <c r="A22" s="185">
        <v>18</v>
      </c>
      <c r="B22" s="186">
        <f>Names!B23</f>
        <v>0</v>
      </c>
      <c r="C22" s="3"/>
      <c r="D22" s="11"/>
      <c r="E22" s="10"/>
      <c r="F22" s="11"/>
      <c r="G22" s="10"/>
      <c r="H22" s="11"/>
      <c r="I22" s="10"/>
      <c r="J22" s="11"/>
      <c r="K22" s="10"/>
      <c r="L22" s="11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</row>
    <row r="23" spans="1:184" customFormat="1" x14ac:dyDescent="0.25">
      <c r="A23" s="185">
        <v>19</v>
      </c>
      <c r="B23" s="186">
        <f>Names!B24</f>
        <v>0</v>
      </c>
      <c r="C23" s="3"/>
      <c r="D23" s="11"/>
      <c r="E23" s="10"/>
      <c r="F23" s="11"/>
      <c r="G23" s="10"/>
      <c r="H23" s="11"/>
      <c r="I23" s="10"/>
      <c r="J23" s="11"/>
      <c r="K23" s="10"/>
      <c r="L23" s="11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</row>
    <row r="24" spans="1:184" customFormat="1" x14ac:dyDescent="0.25">
      <c r="A24" s="185">
        <v>20</v>
      </c>
      <c r="B24" s="186">
        <f>Names!B25</f>
        <v>0</v>
      </c>
      <c r="C24" s="3"/>
      <c r="D24" s="11"/>
      <c r="E24" s="10"/>
      <c r="F24" s="11"/>
      <c r="G24" s="10"/>
      <c r="H24" s="11"/>
      <c r="I24" s="10"/>
      <c r="J24" s="11"/>
      <c r="K24" s="10"/>
      <c r="L24" s="11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</row>
    <row r="25" spans="1:184" customFormat="1" x14ac:dyDescent="0.25">
      <c r="A25" s="185">
        <v>21</v>
      </c>
      <c r="B25" s="186">
        <f>Names!B26</f>
        <v>0</v>
      </c>
      <c r="C25" s="3"/>
      <c r="D25" s="11"/>
      <c r="E25" s="10"/>
      <c r="F25" s="11"/>
      <c r="G25" s="10"/>
      <c r="H25" s="11"/>
      <c r="I25" s="10"/>
      <c r="J25" s="11"/>
      <c r="K25" s="10"/>
      <c r="L25" s="11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</row>
    <row r="26" spans="1:184" customFormat="1" x14ac:dyDescent="0.25">
      <c r="A26" s="185">
        <v>22</v>
      </c>
      <c r="B26" s="186">
        <f>Names!B27</f>
        <v>0</v>
      </c>
      <c r="C26" s="3"/>
      <c r="D26" s="11"/>
      <c r="E26" s="10"/>
      <c r="F26" s="11"/>
      <c r="G26" s="10"/>
      <c r="H26" s="11"/>
      <c r="I26" s="10"/>
      <c r="J26" s="11"/>
      <c r="K26" s="10"/>
      <c r="L26" s="11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</row>
    <row r="27" spans="1:184" customFormat="1" x14ac:dyDescent="0.25">
      <c r="A27" s="185">
        <v>23</v>
      </c>
      <c r="B27" s="186">
        <f>Names!B28</f>
        <v>0</v>
      </c>
      <c r="C27" s="3"/>
      <c r="D27" s="11"/>
      <c r="E27" s="10"/>
      <c r="F27" s="11"/>
      <c r="G27" s="10"/>
      <c r="H27" s="11"/>
      <c r="I27" s="10"/>
      <c r="J27" s="11"/>
      <c r="K27" s="10"/>
      <c r="L27" s="11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</row>
    <row r="28" spans="1:184" customFormat="1" x14ac:dyDescent="0.25">
      <c r="A28" s="185">
        <v>24</v>
      </c>
      <c r="B28" s="186">
        <f>Names!B29</f>
        <v>0</v>
      </c>
      <c r="C28" s="3"/>
      <c r="D28" s="11"/>
      <c r="E28" s="10"/>
      <c r="F28" s="11"/>
      <c r="G28" s="10"/>
      <c r="H28" s="11"/>
      <c r="I28" s="10"/>
      <c r="J28" s="11"/>
      <c r="K28" s="10"/>
      <c r="L28" s="11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</row>
    <row r="29" spans="1:184" customFormat="1" x14ac:dyDescent="0.25">
      <c r="A29" s="185">
        <v>25</v>
      </c>
      <c r="B29" s="186">
        <f>Names!B30</f>
        <v>0</v>
      </c>
      <c r="C29" s="3"/>
      <c r="D29" s="11"/>
      <c r="E29" s="10"/>
      <c r="F29" s="11"/>
      <c r="G29" s="10"/>
      <c r="H29" s="11"/>
      <c r="I29" s="10"/>
      <c r="J29" s="11"/>
      <c r="K29" s="10"/>
      <c r="L29" s="11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</row>
    <row r="30" spans="1:184" customFormat="1" x14ac:dyDescent="0.25">
      <c r="A30" s="185">
        <v>26</v>
      </c>
      <c r="B30" s="186">
        <f>Names!B31</f>
        <v>0</v>
      </c>
      <c r="C30" s="3"/>
      <c r="D30" s="11"/>
      <c r="E30" s="10"/>
      <c r="F30" s="11"/>
      <c r="G30" s="10"/>
      <c r="H30" s="11"/>
      <c r="I30" s="10"/>
      <c r="J30" s="11"/>
      <c r="K30" s="10"/>
      <c r="L30" s="11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</row>
    <row r="31" spans="1:184" customFormat="1" x14ac:dyDescent="0.25">
      <c r="A31" s="185">
        <v>27</v>
      </c>
      <c r="B31" s="186">
        <f>Names!B32</f>
        <v>0</v>
      </c>
      <c r="C31" s="3"/>
      <c r="D31" s="11"/>
      <c r="E31" s="10"/>
      <c r="F31" s="11"/>
      <c r="G31" s="10"/>
      <c r="H31" s="11"/>
      <c r="I31" s="10"/>
      <c r="J31" s="11"/>
      <c r="K31" s="10"/>
      <c r="L31" s="11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</row>
    <row r="32" spans="1:184" customFormat="1" x14ac:dyDescent="0.25">
      <c r="A32" s="185">
        <v>28</v>
      </c>
      <c r="B32" s="186">
        <f>Names!B33</f>
        <v>0</v>
      </c>
      <c r="C32" s="3"/>
      <c r="D32" s="11"/>
      <c r="E32" s="10"/>
      <c r="F32" s="11"/>
      <c r="G32" s="10"/>
      <c r="H32" s="11"/>
      <c r="I32" s="10"/>
      <c r="J32" s="11"/>
      <c r="K32" s="10"/>
      <c r="L32" s="11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</row>
    <row r="33" spans="1:184" customFormat="1" x14ac:dyDescent="0.25">
      <c r="A33" s="185">
        <v>29</v>
      </c>
      <c r="B33" s="186">
        <f>Names!B34</f>
        <v>0</v>
      </c>
      <c r="C33" s="3"/>
      <c r="D33" s="11"/>
      <c r="E33" s="10"/>
      <c r="F33" s="11"/>
      <c r="G33" s="10"/>
      <c r="H33" s="11"/>
      <c r="I33" s="10"/>
      <c r="J33" s="11"/>
      <c r="K33" s="10"/>
      <c r="L33" s="11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</row>
    <row r="34" spans="1:184" customFormat="1" x14ac:dyDescent="0.25">
      <c r="A34" s="185">
        <v>30</v>
      </c>
      <c r="B34" s="186">
        <f>Names!B35</f>
        <v>0</v>
      </c>
      <c r="C34" s="3"/>
      <c r="D34" s="11"/>
      <c r="E34" s="10"/>
      <c r="F34" s="11"/>
      <c r="G34" s="10"/>
      <c r="H34" s="11"/>
      <c r="I34" s="10"/>
      <c r="J34" s="11"/>
      <c r="K34" s="10"/>
      <c r="L34" s="1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</row>
    <row r="35" spans="1:184" customFormat="1" x14ac:dyDescent="0.25">
      <c r="A35" s="185">
        <v>31</v>
      </c>
      <c r="B35" s="186">
        <f>Names!B36</f>
        <v>0</v>
      </c>
      <c r="C35" s="3"/>
      <c r="D35" s="11"/>
      <c r="E35" s="10"/>
      <c r="F35" s="11"/>
      <c r="G35" s="10"/>
      <c r="H35" s="11"/>
      <c r="I35" s="10"/>
      <c r="J35" s="11"/>
      <c r="K35" s="10"/>
      <c r="L35" s="11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</row>
    <row r="36" spans="1:184" customFormat="1" x14ac:dyDescent="0.25">
      <c r="A36" s="185">
        <v>32</v>
      </c>
      <c r="B36" s="186">
        <f>Names!B37</f>
        <v>0</v>
      </c>
      <c r="C36" s="3"/>
      <c r="D36" s="11"/>
      <c r="E36" s="10"/>
      <c r="F36" s="11"/>
      <c r="G36" s="10"/>
      <c r="H36" s="11"/>
      <c r="I36" s="10"/>
      <c r="J36" s="11"/>
      <c r="K36" s="10"/>
      <c r="L36" s="11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</row>
    <row r="37" spans="1:184" customFormat="1" x14ac:dyDescent="0.25">
      <c r="A37" s="185">
        <v>33</v>
      </c>
      <c r="B37" s="186">
        <f>Names!B38</f>
        <v>0</v>
      </c>
      <c r="C37" s="3"/>
      <c r="D37" s="11"/>
      <c r="E37" s="10"/>
      <c r="F37" s="11"/>
      <c r="G37" s="10"/>
      <c r="H37" s="11"/>
      <c r="I37" s="10"/>
      <c r="J37" s="11"/>
      <c r="K37" s="10"/>
      <c r="L37" s="11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</row>
    <row r="38" spans="1:184" customFormat="1" x14ac:dyDescent="0.25">
      <c r="A38" s="185">
        <v>34</v>
      </c>
      <c r="B38" s="186">
        <f>Names!B39</f>
        <v>0</v>
      </c>
      <c r="C38" s="3"/>
      <c r="D38" s="11"/>
      <c r="E38" s="10"/>
      <c r="F38" s="11"/>
      <c r="G38" s="10"/>
      <c r="H38" s="11"/>
      <c r="I38" s="10"/>
      <c r="J38" s="11"/>
      <c r="K38" s="10"/>
      <c r="L38" s="11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</row>
    <row r="39" spans="1:184" customFormat="1" ht="13" thickBot="1" x14ac:dyDescent="0.3">
      <c r="A39" s="187">
        <v>35</v>
      </c>
      <c r="B39" s="188">
        <f>Names!B40</f>
        <v>0</v>
      </c>
      <c r="C39" s="18"/>
      <c r="D39" s="19"/>
      <c r="E39" s="17"/>
      <c r="F39" s="19"/>
      <c r="G39" s="17"/>
      <c r="H39" s="19"/>
      <c r="I39" s="17"/>
      <c r="J39" s="19"/>
      <c r="K39" s="17"/>
      <c r="L39" s="19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</row>
  </sheetData>
  <sheetCalcPr fullCalcOnLoad="1"/>
  <mergeCells count="64">
    <mergeCell ref="DC3:DD3"/>
    <mergeCell ref="DE3:DF3"/>
    <mergeCell ref="CU3:CV3"/>
    <mergeCell ref="CW3:CX3"/>
    <mergeCell ref="CY3:CZ3"/>
    <mergeCell ref="DA3:DB3"/>
    <mergeCell ref="CI3:CJ3"/>
    <mergeCell ref="CK3:CL3"/>
    <mergeCell ref="CM3:CN3"/>
    <mergeCell ref="CO3:CP3"/>
    <mergeCell ref="CQ3:CR3"/>
    <mergeCell ref="CS3:CT3"/>
    <mergeCell ref="BW3:BX3"/>
    <mergeCell ref="BY3:BZ3"/>
    <mergeCell ref="CA3:CB3"/>
    <mergeCell ref="CC3:CD3"/>
    <mergeCell ref="CE3:CF3"/>
    <mergeCell ref="CG3:CH3"/>
    <mergeCell ref="BK3:BL3"/>
    <mergeCell ref="BM3:BN3"/>
    <mergeCell ref="BO3:BP3"/>
    <mergeCell ref="BQ3:BR3"/>
    <mergeCell ref="BS3:BT3"/>
    <mergeCell ref="BU3:BV3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AE3:AF3"/>
    <mergeCell ref="AG3:AH3"/>
    <mergeCell ref="AI3:AJ3"/>
    <mergeCell ref="AK3:AL3"/>
    <mergeCell ref="O3:P3"/>
    <mergeCell ref="Q3:R3"/>
    <mergeCell ref="S3:T3"/>
    <mergeCell ref="U3:V3"/>
    <mergeCell ref="W3:X3"/>
    <mergeCell ref="Y3:Z3"/>
    <mergeCell ref="BK2:BT2"/>
    <mergeCell ref="BU2:CD2"/>
    <mergeCell ref="CE2:CN2"/>
    <mergeCell ref="CO2:CX2"/>
    <mergeCell ref="C3:D3"/>
    <mergeCell ref="E3:F3"/>
    <mergeCell ref="G3:H3"/>
    <mergeCell ref="I3:J3"/>
    <mergeCell ref="K3:L3"/>
    <mergeCell ref="M3:N3"/>
    <mergeCell ref="C2:L2"/>
    <mergeCell ref="M2:V2"/>
    <mergeCell ref="W2:AF2"/>
    <mergeCell ref="AG2:AP2"/>
    <mergeCell ref="AQ2:AZ2"/>
    <mergeCell ref="BA2:BJ2"/>
  </mergeCells>
  <phoneticPr fontId="0" type="noConversion"/>
  <printOptions gridLines="1"/>
  <pageMargins left="0.75" right="0.75" top="1" bottom="1" header="0.5" footer="0.5"/>
  <pageSetup scale="120" pageOrder="overThenDown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0"/>
  <sheetViews>
    <sheetView view="pageBreakPreview" topLeftCell="C1" zoomScale="60" zoomScaleNormal="100" workbookViewId="0">
      <selection activeCell="C3" sqref="C3:BA3"/>
    </sheetView>
  </sheetViews>
  <sheetFormatPr defaultColWidth="6.7265625" defaultRowHeight="12.5" x14ac:dyDescent="0.25"/>
  <cols>
    <col min="1" max="1" width="4" style="104" customWidth="1"/>
    <col min="2" max="2" width="18.453125" style="105" customWidth="1"/>
    <col min="3" max="54" width="4.26953125" style="122" customWidth="1"/>
    <col min="55" max="56" width="4.7265625" style="27" customWidth="1"/>
    <col min="57" max="16384" width="6.7265625" style="27"/>
  </cols>
  <sheetData>
    <row r="1" spans="1:56" x14ac:dyDescent="0.25">
      <c r="A1" s="106"/>
      <c r="B1" s="198" t="str">
        <f>Names!B1</f>
        <v>Quarter 1</v>
      </c>
      <c r="C1" s="132"/>
      <c r="D1" s="132" t="s">
        <v>40</v>
      </c>
      <c r="E1" s="132"/>
      <c r="F1" s="132"/>
      <c r="G1" s="132"/>
      <c r="H1" s="132"/>
      <c r="I1" s="132" t="s">
        <v>41</v>
      </c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1"/>
      <c r="AC1" s="132" t="s">
        <v>40</v>
      </c>
      <c r="AD1" s="132"/>
      <c r="AE1" s="132"/>
      <c r="AF1" s="132"/>
      <c r="AG1" s="132"/>
      <c r="AH1" s="132" t="s">
        <v>41</v>
      </c>
      <c r="AI1" s="132"/>
      <c r="AJ1" s="132"/>
      <c r="AK1" s="132"/>
      <c r="AL1" s="132"/>
      <c r="AM1" s="132"/>
      <c r="AN1" s="132"/>
      <c r="AO1" s="132"/>
      <c r="AP1" s="132"/>
      <c r="AQ1" s="132"/>
      <c r="AR1" s="132"/>
      <c r="AS1" s="132"/>
      <c r="AT1" s="132"/>
      <c r="AU1" s="132"/>
      <c r="AV1" s="132"/>
      <c r="AW1" s="132"/>
      <c r="AX1" s="132"/>
      <c r="AY1" s="132"/>
      <c r="AZ1" s="132"/>
      <c r="BA1" s="133"/>
      <c r="BB1" s="102"/>
    </row>
    <row r="2" spans="1:56" ht="13" thickBot="1" x14ac:dyDescent="0.3">
      <c r="A2" s="107"/>
      <c r="B2" s="199" t="str">
        <f>Names!B2</f>
        <v>Class</v>
      </c>
      <c r="C2" s="135"/>
      <c r="D2" s="135" t="s">
        <v>42</v>
      </c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4"/>
      <c r="AC2" s="135" t="s">
        <v>42</v>
      </c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5"/>
      <c r="AS2" s="135"/>
      <c r="AT2" s="135"/>
      <c r="AU2" s="135"/>
      <c r="AV2" s="135"/>
      <c r="AW2" s="135"/>
      <c r="AX2" s="135"/>
      <c r="AY2" s="135"/>
      <c r="AZ2" s="135"/>
      <c r="BA2" s="136"/>
      <c r="BB2" s="102"/>
    </row>
    <row r="3" spans="1:56" s="113" customFormat="1" ht="15" customHeight="1" thickBot="1" x14ac:dyDescent="0.35">
      <c r="A3" s="111"/>
      <c r="B3" s="112"/>
      <c r="C3" s="299" t="s">
        <v>75</v>
      </c>
      <c r="D3" s="300"/>
      <c r="E3" s="300"/>
      <c r="F3" s="300"/>
      <c r="G3" s="301"/>
      <c r="H3" s="299" t="s">
        <v>76</v>
      </c>
      <c r="I3" s="300"/>
      <c r="J3" s="300"/>
      <c r="K3" s="300"/>
      <c r="L3" s="301"/>
      <c r="M3" s="299" t="s">
        <v>77</v>
      </c>
      <c r="N3" s="300"/>
      <c r="O3" s="300"/>
      <c r="P3" s="300"/>
      <c r="Q3" s="301"/>
      <c r="R3" s="299" t="s">
        <v>78</v>
      </c>
      <c r="S3" s="300"/>
      <c r="T3" s="300"/>
      <c r="U3" s="300"/>
      <c r="V3" s="301"/>
      <c r="W3" s="299" t="s">
        <v>79</v>
      </c>
      <c r="X3" s="300"/>
      <c r="Y3" s="300"/>
      <c r="Z3" s="300"/>
      <c r="AA3" s="301"/>
      <c r="AB3" s="299" t="s">
        <v>80</v>
      </c>
      <c r="AC3" s="300"/>
      <c r="AD3" s="300"/>
      <c r="AE3" s="300"/>
      <c r="AF3" s="301"/>
      <c r="AG3" s="299" t="s">
        <v>81</v>
      </c>
      <c r="AH3" s="300"/>
      <c r="AI3" s="300"/>
      <c r="AJ3" s="300"/>
      <c r="AK3" s="301"/>
      <c r="AL3" s="299" t="s">
        <v>82</v>
      </c>
      <c r="AM3" s="300"/>
      <c r="AN3" s="300"/>
      <c r="AO3" s="300"/>
      <c r="AP3" s="301"/>
      <c r="AQ3" s="299" t="s">
        <v>83</v>
      </c>
      <c r="AR3" s="300"/>
      <c r="AS3" s="300"/>
      <c r="AT3" s="300"/>
      <c r="AU3" s="301"/>
      <c r="AV3" s="299" t="s">
        <v>84</v>
      </c>
      <c r="AW3" s="300"/>
      <c r="AX3" s="300"/>
      <c r="AY3" s="300"/>
      <c r="AZ3" s="300"/>
      <c r="BA3" s="301"/>
    </row>
    <row r="4" spans="1:56" s="103" customFormat="1" ht="33" customHeight="1" thickBot="1" x14ac:dyDescent="0.3">
      <c r="A4" s="107"/>
      <c r="B4" s="102"/>
      <c r="C4" s="108"/>
      <c r="D4" s="109"/>
      <c r="E4" s="109"/>
      <c r="F4" s="109"/>
      <c r="G4" s="110"/>
      <c r="H4" s="108"/>
      <c r="I4" s="109"/>
      <c r="J4" s="109"/>
      <c r="K4" s="109"/>
      <c r="L4" s="110"/>
      <c r="M4" s="108"/>
      <c r="N4" s="109"/>
      <c r="O4" s="109"/>
      <c r="P4" s="109"/>
      <c r="Q4" s="110"/>
      <c r="R4" s="108"/>
      <c r="S4" s="109"/>
      <c r="T4" s="109"/>
      <c r="U4" s="109"/>
      <c r="V4" s="109"/>
      <c r="W4" s="108"/>
      <c r="X4" s="109"/>
      <c r="Y4" s="109"/>
      <c r="Z4" s="109"/>
      <c r="AA4" s="110"/>
      <c r="AB4" s="108"/>
      <c r="AC4" s="109"/>
      <c r="AD4" s="109"/>
      <c r="AE4" s="109"/>
      <c r="AF4" s="110"/>
      <c r="AG4" s="108"/>
      <c r="AH4" s="109"/>
      <c r="AI4" s="109"/>
      <c r="AJ4" s="109"/>
      <c r="AK4" s="110"/>
      <c r="AL4" s="108"/>
      <c r="AM4" s="109"/>
      <c r="AN4" s="109"/>
      <c r="AO4" s="109"/>
      <c r="AP4" s="110"/>
      <c r="AQ4" s="108"/>
      <c r="AR4" s="109"/>
      <c r="AS4" s="109"/>
      <c r="AT4" s="109"/>
      <c r="AU4" s="110"/>
      <c r="AV4" s="108"/>
      <c r="AW4" s="109"/>
      <c r="AX4" s="109"/>
      <c r="AY4" s="109"/>
      <c r="AZ4" s="109"/>
      <c r="BA4" s="110"/>
      <c r="BB4" s="122"/>
      <c r="BC4" s="27"/>
      <c r="BD4" s="27"/>
    </row>
    <row r="5" spans="1:56" s="130" customFormat="1" ht="14.9" customHeight="1" thickBot="1" x14ac:dyDescent="0.35">
      <c r="A5" s="201" t="str">
        <f>Names!A5</f>
        <v>#</v>
      </c>
      <c r="B5" s="202" t="str">
        <f>Names!B5</f>
        <v>Last Name, First Name</v>
      </c>
      <c r="C5" s="228" t="s">
        <v>70</v>
      </c>
      <c r="D5" s="228" t="s">
        <v>71</v>
      </c>
      <c r="E5" s="228" t="s">
        <v>72</v>
      </c>
      <c r="F5" s="228" t="s">
        <v>73</v>
      </c>
      <c r="G5" s="229" t="s">
        <v>74</v>
      </c>
      <c r="H5" s="230" t="s">
        <v>70</v>
      </c>
      <c r="I5" s="228" t="s">
        <v>71</v>
      </c>
      <c r="J5" s="228" t="s">
        <v>72</v>
      </c>
      <c r="K5" s="228" t="s">
        <v>73</v>
      </c>
      <c r="L5" s="229" t="s">
        <v>74</v>
      </c>
      <c r="M5" s="230" t="s">
        <v>70</v>
      </c>
      <c r="N5" s="228" t="s">
        <v>71</v>
      </c>
      <c r="O5" s="228" t="s">
        <v>72</v>
      </c>
      <c r="P5" s="228" t="s">
        <v>73</v>
      </c>
      <c r="Q5" s="229" t="s">
        <v>74</v>
      </c>
      <c r="R5" s="230" t="s">
        <v>70</v>
      </c>
      <c r="S5" s="228" t="s">
        <v>71</v>
      </c>
      <c r="T5" s="228" t="s">
        <v>72</v>
      </c>
      <c r="U5" s="228" t="s">
        <v>73</v>
      </c>
      <c r="V5" s="228" t="s">
        <v>74</v>
      </c>
      <c r="W5" s="230" t="s">
        <v>70</v>
      </c>
      <c r="X5" s="228" t="s">
        <v>71</v>
      </c>
      <c r="Y5" s="228" t="s">
        <v>72</v>
      </c>
      <c r="Z5" s="228" t="s">
        <v>73</v>
      </c>
      <c r="AA5" s="229" t="s">
        <v>74</v>
      </c>
      <c r="AB5" s="230" t="s">
        <v>70</v>
      </c>
      <c r="AC5" s="228" t="s">
        <v>71</v>
      </c>
      <c r="AD5" s="228" t="s">
        <v>72</v>
      </c>
      <c r="AE5" s="228" t="s">
        <v>73</v>
      </c>
      <c r="AF5" s="229" t="s">
        <v>74</v>
      </c>
      <c r="AG5" s="230" t="s">
        <v>70</v>
      </c>
      <c r="AH5" s="228" t="s">
        <v>71</v>
      </c>
      <c r="AI5" s="228" t="s">
        <v>72</v>
      </c>
      <c r="AJ5" s="228" t="s">
        <v>73</v>
      </c>
      <c r="AK5" s="229" t="s">
        <v>74</v>
      </c>
      <c r="AL5" s="230" t="s">
        <v>70</v>
      </c>
      <c r="AM5" s="228" t="s">
        <v>71</v>
      </c>
      <c r="AN5" s="228" t="s">
        <v>72</v>
      </c>
      <c r="AO5" s="228" t="s">
        <v>73</v>
      </c>
      <c r="AP5" s="229" t="s">
        <v>74</v>
      </c>
      <c r="AQ5" s="230" t="s">
        <v>70</v>
      </c>
      <c r="AR5" s="228" t="s">
        <v>71</v>
      </c>
      <c r="AS5" s="228" t="s">
        <v>72</v>
      </c>
      <c r="AT5" s="228" t="s">
        <v>73</v>
      </c>
      <c r="AU5" s="229" t="s">
        <v>74</v>
      </c>
      <c r="AV5" s="231"/>
      <c r="AW5" s="232"/>
      <c r="AX5" s="232"/>
      <c r="AY5" s="232"/>
      <c r="AZ5" s="232"/>
      <c r="BA5" s="233"/>
    </row>
    <row r="6" spans="1:56" ht="16" customHeight="1" x14ac:dyDescent="0.25">
      <c r="A6" s="189">
        <f>Names!A6</f>
        <v>1</v>
      </c>
      <c r="B6" s="190" t="str">
        <f>Names!$B:$B</f>
        <v>Adams, Bob</v>
      </c>
      <c r="C6" s="115"/>
      <c r="D6" s="115"/>
      <c r="E6" s="115"/>
      <c r="F6" s="115"/>
      <c r="G6" s="116"/>
      <c r="H6" s="114"/>
      <c r="I6" s="115"/>
      <c r="J6" s="115"/>
      <c r="K6" s="115"/>
      <c r="L6" s="116"/>
      <c r="M6" s="114"/>
      <c r="N6" s="115"/>
      <c r="O6" s="115"/>
      <c r="P6" s="115"/>
      <c r="Q6" s="116"/>
      <c r="R6" s="114"/>
      <c r="S6" s="115"/>
      <c r="T6" s="115"/>
      <c r="U6" s="115"/>
      <c r="V6" s="115"/>
      <c r="W6" s="117"/>
      <c r="X6" s="118"/>
      <c r="Y6" s="118"/>
      <c r="Z6" s="118"/>
      <c r="AA6" s="120"/>
      <c r="AB6" s="114"/>
      <c r="AC6" s="115"/>
      <c r="AD6" s="115"/>
      <c r="AE6" s="115"/>
      <c r="AF6" s="116"/>
      <c r="AG6" s="121"/>
      <c r="AK6" s="123"/>
      <c r="AL6" s="121"/>
      <c r="AP6" s="123"/>
      <c r="AQ6" s="121"/>
      <c r="AU6" s="123"/>
      <c r="AV6" s="121"/>
      <c r="BA6" s="123"/>
    </row>
    <row r="7" spans="1:56" ht="16" customHeight="1" x14ac:dyDescent="0.25">
      <c r="A7" s="185">
        <f>Names!A7</f>
        <v>2</v>
      </c>
      <c r="B7" s="186" t="str">
        <f>Names!$B:$B</f>
        <v>Jones, George</v>
      </c>
      <c r="C7" s="115"/>
      <c r="D7" s="115"/>
      <c r="E7" s="115"/>
      <c r="F7" s="115"/>
      <c r="G7" s="116"/>
      <c r="H7" s="114"/>
      <c r="I7" s="115"/>
      <c r="J7" s="115"/>
      <c r="K7" s="115"/>
      <c r="L7" s="116"/>
      <c r="M7" s="114"/>
      <c r="N7" s="115"/>
      <c r="O7" s="115"/>
      <c r="P7" s="115"/>
      <c r="Q7" s="116"/>
      <c r="R7" s="114"/>
      <c r="S7" s="115"/>
      <c r="T7" s="115"/>
      <c r="U7" s="115"/>
      <c r="V7" s="115"/>
      <c r="W7" s="114"/>
      <c r="X7" s="115"/>
      <c r="Y7" s="115"/>
      <c r="Z7" s="115"/>
      <c r="AA7" s="116"/>
      <c r="AB7" s="114"/>
      <c r="AC7" s="115"/>
      <c r="AD7" s="115"/>
      <c r="AE7" s="115"/>
      <c r="AF7" s="116"/>
      <c r="AG7" s="121"/>
      <c r="AK7" s="123"/>
      <c r="AL7" s="121"/>
      <c r="AP7" s="123"/>
      <c r="AQ7" s="121"/>
      <c r="AU7" s="123"/>
      <c r="AV7" s="121"/>
      <c r="BA7" s="123"/>
    </row>
    <row r="8" spans="1:56" ht="16" customHeight="1" x14ac:dyDescent="0.25">
      <c r="A8" s="185">
        <f>Names!A8</f>
        <v>3</v>
      </c>
      <c r="B8" s="186" t="str">
        <f>Names!$B:$B</f>
        <v>Smith, Ralph</v>
      </c>
      <c r="C8" s="115"/>
      <c r="D8" s="115"/>
      <c r="E8" s="115"/>
      <c r="F8" s="115"/>
      <c r="G8" s="116"/>
      <c r="H8" s="114"/>
      <c r="I8" s="115"/>
      <c r="J8" s="115"/>
      <c r="K8" s="115"/>
      <c r="L8" s="116"/>
      <c r="M8" s="114"/>
      <c r="N8" s="115"/>
      <c r="O8" s="115"/>
      <c r="P8" s="115"/>
      <c r="Q8" s="116"/>
      <c r="R8" s="114"/>
      <c r="S8" s="115"/>
      <c r="T8" s="115"/>
      <c r="U8" s="115"/>
      <c r="V8" s="115"/>
      <c r="W8" s="114"/>
      <c r="X8" s="115"/>
      <c r="Y8" s="115"/>
      <c r="Z8" s="115"/>
      <c r="AA8" s="116"/>
      <c r="AB8" s="114"/>
      <c r="AC8" s="115"/>
      <c r="AD8" s="115"/>
      <c r="AE8" s="115"/>
      <c r="AF8" s="116"/>
      <c r="AG8" s="121"/>
      <c r="AK8" s="123"/>
      <c r="AL8" s="121"/>
      <c r="AP8" s="123"/>
      <c r="AQ8" s="121"/>
      <c r="AU8" s="123"/>
      <c r="AV8" s="121"/>
      <c r="BA8" s="123"/>
    </row>
    <row r="9" spans="1:56" ht="16" customHeight="1" x14ac:dyDescent="0.25">
      <c r="A9" s="185">
        <f>Names!A9</f>
        <v>4</v>
      </c>
      <c r="B9" s="186">
        <f>Names!$B:$B</f>
        <v>0</v>
      </c>
      <c r="C9" s="115"/>
      <c r="D9" s="115"/>
      <c r="E9" s="115"/>
      <c r="F9" s="115"/>
      <c r="G9" s="116"/>
      <c r="H9" s="114"/>
      <c r="I9" s="115"/>
      <c r="J9" s="115"/>
      <c r="K9" s="115"/>
      <c r="L9" s="116"/>
      <c r="M9" s="114"/>
      <c r="N9" s="115"/>
      <c r="O9" s="115"/>
      <c r="P9" s="115"/>
      <c r="Q9" s="116"/>
      <c r="R9" s="114"/>
      <c r="S9" s="115"/>
      <c r="T9" s="115"/>
      <c r="U9" s="115"/>
      <c r="V9" s="115"/>
      <c r="W9" s="114"/>
      <c r="X9" s="115"/>
      <c r="Y9" s="115"/>
      <c r="Z9" s="115"/>
      <c r="AA9" s="116"/>
      <c r="AB9" s="114"/>
      <c r="AC9" s="115"/>
      <c r="AD9" s="115"/>
      <c r="AE9" s="115"/>
      <c r="AF9" s="116"/>
      <c r="AG9" s="121"/>
      <c r="AK9" s="123"/>
      <c r="AL9" s="121"/>
      <c r="AP9" s="123"/>
      <c r="AQ9" s="121"/>
      <c r="AU9" s="123"/>
      <c r="AV9" s="121"/>
      <c r="BA9" s="123"/>
    </row>
    <row r="10" spans="1:56" ht="16" customHeight="1" x14ac:dyDescent="0.25">
      <c r="A10" s="185">
        <f>Names!A10</f>
        <v>5</v>
      </c>
      <c r="B10" s="186">
        <f>Names!$B:$B</f>
        <v>0</v>
      </c>
      <c r="C10" s="115"/>
      <c r="D10" s="115"/>
      <c r="E10" s="115"/>
      <c r="F10" s="115"/>
      <c r="G10" s="116"/>
      <c r="H10" s="114"/>
      <c r="I10" s="115"/>
      <c r="J10" s="115"/>
      <c r="K10" s="115"/>
      <c r="L10" s="116"/>
      <c r="M10" s="114"/>
      <c r="N10" s="115"/>
      <c r="O10" s="115"/>
      <c r="P10" s="115"/>
      <c r="Q10" s="116"/>
      <c r="R10" s="114"/>
      <c r="S10" s="115"/>
      <c r="T10" s="115"/>
      <c r="U10" s="115"/>
      <c r="V10" s="115"/>
      <c r="W10" s="114"/>
      <c r="X10" s="115"/>
      <c r="Y10" s="115"/>
      <c r="Z10" s="115"/>
      <c r="AA10" s="116"/>
      <c r="AB10" s="114"/>
      <c r="AC10" s="115"/>
      <c r="AD10" s="115"/>
      <c r="AE10" s="115"/>
      <c r="AF10" s="116"/>
      <c r="AG10" s="121"/>
      <c r="AK10" s="123"/>
      <c r="AL10" s="121"/>
      <c r="AP10" s="123"/>
      <c r="AQ10" s="121"/>
      <c r="AU10" s="123"/>
      <c r="AV10" s="121"/>
      <c r="BA10" s="123"/>
    </row>
    <row r="11" spans="1:56" ht="16" customHeight="1" x14ac:dyDescent="0.25">
      <c r="A11" s="185">
        <f>Names!A11</f>
        <v>6</v>
      </c>
      <c r="B11" s="186">
        <f>Names!$B:$B</f>
        <v>0</v>
      </c>
      <c r="C11" s="115"/>
      <c r="D11" s="115"/>
      <c r="E11" s="115"/>
      <c r="F11" s="115"/>
      <c r="G11" s="116"/>
      <c r="H11" s="114"/>
      <c r="I11" s="115"/>
      <c r="J11" s="115"/>
      <c r="K11" s="115"/>
      <c r="L11" s="116"/>
      <c r="M11" s="114"/>
      <c r="N11" s="115"/>
      <c r="O11" s="115"/>
      <c r="P11" s="115"/>
      <c r="Q11" s="116"/>
      <c r="R11" s="114"/>
      <c r="S11" s="115"/>
      <c r="T11" s="115"/>
      <c r="U11" s="115"/>
      <c r="V11" s="115"/>
      <c r="W11" s="114"/>
      <c r="X11" s="115"/>
      <c r="Y11" s="115"/>
      <c r="Z11" s="115"/>
      <c r="AA11" s="116"/>
      <c r="AB11" s="114"/>
      <c r="AC11" s="115"/>
      <c r="AD11" s="115"/>
      <c r="AE11" s="115"/>
      <c r="AF11" s="116"/>
      <c r="AG11" s="121"/>
      <c r="AK11" s="123"/>
      <c r="AL11" s="121"/>
      <c r="AP11" s="123"/>
      <c r="AQ11" s="121"/>
      <c r="AU11" s="123"/>
      <c r="AV11" s="121"/>
      <c r="BA11" s="123"/>
    </row>
    <row r="12" spans="1:56" ht="16" customHeight="1" x14ac:dyDescent="0.25">
      <c r="A12" s="185">
        <f>Names!A12</f>
        <v>7</v>
      </c>
      <c r="B12" s="186">
        <f>Names!$B:$B</f>
        <v>0</v>
      </c>
      <c r="C12" s="115"/>
      <c r="D12" s="115"/>
      <c r="E12" s="115"/>
      <c r="F12" s="115"/>
      <c r="G12" s="116"/>
      <c r="H12" s="114"/>
      <c r="I12" s="115"/>
      <c r="J12" s="115"/>
      <c r="K12" s="115"/>
      <c r="L12" s="116"/>
      <c r="M12" s="114"/>
      <c r="N12" s="115"/>
      <c r="O12" s="115"/>
      <c r="P12" s="115"/>
      <c r="Q12" s="116"/>
      <c r="R12" s="114"/>
      <c r="S12" s="115"/>
      <c r="T12" s="115"/>
      <c r="U12" s="115"/>
      <c r="V12" s="115"/>
      <c r="W12" s="114"/>
      <c r="X12" s="115"/>
      <c r="Y12" s="115"/>
      <c r="Z12" s="115"/>
      <c r="AA12" s="116"/>
      <c r="AB12" s="114"/>
      <c r="AC12" s="115"/>
      <c r="AD12" s="115"/>
      <c r="AE12" s="115"/>
      <c r="AF12" s="116"/>
      <c r="AG12" s="121"/>
      <c r="AK12" s="123"/>
      <c r="AL12" s="121"/>
      <c r="AP12" s="123"/>
      <c r="AQ12" s="121"/>
      <c r="AU12" s="123"/>
      <c r="AV12" s="121"/>
      <c r="BA12" s="123"/>
    </row>
    <row r="13" spans="1:56" ht="16" customHeight="1" x14ac:dyDescent="0.25">
      <c r="A13" s="185">
        <f>Names!A13</f>
        <v>8</v>
      </c>
      <c r="B13" s="186">
        <f>Names!$B:$B</f>
        <v>0</v>
      </c>
      <c r="C13" s="115"/>
      <c r="D13" s="115"/>
      <c r="E13" s="115"/>
      <c r="F13" s="115"/>
      <c r="G13" s="116"/>
      <c r="H13" s="114"/>
      <c r="I13" s="115"/>
      <c r="J13" s="115"/>
      <c r="K13" s="115"/>
      <c r="L13" s="116"/>
      <c r="M13" s="114"/>
      <c r="N13" s="115"/>
      <c r="O13" s="115"/>
      <c r="P13" s="115"/>
      <c r="Q13" s="116"/>
      <c r="R13" s="114"/>
      <c r="S13" s="115"/>
      <c r="T13" s="115"/>
      <c r="U13" s="115"/>
      <c r="V13" s="115"/>
      <c r="W13" s="114"/>
      <c r="X13" s="115"/>
      <c r="Y13" s="115"/>
      <c r="Z13" s="115"/>
      <c r="AA13" s="116"/>
      <c r="AB13" s="114"/>
      <c r="AC13" s="115"/>
      <c r="AD13" s="115"/>
      <c r="AE13" s="115"/>
      <c r="AF13" s="116"/>
      <c r="AG13" s="121"/>
      <c r="AK13" s="123"/>
      <c r="AL13" s="121"/>
      <c r="AP13" s="123"/>
      <c r="AQ13" s="121"/>
      <c r="AU13" s="123"/>
      <c r="AV13" s="121"/>
      <c r="BA13" s="123"/>
    </row>
    <row r="14" spans="1:56" ht="16" customHeight="1" x14ac:dyDescent="0.25">
      <c r="A14" s="185">
        <f>Names!A14</f>
        <v>9</v>
      </c>
      <c r="B14" s="186">
        <f>Names!$B:$B</f>
        <v>0</v>
      </c>
      <c r="C14" s="115"/>
      <c r="D14" s="115"/>
      <c r="E14" s="115"/>
      <c r="F14" s="115"/>
      <c r="G14" s="116"/>
      <c r="H14" s="114"/>
      <c r="I14" s="115"/>
      <c r="J14" s="115"/>
      <c r="K14" s="115"/>
      <c r="L14" s="116"/>
      <c r="M14" s="114"/>
      <c r="N14" s="115"/>
      <c r="O14" s="115"/>
      <c r="P14" s="115"/>
      <c r="Q14" s="116"/>
      <c r="R14" s="114"/>
      <c r="S14" s="115"/>
      <c r="T14" s="115"/>
      <c r="U14" s="115"/>
      <c r="V14" s="115"/>
      <c r="W14" s="114"/>
      <c r="X14" s="115"/>
      <c r="Y14" s="115"/>
      <c r="Z14" s="115"/>
      <c r="AA14" s="116"/>
      <c r="AB14" s="114"/>
      <c r="AC14" s="115"/>
      <c r="AD14" s="115"/>
      <c r="AE14" s="115"/>
      <c r="AF14" s="116"/>
      <c r="AG14" s="121"/>
      <c r="AK14" s="123"/>
      <c r="AL14" s="121"/>
      <c r="AP14" s="123"/>
      <c r="AQ14" s="121"/>
      <c r="AU14" s="123"/>
      <c r="AV14" s="121"/>
      <c r="BA14" s="123"/>
    </row>
    <row r="15" spans="1:56" ht="16" customHeight="1" x14ac:dyDescent="0.25">
      <c r="A15" s="185">
        <f>Names!A15</f>
        <v>10</v>
      </c>
      <c r="B15" s="186">
        <f>Names!$B:$B</f>
        <v>0</v>
      </c>
      <c r="C15" s="115"/>
      <c r="D15" s="115"/>
      <c r="E15" s="115"/>
      <c r="F15" s="115"/>
      <c r="G15" s="116"/>
      <c r="H15" s="114"/>
      <c r="I15" s="115"/>
      <c r="J15" s="115"/>
      <c r="K15" s="115"/>
      <c r="L15" s="116"/>
      <c r="M15" s="114"/>
      <c r="N15" s="115"/>
      <c r="O15" s="115"/>
      <c r="P15" s="115"/>
      <c r="Q15" s="116"/>
      <c r="R15" s="114"/>
      <c r="S15" s="115"/>
      <c r="T15" s="115"/>
      <c r="U15" s="115"/>
      <c r="V15" s="115"/>
      <c r="W15" s="114"/>
      <c r="X15" s="115"/>
      <c r="Y15" s="115"/>
      <c r="Z15" s="115"/>
      <c r="AA15" s="116"/>
      <c r="AB15" s="114"/>
      <c r="AC15" s="115"/>
      <c r="AD15" s="115"/>
      <c r="AE15" s="115"/>
      <c r="AF15" s="116"/>
      <c r="AG15" s="121"/>
      <c r="AK15" s="123"/>
      <c r="AL15" s="121"/>
      <c r="AP15" s="123"/>
      <c r="AQ15" s="121"/>
      <c r="AU15" s="123"/>
      <c r="AV15" s="121"/>
      <c r="BA15" s="123"/>
    </row>
    <row r="16" spans="1:56" ht="16" customHeight="1" x14ac:dyDescent="0.25">
      <c r="A16" s="185">
        <f>Names!A16</f>
        <v>11</v>
      </c>
      <c r="B16" s="186">
        <f>Names!$B:$B</f>
        <v>0</v>
      </c>
      <c r="C16" s="115"/>
      <c r="D16" s="115"/>
      <c r="E16" s="115"/>
      <c r="F16" s="115"/>
      <c r="G16" s="116"/>
      <c r="H16" s="114"/>
      <c r="I16" s="115"/>
      <c r="J16" s="115"/>
      <c r="K16" s="115"/>
      <c r="L16" s="116"/>
      <c r="M16" s="114"/>
      <c r="N16" s="115"/>
      <c r="O16" s="115"/>
      <c r="P16" s="115"/>
      <c r="Q16" s="116"/>
      <c r="R16" s="114"/>
      <c r="S16" s="115"/>
      <c r="T16" s="115"/>
      <c r="U16" s="115"/>
      <c r="V16" s="115"/>
      <c r="W16" s="114"/>
      <c r="X16" s="115"/>
      <c r="Y16" s="115"/>
      <c r="Z16" s="115"/>
      <c r="AA16" s="116"/>
      <c r="AB16" s="114"/>
      <c r="AC16" s="115"/>
      <c r="AD16" s="115"/>
      <c r="AE16" s="115"/>
      <c r="AF16" s="116"/>
      <c r="AG16" s="121"/>
      <c r="AK16" s="123"/>
      <c r="AL16" s="121"/>
      <c r="AP16" s="123"/>
      <c r="AQ16" s="121"/>
      <c r="AU16" s="123"/>
      <c r="AV16" s="121"/>
      <c r="BA16" s="123"/>
    </row>
    <row r="17" spans="1:53" ht="16" customHeight="1" x14ac:dyDescent="0.25">
      <c r="A17" s="185">
        <f>Names!A17</f>
        <v>12</v>
      </c>
      <c r="B17" s="186">
        <f>Names!$B:$B</f>
        <v>0</v>
      </c>
      <c r="C17" s="115"/>
      <c r="D17" s="115"/>
      <c r="E17" s="115"/>
      <c r="F17" s="115"/>
      <c r="G17" s="116"/>
      <c r="H17" s="114"/>
      <c r="I17" s="115"/>
      <c r="J17" s="115"/>
      <c r="K17" s="115"/>
      <c r="L17" s="116"/>
      <c r="M17" s="114"/>
      <c r="N17" s="115"/>
      <c r="O17" s="115"/>
      <c r="P17" s="115"/>
      <c r="Q17" s="116"/>
      <c r="R17" s="114"/>
      <c r="S17" s="115"/>
      <c r="T17" s="115"/>
      <c r="U17" s="115"/>
      <c r="V17" s="115"/>
      <c r="W17" s="114"/>
      <c r="X17" s="115"/>
      <c r="Y17" s="115"/>
      <c r="Z17" s="115"/>
      <c r="AA17" s="116"/>
      <c r="AB17" s="114"/>
      <c r="AC17" s="115"/>
      <c r="AD17" s="115"/>
      <c r="AE17" s="115"/>
      <c r="AF17" s="116"/>
      <c r="AG17" s="121"/>
      <c r="AK17" s="123"/>
      <c r="AL17" s="121"/>
      <c r="AP17" s="123"/>
      <c r="AQ17" s="121"/>
      <c r="AU17" s="123"/>
      <c r="AV17" s="121"/>
      <c r="BA17" s="123"/>
    </row>
    <row r="18" spans="1:53" ht="16" customHeight="1" x14ac:dyDescent="0.25">
      <c r="A18" s="185">
        <f>Names!A18</f>
        <v>13</v>
      </c>
      <c r="B18" s="186">
        <f>Names!$B:$B</f>
        <v>0</v>
      </c>
      <c r="C18" s="115"/>
      <c r="D18" s="115"/>
      <c r="E18" s="115"/>
      <c r="F18" s="115"/>
      <c r="G18" s="116"/>
      <c r="H18" s="114"/>
      <c r="I18" s="115"/>
      <c r="J18" s="115"/>
      <c r="K18" s="115"/>
      <c r="L18" s="116"/>
      <c r="M18" s="114"/>
      <c r="N18" s="115"/>
      <c r="O18" s="115"/>
      <c r="P18" s="115"/>
      <c r="Q18" s="116"/>
      <c r="R18" s="114"/>
      <c r="S18" s="115"/>
      <c r="T18" s="115"/>
      <c r="U18" s="115"/>
      <c r="V18" s="115"/>
      <c r="W18" s="114"/>
      <c r="X18" s="115"/>
      <c r="Y18" s="115"/>
      <c r="Z18" s="115"/>
      <c r="AA18" s="116"/>
      <c r="AB18" s="114"/>
      <c r="AC18" s="115"/>
      <c r="AD18" s="115"/>
      <c r="AE18" s="115"/>
      <c r="AF18" s="116"/>
      <c r="AG18" s="121"/>
      <c r="AK18" s="123"/>
      <c r="AL18" s="121"/>
      <c r="AP18" s="123"/>
      <c r="AQ18" s="121"/>
      <c r="AU18" s="123"/>
      <c r="AV18" s="121"/>
      <c r="BA18" s="123"/>
    </row>
    <row r="19" spans="1:53" ht="16" customHeight="1" x14ac:dyDescent="0.25">
      <c r="A19" s="185">
        <f>Names!A19</f>
        <v>14</v>
      </c>
      <c r="B19" s="186">
        <f>Names!$B:$B</f>
        <v>0</v>
      </c>
      <c r="C19" s="115"/>
      <c r="D19" s="115"/>
      <c r="E19" s="115"/>
      <c r="F19" s="115"/>
      <c r="G19" s="116"/>
      <c r="H19" s="114"/>
      <c r="I19" s="115"/>
      <c r="J19" s="115"/>
      <c r="K19" s="115"/>
      <c r="L19" s="116"/>
      <c r="M19" s="114"/>
      <c r="N19" s="115"/>
      <c r="O19" s="115"/>
      <c r="P19" s="115"/>
      <c r="Q19" s="116"/>
      <c r="R19" s="114"/>
      <c r="S19" s="115"/>
      <c r="T19" s="115"/>
      <c r="U19" s="115"/>
      <c r="V19" s="115"/>
      <c r="W19" s="114"/>
      <c r="X19" s="115"/>
      <c r="Y19" s="115"/>
      <c r="Z19" s="115"/>
      <c r="AA19" s="116"/>
      <c r="AB19" s="114"/>
      <c r="AC19" s="115"/>
      <c r="AD19" s="115"/>
      <c r="AE19" s="115"/>
      <c r="AF19" s="116"/>
      <c r="AG19" s="121"/>
      <c r="AK19" s="123"/>
      <c r="AL19" s="121"/>
      <c r="AP19" s="123"/>
      <c r="AQ19" s="121"/>
      <c r="AU19" s="123"/>
      <c r="AV19" s="121"/>
      <c r="BA19" s="123"/>
    </row>
    <row r="20" spans="1:53" ht="16" customHeight="1" x14ac:dyDescent="0.25">
      <c r="A20" s="185">
        <f>Names!A20</f>
        <v>15</v>
      </c>
      <c r="B20" s="186">
        <f>Names!$B:$B</f>
        <v>0</v>
      </c>
      <c r="C20" s="115"/>
      <c r="D20" s="115"/>
      <c r="E20" s="115"/>
      <c r="F20" s="115"/>
      <c r="G20" s="116"/>
      <c r="H20" s="114"/>
      <c r="I20" s="115"/>
      <c r="J20" s="115"/>
      <c r="K20" s="115"/>
      <c r="L20" s="116"/>
      <c r="M20" s="114"/>
      <c r="N20" s="115"/>
      <c r="O20" s="115"/>
      <c r="P20" s="115"/>
      <c r="Q20" s="116"/>
      <c r="R20" s="114"/>
      <c r="S20" s="115"/>
      <c r="T20" s="115"/>
      <c r="U20" s="115"/>
      <c r="V20" s="115"/>
      <c r="W20" s="114"/>
      <c r="X20" s="115"/>
      <c r="Y20" s="115"/>
      <c r="Z20" s="115"/>
      <c r="AA20" s="116"/>
      <c r="AB20" s="114"/>
      <c r="AC20" s="115"/>
      <c r="AD20" s="115"/>
      <c r="AE20" s="115"/>
      <c r="AF20" s="116"/>
      <c r="AG20" s="121"/>
      <c r="AK20" s="123"/>
      <c r="AL20" s="121"/>
      <c r="AP20" s="123"/>
      <c r="AQ20" s="121"/>
      <c r="AU20" s="123"/>
      <c r="AV20" s="121"/>
      <c r="BA20" s="123"/>
    </row>
    <row r="21" spans="1:53" ht="16" customHeight="1" x14ac:dyDescent="0.25">
      <c r="A21" s="185">
        <f>Names!A21</f>
        <v>16</v>
      </c>
      <c r="B21" s="186">
        <f>Names!$B:$B</f>
        <v>0</v>
      </c>
      <c r="C21" s="115"/>
      <c r="D21" s="115"/>
      <c r="E21" s="115"/>
      <c r="F21" s="115"/>
      <c r="G21" s="116"/>
      <c r="H21" s="114"/>
      <c r="I21" s="115"/>
      <c r="J21" s="115"/>
      <c r="K21" s="115"/>
      <c r="L21" s="116"/>
      <c r="M21" s="114"/>
      <c r="N21" s="115"/>
      <c r="O21" s="115"/>
      <c r="P21" s="115"/>
      <c r="Q21" s="116"/>
      <c r="R21" s="114"/>
      <c r="S21" s="115"/>
      <c r="T21" s="115"/>
      <c r="U21" s="115"/>
      <c r="V21" s="115"/>
      <c r="W21" s="114"/>
      <c r="X21" s="115"/>
      <c r="Y21" s="115"/>
      <c r="Z21" s="115"/>
      <c r="AA21" s="116"/>
      <c r="AB21" s="114"/>
      <c r="AC21" s="115"/>
      <c r="AD21" s="115"/>
      <c r="AE21" s="115"/>
      <c r="AF21" s="116"/>
      <c r="AG21" s="121"/>
      <c r="AK21" s="123"/>
      <c r="AL21" s="121"/>
      <c r="AP21" s="123"/>
      <c r="AQ21" s="121"/>
      <c r="AU21" s="123"/>
      <c r="AV21" s="121"/>
      <c r="BA21" s="123"/>
    </row>
    <row r="22" spans="1:53" ht="16" customHeight="1" x14ac:dyDescent="0.25">
      <c r="A22" s="185">
        <f>Names!A22</f>
        <v>17</v>
      </c>
      <c r="B22" s="186">
        <f>Names!$B:$B</f>
        <v>0</v>
      </c>
      <c r="C22" s="115"/>
      <c r="D22" s="115"/>
      <c r="E22" s="115"/>
      <c r="F22" s="115"/>
      <c r="G22" s="116"/>
      <c r="H22" s="114"/>
      <c r="I22" s="115"/>
      <c r="J22" s="115"/>
      <c r="K22" s="115"/>
      <c r="L22" s="116"/>
      <c r="M22" s="114"/>
      <c r="N22" s="115"/>
      <c r="O22" s="115"/>
      <c r="P22" s="115"/>
      <c r="Q22" s="116"/>
      <c r="R22" s="114"/>
      <c r="S22" s="115"/>
      <c r="T22" s="115"/>
      <c r="U22" s="115"/>
      <c r="V22" s="115"/>
      <c r="W22" s="114"/>
      <c r="X22" s="115"/>
      <c r="Y22" s="115"/>
      <c r="Z22" s="115"/>
      <c r="AA22" s="116"/>
      <c r="AB22" s="114"/>
      <c r="AC22" s="115"/>
      <c r="AD22" s="115"/>
      <c r="AE22" s="115"/>
      <c r="AF22" s="116"/>
      <c r="AG22" s="121"/>
      <c r="AK22" s="123"/>
      <c r="AL22" s="121"/>
      <c r="AP22" s="123"/>
      <c r="AQ22" s="121"/>
      <c r="AU22" s="123"/>
      <c r="AV22" s="121"/>
      <c r="BA22" s="123"/>
    </row>
    <row r="23" spans="1:53" ht="16" customHeight="1" x14ac:dyDescent="0.25">
      <c r="A23" s="185">
        <f>Names!A23</f>
        <v>18</v>
      </c>
      <c r="B23" s="186">
        <f>Names!$B:$B</f>
        <v>0</v>
      </c>
      <c r="C23" s="115"/>
      <c r="D23" s="115"/>
      <c r="E23" s="115"/>
      <c r="F23" s="115"/>
      <c r="G23" s="116"/>
      <c r="H23" s="114"/>
      <c r="I23" s="115"/>
      <c r="J23" s="115"/>
      <c r="K23" s="115"/>
      <c r="L23" s="116"/>
      <c r="M23" s="114"/>
      <c r="N23" s="115"/>
      <c r="O23" s="115"/>
      <c r="P23" s="115"/>
      <c r="Q23" s="116"/>
      <c r="R23" s="114"/>
      <c r="S23" s="115"/>
      <c r="T23" s="115"/>
      <c r="U23" s="115"/>
      <c r="V23" s="115"/>
      <c r="W23" s="114"/>
      <c r="X23" s="115"/>
      <c r="Y23" s="115"/>
      <c r="Z23" s="115"/>
      <c r="AA23" s="116"/>
      <c r="AB23" s="114"/>
      <c r="AC23" s="115"/>
      <c r="AD23" s="115"/>
      <c r="AE23" s="115"/>
      <c r="AF23" s="116"/>
      <c r="AG23" s="121"/>
      <c r="AK23" s="123"/>
      <c r="AL23" s="121"/>
      <c r="AP23" s="123"/>
      <c r="AQ23" s="121"/>
      <c r="AU23" s="123"/>
      <c r="AV23" s="121"/>
      <c r="BA23" s="123"/>
    </row>
    <row r="24" spans="1:53" ht="16" customHeight="1" x14ac:dyDescent="0.25">
      <c r="A24" s="185">
        <f>Names!A24</f>
        <v>19</v>
      </c>
      <c r="B24" s="186">
        <f>Names!$B:$B</f>
        <v>0</v>
      </c>
      <c r="C24" s="115"/>
      <c r="D24" s="115"/>
      <c r="E24" s="115"/>
      <c r="F24" s="115"/>
      <c r="G24" s="116"/>
      <c r="H24" s="114"/>
      <c r="I24" s="115"/>
      <c r="J24" s="115"/>
      <c r="K24" s="115"/>
      <c r="L24" s="116"/>
      <c r="M24" s="114"/>
      <c r="N24" s="115"/>
      <c r="O24" s="115"/>
      <c r="P24" s="115"/>
      <c r="Q24" s="116"/>
      <c r="R24" s="114"/>
      <c r="S24" s="115"/>
      <c r="T24" s="115"/>
      <c r="U24" s="115"/>
      <c r="V24" s="115"/>
      <c r="W24" s="114"/>
      <c r="X24" s="115"/>
      <c r="Y24" s="115"/>
      <c r="Z24" s="115"/>
      <c r="AA24" s="116"/>
      <c r="AB24" s="114"/>
      <c r="AC24" s="115"/>
      <c r="AD24" s="115"/>
      <c r="AE24" s="115"/>
      <c r="AF24" s="116"/>
      <c r="AG24" s="121"/>
      <c r="AK24" s="123"/>
      <c r="AL24" s="121"/>
      <c r="AP24" s="123"/>
      <c r="AQ24" s="121"/>
      <c r="AU24" s="123"/>
      <c r="AV24" s="121"/>
      <c r="BA24" s="123"/>
    </row>
    <row r="25" spans="1:53" ht="16" customHeight="1" x14ac:dyDescent="0.25">
      <c r="A25" s="185">
        <f>Names!A25</f>
        <v>20</v>
      </c>
      <c r="B25" s="186">
        <f>Names!$B:$B</f>
        <v>0</v>
      </c>
      <c r="C25" s="115"/>
      <c r="D25" s="115"/>
      <c r="E25" s="115"/>
      <c r="F25" s="115"/>
      <c r="G25" s="116"/>
      <c r="H25" s="114"/>
      <c r="I25" s="115"/>
      <c r="J25" s="115"/>
      <c r="K25" s="115"/>
      <c r="L25" s="116"/>
      <c r="M25" s="114"/>
      <c r="N25" s="115"/>
      <c r="O25" s="115"/>
      <c r="P25" s="115"/>
      <c r="Q25" s="116"/>
      <c r="R25" s="114"/>
      <c r="S25" s="115"/>
      <c r="T25" s="115"/>
      <c r="U25" s="115"/>
      <c r="V25" s="115"/>
      <c r="W25" s="114"/>
      <c r="X25" s="115"/>
      <c r="Y25" s="115"/>
      <c r="Z25" s="115"/>
      <c r="AA25" s="116"/>
      <c r="AB25" s="114"/>
      <c r="AC25" s="115"/>
      <c r="AD25" s="115"/>
      <c r="AE25" s="115"/>
      <c r="AF25" s="116"/>
      <c r="AG25" s="121"/>
      <c r="AK25" s="123"/>
      <c r="AL25" s="121"/>
      <c r="AP25" s="123"/>
      <c r="AQ25" s="121"/>
      <c r="AU25" s="123"/>
      <c r="AV25" s="121"/>
      <c r="BA25" s="123"/>
    </row>
    <row r="26" spans="1:53" ht="16" customHeight="1" x14ac:dyDescent="0.25">
      <c r="A26" s="185">
        <f>Names!A26</f>
        <v>21</v>
      </c>
      <c r="B26" s="186">
        <f>Names!$B:$B</f>
        <v>0</v>
      </c>
      <c r="C26" s="115"/>
      <c r="D26" s="115"/>
      <c r="E26" s="115"/>
      <c r="F26" s="115"/>
      <c r="G26" s="116"/>
      <c r="H26" s="114"/>
      <c r="I26" s="115"/>
      <c r="J26" s="115"/>
      <c r="K26" s="115"/>
      <c r="L26" s="116"/>
      <c r="M26" s="114"/>
      <c r="N26" s="115"/>
      <c r="O26" s="115"/>
      <c r="P26" s="115"/>
      <c r="Q26" s="116"/>
      <c r="R26" s="114"/>
      <c r="S26" s="115"/>
      <c r="T26" s="115"/>
      <c r="U26" s="115"/>
      <c r="V26" s="115"/>
      <c r="W26" s="114"/>
      <c r="X26" s="115"/>
      <c r="Y26" s="115"/>
      <c r="Z26" s="115"/>
      <c r="AA26" s="116"/>
      <c r="AB26" s="114"/>
      <c r="AC26" s="115"/>
      <c r="AD26" s="115"/>
      <c r="AE26" s="115"/>
      <c r="AF26" s="116"/>
      <c r="AG26" s="121"/>
      <c r="AK26" s="123"/>
      <c r="AL26" s="121"/>
      <c r="AP26" s="123"/>
      <c r="AQ26" s="121"/>
      <c r="AU26" s="123"/>
      <c r="AV26" s="121"/>
      <c r="BA26" s="123"/>
    </row>
    <row r="27" spans="1:53" ht="16" customHeight="1" x14ac:dyDescent="0.25">
      <c r="A27" s="185">
        <f>Names!A27</f>
        <v>22</v>
      </c>
      <c r="B27" s="186">
        <f>Names!$B:$B</f>
        <v>0</v>
      </c>
      <c r="C27" s="115"/>
      <c r="D27" s="115"/>
      <c r="E27" s="115"/>
      <c r="F27" s="115"/>
      <c r="G27" s="116"/>
      <c r="H27" s="114"/>
      <c r="I27" s="115"/>
      <c r="J27" s="115"/>
      <c r="K27" s="115"/>
      <c r="L27" s="116"/>
      <c r="M27" s="114"/>
      <c r="N27" s="115"/>
      <c r="O27" s="115"/>
      <c r="P27" s="115"/>
      <c r="Q27" s="116"/>
      <c r="R27" s="114"/>
      <c r="S27" s="115"/>
      <c r="T27" s="115"/>
      <c r="U27" s="115"/>
      <c r="V27" s="115"/>
      <c r="W27" s="114"/>
      <c r="X27" s="115"/>
      <c r="Y27" s="115"/>
      <c r="Z27" s="115"/>
      <c r="AA27" s="116"/>
      <c r="AB27" s="114"/>
      <c r="AC27" s="115"/>
      <c r="AD27" s="115"/>
      <c r="AE27" s="115"/>
      <c r="AF27" s="116"/>
      <c r="AG27" s="121"/>
      <c r="AK27" s="123"/>
      <c r="AL27" s="121"/>
      <c r="AP27" s="123"/>
      <c r="AQ27" s="121"/>
      <c r="AU27" s="123"/>
      <c r="AV27" s="121"/>
      <c r="BA27" s="123"/>
    </row>
    <row r="28" spans="1:53" ht="16" customHeight="1" x14ac:dyDescent="0.25">
      <c r="A28" s="185">
        <f>Names!A28</f>
        <v>23</v>
      </c>
      <c r="B28" s="186">
        <f>Names!$B:$B</f>
        <v>0</v>
      </c>
      <c r="C28" s="115"/>
      <c r="D28" s="115"/>
      <c r="E28" s="115"/>
      <c r="F28" s="115"/>
      <c r="G28" s="116"/>
      <c r="H28" s="114"/>
      <c r="I28" s="115"/>
      <c r="J28" s="115"/>
      <c r="K28" s="115"/>
      <c r="L28" s="116"/>
      <c r="M28" s="114"/>
      <c r="N28" s="115"/>
      <c r="O28" s="115"/>
      <c r="P28" s="115"/>
      <c r="Q28" s="116"/>
      <c r="R28" s="114"/>
      <c r="S28" s="115"/>
      <c r="T28" s="115"/>
      <c r="U28" s="115"/>
      <c r="V28" s="115"/>
      <c r="W28" s="114"/>
      <c r="X28" s="115"/>
      <c r="Y28" s="115"/>
      <c r="Z28" s="115"/>
      <c r="AA28" s="116"/>
      <c r="AB28" s="114"/>
      <c r="AC28" s="115"/>
      <c r="AD28" s="115"/>
      <c r="AE28" s="115"/>
      <c r="AF28" s="116"/>
      <c r="AG28" s="121"/>
      <c r="AK28" s="123"/>
      <c r="AL28" s="121"/>
      <c r="AP28" s="123"/>
      <c r="AQ28" s="121"/>
      <c r="AU28" s="123"/>
      <c r="AV28" s="121"/>
      <c r="BA28" s="123"/>
    </row>
    <row r="29" spans="1:53" ht="16" customHeight="1" x14ac:dyDescent="0.25">
      <c r="A29" s="185">
        <f>Names!A29</f>
        <v>24</v>
      </c>
      <c r="B29" s="186">
        <f>Names!$B:$B</f>
        <v>0</v>
      </c>
      <c r="C29" s="115"/>
      <c r="D29" s="115"/>
      <c r="E29" s="115"/>
      <c r="F29" s="115"/>
      <c r="G29" s="116"/>
      <c r="H29" s="114"/>
      <c r="I29" s="115"/>
      <c r="J29" s="115"/>
      <c r="K29" s="115"/>
      <c r="L29" s="116"/>
      <c r="M29" s="114"/>
      <c r="N29" s="115"/>
      <c r="O29" s="115"/>
      <c r="P29" s="115"/>
      <c r="Q29" s="116"/>
      <c r="R29" s="114"/>
      <c r="S29" s="115"/>
      <c r="T29" s="115"/>
      <c r="U29" s="115"/>
      <c r="V29" s="115"/>
      <c r="W29" s="114"/>
      <c r="X29" s="115"/>
      <c r="Y29" s="115"/>
      <c r="Z29" s="115"/>
      <c r="AA29" s="116"/>
      <c r="AB29" s="114"/>
      <c r="AC29" s="115"/>
      <c r="AD29" s="115"/>
      <c r="AE29" s="115"/>
      <c r="AF29" s="116"/>
      <c r="AG29" s="121"/>
      <c r="AK29" s="123"/>
      <c r="AL29" s="121"/>
      <c r="AP29" s="123"/>
      <c r="AQ29" s="121"/>
      <c r="AU29" s="123"/>
      <c r="AV29" s="121"/>
      <c r="BA29" s="123"/>
    </row>
    <row r="30" spans="1:53" ht="16" customHeight="1" x14ac:dyDescent="0.25">
      <c r="A30" s="185">
        <f>Names!A30</f>
        <v>25</v>
      </c>
      <c r="B30" s="186">
        <f>Names!$B:$B</f>
        <v>0</v>
      </c>
      <c r="C30" s="115"/>
      <c r="D30" s="115"/>
      <c r="E30" s="115"/>
      <c r="F30" s="115"/>
      <c r="G30" s="116"/>
      <c r="H30" s="114"/>
      <c r="I30" s="115"/>
      <c r="J30" s="115"/>
      <c r="K30" s="115"/>
      <c r="L30" s="116"/>
      <c r="M30" s="114"/>
      <c r="N30" s="115"/>
      <c r="O30" s="115"/>
      <c r="P30" s="115"/>
      <c r="Q30" s="116"/>
      <c r="R30" s="114"/>
      <c r="S30" s="115"/>
      <c r="T30" s="115"/>
      <c r="U30" s="115"/>
      <c r="V30" s="115"/>
      <c r="W30" s="114"/>
      <c r="X30" s="115"/>
      <c r="Y30" s="115"/>
      <c r="Z30" s="115"/>
      <c r="AA30" s="116"/>
      <c r="AB30" s="114"/>
      <c r="AC30" s="115"/>
      <c r="AD30" s="115"/>
      <c r="AE30" s="115"/>
      <c r="AF30" s="116"/>
      <c r="AG30" s="121"/>
      <c r="AK30" s="123"/>
      <c r="AL30" s="121"/>
      <c r="AP30" s="123"/>
      <c r="AQ30" s="121"/>
      <c r="AU30" s="123"/>
      <c r="AV30" s="121"/>
      <c r="BA30" s="123"/>
    </row>
    <row r="31" spans="1:53" ht="16" customHeight="1" x14ac:dyDescent="0.25">
      <c r="A31" s="185">
        <f>Names!A31</f>
        <v>26</v>
      </c>
      <c r="B31" s="186">
        <f>Names!$B:$B</f>
        <v>0</v>
      </c>
      <c r="C31" s="115"/>
      <c r="D31" s="115"/>
      <c r="E31" s="115"/>
      <c r="F31" s="115"/>
      <c r="G31" s="116"/>
      <c r="H31" s="114"/>
      <c r="I31" s="115"/>
      <c r="J31" s="115"/>
      <c r="K31" s="115"/>
      <c r="L31" s="116"/>
      <c r="M31" s="114"/>
      <c r="N31" s="115"/>
      <c r="O31" s="115"/>
      <c r="P31" s="115"/>
      <c r="Q31" s="116"/>
      <c r="R31" s="114"/>
      <c r="S31" s="115"/>
      <c r="T31" s="115"/>
      <c r="U31" s="115"/>
      <c r="V31" s="115"/>
      <c r="W31" s="114"/>
      <c r="X31" s="115"/>
      <c r="Y31" s="115"/>
      <c r="Z31" s="115"/>
      <c r="AA31" s="116"/>
      <c r="AB31" s="114"/>
      <c r="AC31" s="115"/>
      <c r="AD31" s="115"/>
      <c r="AE31" s="115"/>
      <c r="AF31" s="116"/>
      <c r="AG31" s="121"/>
      <c r="AK31" s="123"/>
      <c r="AL31" s="121"/>
      <c r="AP31" s="123"/>
      <c r="AQ31" s="121"/>
      <c r="AU31" s="123"/>
      <c r="AV31" s="121"/>
      <c r="BA31" s="123"/>
    </row>
    <row r="32" spans="1:53" ht="16" customHeight="1" x14ac:dyDescent="0.25">
      <c r="A32" s="185">
        <f>Names!A32</f>
        <v>27</v>
      </c>
      <c r="B32" s="186">
        <f>Names!$B:$B</f>
        <v>0</v>
      </c>
      <c r="C32" s="115"/>
      <c r="D32" s="115"/>
      <c r="E32" s="115"/>
      <c r="F32" s="115"/>
      <c r="G32" s="116"/>
      <c r="H32" s="114"/>
      <c r="I32" s="115"/>
      <c r="J32" s="115"/>
      <c r="K32" s="115"/>
      <c r="L32" s="116"/>
      <c r="M32" s="114"/>
      <c r="N32" s="115"/>
      <c r="O32" s="115"/>
      <c r="P32" s="115"/>
      <c r="Q32" s="116"/>
      <c r="R32" s="114"/>
      <c r="S32" s="115"/>
      <c r="T32" s="115"/>
      <c r="U32" s="115"/>
      <c r="V32" s="115"/>
      <c r="W32" s="114"/>
      <c r="X32" s="115"/>
      <c r="Y32" s="115"/>
      <c r="Z32" s="115"/>
      <c r="AA32" s="116"/>
      <c r="AB32" s="114"/>
      <c r="AC32" s="115"/>
      <c r="AD32" s="115"/>
      <c r="AE32" s="115"/>
      <c r="AF32" s="116"/>
      <c r="AG32" s="121"/>
      <c r="AK32" s="123"/>
      <c r="AL32" s="121"/>
      <c r="AP32" s="123"/>
      <c r="AQ32" s="121"/>
      <c r="AU32" s="123"/>
      <c r="AV32" s="121"/>
      <c r="BA32" s="123"/>
    </row>
    <row r="33" spans="1:53" ht="16" customHeight="1" x14ac:dyDescent="0.25">
      <c r="A33" s="185">
        <f>Names!A33</f>
        <v>28</v>
      </c>
      <c r="B33" s="186">
        <f>Names!$B:$B</f>
        <v>0</v>
      </c>
      <c r="C33" s="115"/>
      <c r="D33" s="115"/>
      <c r="E33" s="115"/>
      <c r="F33" s="115"/>
      <c r="G33" s="116"/>
      <c r="H33" s="114"/>
      <c r="I33" s="115"/>
      <c r="J33" s="115"/>
      <c r="K33" s="115"/>
      <c r="L33" s="116"/>
      <c r="M33" s="114"/>
      <c r="N33" s="115"/>
      <c r="O33" s="115"/>
      <c r="P33" s="115"/>
      <c r="Q33" s="116"/>
      <c r="R33" s="114"/>
      <c r="S33" s="115"/>
      <c r="T33" s="115"/>
      <c r="U33" s="115"/>
      <c r="V33" s="115"/>
      <c r="W33" s="114"/>
      <c r="X33" s="115"/>
      <c r="Y33" s="115"/>
      <c r="Z33" s="115"/>
      <c r="AA33" s="116"/>
      <c r="AB33" s="114"/>
      <c r="AC33" s="115"/>
      <c r="AD33" s="115"/>
      <c r="AE33" s="115"/>
      <c r="AF33" s="116"/>
      <c r="AG33" s="121"/>
      <c r="AK33" s="123"/>
      <c r="AL33" s="121"/>
      <c r="AP33" s="123"/>
      <c r="AQ33" s="121"/>
      <c r="AU33" s="123"/>
      <c r="AV33" s="121"/>
      <c r="BA33" s="123"/>
    </row>
    <row r="34" spans="1:53" ht="16" customHeight="1" x14ac:dyDescent="0.25">
      <c r="A34" s="185">
        <f>Names!A34</f>
        <v>29</v>
      </c>
      <c r="B34" s="186">
        <f>Names!$B:$B</f>
        <v>0</v>
      </c>
      <c r="C34" s="115"/>
      <c r="D34" s="115"/>
      <c r="E34" s="115"/>
      <c r="F34" s="115"/>
      <c r="G34" s="116"/>
      <c r="H34" s="114"/>
      <c r="I34" s="115"/>
      <c r="J34" s="115"/>
      <c r="K34" s="115"/>
      <c r="L34" s="116"/>
      <c r="M34" s="114"/>
      <c r="N34" s="115"/>
      <c r="O34" s="115"/>
      <c r="P34" s="115"/>
      <c r="Q34" s="116"/>
      <c r="R34" s="114"/>
      <c r="S34" s="115"/>
      <c r="T34" s="115"/>
      <c r="U34" s="115"/>
      <c r="V34" s="115"/>
      <c r="W34" s="114"/>
      <c r="X34" s="115"/>
      <c r="Y34" s="115"/>
      <c r="Z34" s="115"/>
      <c r="AA34" s="116"/>
      <c r="AB34" s="114"/>
      <c r="AC34" s="115"/>
      <c r="AD34" s="115"/>
      <c r="AE34" s="115"/>
      <c r="AF34" s="116"/>
      <c r="AG34" s="121"/>
      <c r="AK34" s="123"/>
      <c r="AL34" s="121"/>
      <c r="AP34" s="123"/>
      <c r="AQ34" s="121"/>
      <c r="AU34" s="123"/>
      <c r="AV34" s="121"/>
      <c r="BA34" s="123"/>
    </row>
    <row r="35" spans="1:53" ht="16" customHeight="1" x14ac:dyDescent="0.25">
      <c r="A35" s="185">
        <f>Names!A35</f>
        <v>30</v>
      </c>
      <c r="B35" s="186">
        <f>Names!$B:$B</f>
        <v>0</v>
      </c>
      <c r="C35" s="115"/>
      <c r="D35" s="115"/>
      <c r="E35" s="115"/>
      <c r="F35" s="115"/>
      <c r="G35" s="116"/>
      <c r="H35" s="114"/>
      <c r="I35" s="115"/>
      <c r="J35" s="115"/>
      <c r="K35" s="115"/>
      <c r="L35" s="116"/>
      <c r="M35" s="114"/>
      <c r="N35" s="115"/>
      <c r="O35" s="115"/>
      <c r="P35" s="115"/>
      <c r="Q35" s="116"/>
      <c r="R35" s="114"/>
      <c r="S35" s="115"/>
      <c r="T35" s="115"/>
      <c r="U35" s="115"/>
      <c r="V35" s="115"/>
      <c r="W35" s="114"/>
      <c r="X35" s="115"/>
      <c r="Y35" s="115"/>
      <c r="Z35" s="115"/>
      <c r="AA35" s="116"/>
      <c r="AB35" s="114"/>
      <c r="AC35" s="115"/>
      <c r="AD35" s="115"/>
      <c r="AE35" s="115"/>
      <c r="AF35" s="116"/>
      <c r="AG35" s="121"/>
      <c r="AK35" s="123"/>
      <c r="AL35" s="121"/>
      <c r="AP35" s="123"/>
      <c r="AQ35" s="121"/>
      <c r="AU35" s="123"/>
      <c r="AV35" s="121"/>
      <c r="BA35" s="123"/>
    </row>
    <row r="36" spans="1:53" ht="15" customHeight="1" x14ac:dyDescent="0.25">
      <c r="A36" s="185">
        <f>Names!A36</f>
        <v>31</v>
      </c>
      <c r="B36" s="186">
        <f>Names!$B:$B</f>
        <v>0</v>
      </c>
      <c r="C36" s="115"/>
      <c r="D36" s="115"/>
      <c r="E36" s="115"/>
      <c r="F36" s="115"/>
      <c r="G36" s="116"/>
      <c r="H36" s="114"/>
      <c r="I36" s="115"/>
      <c r="J36" s="115"/>
      <c r="K36" s="115"/>
      <c r="L36" s="116"/>
      <c r="M36" s="114"/>
      <c r="N36" s="115"/>
      <c r="O36" s="115"/>
      <c r="P36" s="115"/>
      <c r="Q36" s="116"/>
      <c r="R36" s="114"/>
      <c r="S36" s="115"/>
      <c r="T36" s="115"/>
      <c r="U36" s="115"/>
      <c r="V36" s="115"/>
      <c r="W36" s="114"/>
      <c r="X36" s="115"/>
      <c r="Y36" s="115"/>
      <c r="Z36" s="115"/>
      <c r="AA36" s="116"/>
      <c r="AB36" s="114"/>
      <c r="AC36" s="115"/>
      <c r="AD36" s="115"/>
      <c r="AE36" s="115"/>
      <c r="AF36" s="116"/>
      <c r="AG36" s="121"/>
      <c r="AK36" s="123"/>
      <c r="AL36" s="121"/>
      <c r="AP36" s="123"/>
      <c r="AQ36" s="121"/>
      <c r="AU36" s="123"/>
      <c r="AV36" s="121"/>
      <c r="BA36" s="123"/>
    </row>
    <row r="37" spans="1:53" ht="15" customHeight="1" thickBot="1" x14ac:dyDescent="0.3">
      <c r="A37" s="185">
        <f>Names!A37</f>
        <v>32</v>
      </c>
      <c r="B37" s="186">
        <f>Names!$B:$B</f>
        <v>0</v>
      </c>
      <c r="C37" s="125"/>
      <c r="D37" s="125"/>
      <c r="E37" s="125"/>
      <c r="F37" s="125"/>
      <c r="G37" s="126"/>
      <c r="H37" s="124"/>
      <c r="I37" s="125"/>
      <c r="J37" s="125"/>
      <c r="K37" s="125"/>
      <c r="L37" s="126"/>
      <c r="M37" s="124"/>
      <c r="N37" s="125"/>
      <c r="O37" s="125"/>
      <c r="P37" s="125"/>
      <c r="Q37" s="126"/>
      <c r="R37" s="124"/>
      <c r="S37" s="125"/>
      <c r="T37" s="125"/>
      <c r="U37" s="125"/>
      <c r="V37" s="125"/>
      <c r="W37" s="124"/>
      <c r="X37" s="125"/>
      <c r="Y37" s="125"/>
      <c r="Z37" s="125"/>
      <c r="AA37" s="126"/>
      <c r="AB37" s="124"/>
      <c r="AC37" s="125"/>
      <c r="AD37" s="125"/>
      <c r="AE37" s="125"/>
      <c r="AF37" s="126"/>
      <c r="AG37" s="127"/>
      <c r="AH37" s="128"/>
      <c r="AI37" s="128"/>
      <c r="AJ37" s="128"/>
      <c r="AK37" s="129"/>
      <c r="AL37" s="127"/>
      <c r="AM37" s="128"/>
      <c r="AN37" s="128"/>
      <c r="AO37" s="128"/>
      <c r="AP37" s="129"/>
      <c r="AQ37" s="127"/>
      <c r="AR37" s="128"/>
      <c r="AS37" s="128"/>
      <c r="AT37" s="128"/>
      <c r="AU37" s="129"/>
      <c r="AV37" s="127"/>
      <c r="AW37" s="128"/>
      <c r="AX37" s="128"/>
      <c r="AY37" s="128"/>
      <c r="AZ37" s="128"/>
      <c r="BA37" s="129"/>
    </row>
    <row r="38" spans="1:53" ht="15" customHeight="1" x14ac:dyDescent="0.25">
      <c r="A38" s="185">
        <f>Names!A38</f>
        <v>33</v>
      </c>
      <c r="B38" s="186">
        <f>Names!$B:$B</f>
        <v>0</v>
      </c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</row>
    <row r="39" spans="1:53" ht="15" customHeight="1" x14ac:dyDescent="0.25">
      <c r="A39" s="185">
        <f>Names!A39</f>
        <v>34</v>
      </c>
      <c r="B39" s="186">
        <f>Names!$B:$B</f>
        <v>0</v>
      </c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</row>
    <row r="40" spans="1:53" ht="15" customHeight="1" thickBot="1" x14ac:dyDescent="0.3">
      <c r="A40" s="187">
        <f>Names!A40</f>
        <v>35</v>
      </c>
      <c r="B40" s="188">
        <f>Names!$B:$B</f>
        <v>0</v>
      </c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</row>
  </sheetData>
  <sheetCalcPr fullCalcOnLoad="1"/>
  <mergeCells count="10">
    <mergeCell ref="C3:G3"/>
    <mergeCell ref="H3:L3"/>
    <mergeCell ref="M3:Q3"/>
    <mergeCell ref="R3:V3"/>
    <mergeCell ref="AQ3:AU3"/>
    <mergeCell ref="AV3:BA3"/>
    <mergeCell ref="W3:AA3"/>
    <mergeCell ref="AB3:AF3"/>
    <mergeCell ref="AG3:AK3"/>
    <mergeCell ref="AL3:AP3"/>
  </mergeCells>
  <phoneticPr fontId="0" type="noConversion"/>
  <printOptions gridLines="1"/>
  <pageMargins left="0.5" right="0.5" top="0.5" bottom="0.5" header="0.5" footer="0.5"/>
  <pageSetup scale="97" orientation="landscape" r:id="rId1"/>
  <headerFooter alignWithMargins="0"/>
  <colBreaks count="1" manualBreakCount="1">
    <brk id="27" max="3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21</vt:i4>
      </vt:variant>
    </vt:vector>
  </HeadingPairs>
  <TitlesOfParts>
    <vt:vector size="32" baseType="lpstr">
      <vt:lpstr>Names</vt:lpstr>
      <vt:lpstr>Progress Report</vt:lpstr>
      <vt:lpstr>Test Grade</vt:lpstr>
      <vt:lpstr>Quiz Grade</vt:lpstr>
      <vt:lpstr>Notebook Grade</vt:lpstr>
      <vt:lpstr>Homework Grade</vt:lpstr>
      <vt:lpstr>Participation Grade</vt:lpstr>
      <vt:lpstr>Seating Chart</vt:lpstr>
      <vt:lpstr>Attendance sheet</vt:lpstr>
      <vt:lpstr>Daily Grade</vt:lpstr>
      <vt:lpstr>Attendance Sheet 2</vt:lpstr>
      <vt:lpstr>'Attendance sheet'!Print_Area</vt:lpstr>
      <vt:lpstr>'Attendance Sheet 2'!Print_Area</vt:lpstr>
      <vt:lpstr>'Daily Grade'!Print_Area</vt:lpstr>
      <vt:lpstr>'Homework Grade'!Print_Area</vt:lpstr>
      <vt:lpstr>Names!Print_Area</vt:lpstr>
      <vt:lpstr>'Notebook Grade'!Print_Area</vt:lpstr>
      <vt:lpstr>'Participation Grade'!Print_Area</vt:lpstr>
      <vt:lpstr>'Progress Report'!Print_Area</vt:lpstr>
      <vt:lpstr>'Quiz Grade'!Print_Area</vt:lpstr>
      <vt:lpstr>'Seating Chart'!Print_Area</vt:lpstr>
      <vt:lpstr>'Test Grade'!Print_Area</vt:lpstr>
      <vt:lpstr>'Attendance sheet'!Print_Titles</vt:lpstr>
      <vt:lpstr>'Attendance Sheet 2'!Print_Titles</vt:lpstr>
      <vt:lpstr>'Daily Grade'!Print_Titles</vt:lpstr>
      <vt:lpstr>'Homework Grade'!Print_Titles</vt:lpstr>
      <vt:lpstr>Names!Print_Titles</vt:lpstr>
      <vt:lpstr>'Notebook Grade'!Print_Titles</vt:lpstr>
      <vt:lpstr>'Participation Grade'!Print_Titles</vt:lpstr>
      <vt:lpstr>'Progress Report'!Print_Titles</vt:lpstr>
      <vt:lpstr>'Quiz Grade'!Print_Titles</vt:lpstr>
      <vt:lpstr>'Test Grade'!Print_Titles</vt:lpstr>
    </vt:vector>
  </TitlesOfParts>
  <Company>FCS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Harmless</dc:creator>
  <cp:lastModifiedBy>Carina Negreanu</cp:lastModifiedBy>
  <cp:lastPrinted>2003-09-18T15:06:07Z</cp:lastPrinted>
  <dcterms:created xsi:type="dcterms:W3CDTF">2000-11-20T19:44:12Z</dcterms:created>
  <dcterms:modified xsi:type="dcterms:W3CDTF">2020-01-27T11:39:14Z</dcterms:modified>
</cp:coreProperties>
</file>