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3.xml" ContentType="application/vnd.openxmlformats-officedocument.drawing+xml"/>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embeddings/oleObject8.bin" ContentType="application/vnd.openxmlformats-officedocument.oleObject"/>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4.xml" ContentType="application/vnd.openxmlformats-officedocument.drawing+xml"/>
  <Override PartName="/xl/embeddings/oleObject9.bin" ContentType="application/vnd.openxmlformats-officedocument.oleObject"/>
  <Override PartName="/xl/embeddings/oleObject10.bin" ContentType="application/vnd.openxmlformats-officedocument.oleObject"/>
  <Override PartName="/xl/embeddings/oleObject11.bin" ContentType="application/vnd.openxmlformats-officedocument.oleObject"/>
  <Override PartName="/xl/embeddings/oleObject12.bin" ContentType="application/vnd.openxmlformats-officedocument.oleObject"/>
  <Override PartName="/xl/comments1.xml" ContentType="application/vnd.openxmlformats-officedocument.spreadsheetml.comments+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drawings/drawing5.xml" ContentType="application/vnd.openxmlformats-officedocument.drawing+xml"/>
  <Override PartName="/xl/embeddings/oleObject13.bin" ContentType="application/vnd.openxmlformats-officedocument.oleObject"/>
  <Override PartName="/xl/embeddings/oleObject14.bin" ContentType="application/vnd.openxmlformats-officedocument.oleObject"/>
  <Override PartName="/xl/embeddings/oleObject15.bin" ContentType="application/vnd.openxmlformats-officedocument.oleObject"/>
  <Override PartName="/xl/embeddings/oleObject16.bin" ContentType="application/vnd.openxmlformats-officedocument.oleObject"/>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drawings/drawing6.xml" ContentType="application/vnd.openxmlformats-officedocument.drawing+xml"/>
  <Override PartName="/xl/embeddings/oleObject17.bin" ContentType="application/vnd.openxmlformats-officedocument.oleObject"/>
  <Override PartName="/xl/embeddings/oleObject18.bin" ContentType="application/vnd.openxmlformats-officedocument.oleObject"/>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drawings/drawing7.xml" ContentType="application/vnd.openxmlformats-officedocument.drawing+xml"/>
  <Override PartName="/xl/embeddings/oleObject19.bin" ContentType="application/vnd.openxmlformats-officedocument.oleObject"/>
  <Override PartName="/xl/embeddings/oleObject20.bin" ContentType="application/vnd.openxmlformats-officedocument.oleObject"/>
  <Override PartName="/xl/comments2.xml" ContentType="application/vnd.openxmlformats-officedocument.spreadsheetml.comments+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drawings/drawing8.xml" ContentType="application/vnd.openxmlformats-officedocument.drawing+xml"/>
  <Override PartName="/xl/embeddings/oleObject21.bin" ContentType="application/vnd.openxmlformats-officedocument.oleObject"/>
  <Override PartName="/xl/embeddings/oleObject22.bin" ContentType="application/vnd.openxmlformats-officedocument.oleObject"/>
  <Override PartName="/xl/comments3.xml" ContentType="application/vnd.openxmlformats-officedocument.spreadsheetml.comments+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drawings/drawing9.xml" ContentType="application/vnd.openxmlformats-officedocument.drawing+xml"/>
  <Override PartName="/xl/embeddings/oleObject23.bin" ContentType="application/vnd.openxmlformats-officedocument.oleObject"/>
  <Override PartName="/xl/embeddings/oleObject24.bin" ContentType="application/vnd.openxmlformats-officedocument.oleObject"/>
  <Override PartName="/xl/comments4.xml" ContentType="application/vnd.openxmlformats-officedocument.spreadsheetml.comments+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drawings/drawing10.xml" ContentType="application/vnd.openxmlformats-officedocument.drawing+xml"/>
  <Override PartName="/xl/embeddings/oleObject25.bin" ContentType="application/vnd.openxmlformats-officedocument.oleObject"/>
  <Override PartName="/xl/embeddings/oleObject26.bin" ContentType="application/vnd.openxmlformats-officedocument.oleObject"/>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drawings/drawing11.xml" ContentType="application/vnd.openxmlformats-officedocument.drawing+xml"/>
  <Override PartName="/xl/embeddings/oleObject27.bin" ContentType="application/vnd.openxmlformats-officedocument.oleObject"/>
  <Override PartName="/xl/embeddings/oleObject28.bin" ContentType="application/vnd.openxmlformats-officedocument.oleObject"/>
  <Override PartName="/xl/embeddings/oleObject29.bin" ContentType="application/vnd.openxmlformats-officedocument.oleObject"/>
  <Override PartName="/xl/embeddings/oleObject30.bin" ContentType="application/vnd.openxmlformats-officedocument.oleObject"/>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drawings/drawing12.xml" ContentType="application/vnd.openxmlformats-officedocument.drawing+xml"/>
  <Override PartName="/xl/embeddings/oleObject31.bin" ContentType="application/vnd.openxmlformats-officedocument.oleObject"/>
  <Override PartName="/xl/embeddings/oleObject32.bin" ContentType="application/vnd.openxmlformats-officedocument.oleObject"/>
  <Override PartName="/xl/charts/chart57.xml" ContentType="application/vnd.openxmlformats-officedocument.drawingml.chart+xml"/>
  <Override PartName="/xl/charts/chart58.xml" ContentType="application/vnd.openxmlformats-officedocument.drawingml.chart+xml"/>
  <Override PartName="/xl/charts/chart59.xml" ContentType="application/vnd.openxmlformats-officedocument.drawingml.chart+xml"/>
  <Override PartName="/xl/charts/chart60.xml" ContentType="application/vnd.openxmlformats-officedocument.drawingml.chart+xml"/>
  <Override PartName="/xl/charts/chart61.xml" ContentType="application/vnd.openxmlformats-officedocument.drawingml.chart+xml"/>
  <Override PartName="/xl/charts/chart62.xml" ContentType="application/vnd.openxmlformats-officedocument.drawingml.chart+xml"/>
  <Override PartName="/xl/drawings/drawing13.xml" ContentType="application/vnd.openxmlformats-officedocument.drawing+xml"/>
  <Override PartName="/xl/embeddings/oleObject33.bin" ContentType="application/vnd.openxmlformats-officedocument.oleObject"/>
  <Override PartName="/xl/embeddings/oleObject34.bin" ContentType="application/vnd.openxmlformats-officedocument.oleObject"/>
  <Override PartName="/xl/charts/chart63.xml" ContentType="application/vnd.openxmlformats-officedocument.drawingml.chart+xml"/>
  <Override PartName="/xl/charts/chart64.xml" ContentType="application/vnd.openxmlformats-officedocument.drawingml.chart+xml"/>
  <Override PartName="/xl/charts/chart65.xml" ContentType="application/vnd.openxmlformats-officedocument.drawingml.chart+xml"/>
  <Override PartName="/xl/charts/chart66.xml" ContentType="application/vnd.openxmlformats-officedocument.drawingml.chart+xml"/>
  <Override PartName="/xl/charts/chart6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C879BDF8-A14B-4EFC-9EF7-4219BACA39F1}" xr6:coauthVersionLast="45" xr6:coauthVersionMax="45" xr10:uidLastSave="{00000000-0000-0000-0000-000000000000}"/>
  <bookViews>
    <workbookView xWindow="380" yWindow="380" windowWidth="28800" windowHeight="15460" activeTab="5"/>
  </bookViews>
  <sheets>
    <sheet name="Coil slope intercepts" sheetId="13" r:id="rId1"/>
    <sheet name="Lens 16" sheetId="12" r:id="rId2"/>
    <sheet name="Lens 18" sheetId="11" r:id="rId3"/>
    <sheet name="Lens 17" sheetId="10" r:id="rId4"/>
    <sheet name="Lens 21" sheetId="9" r:id="rId5"/>
    <sheet name="Lens 20" sheetId="8" r:id="rId6"/>
    <sheet name="Lens 22" sheetId="7" r:id="rId7"/>
    <sheet name="Lens 23" sheetId="6" r:id="rId8"/>
    <sheet name="Lens 24" sheetId="5" r:id="rId9"/>
    <sheet name="Lens 25" sheetId="4" r:id="rId10"/>
    <sheet name="Lens 24 retest" sheetId="3" r:id="rId11"/>
    <sheet name="Lens 27" sheetId="2" r:id="rId12"/>
    <sheet name="Lens 28" sheetId="1" r:id="rId13"/>
  </sheets>
  <definedNames>
    <definedName name="_xlnm.Print_Area" localSheetId="1">'Lens 16'!$A$1:$N$48</definedName>
    <definedName name="_xlnm.Print_Area" localSheetId="3">'Lens 17'!$A$1:$N$42</definedName>
    <definedName name="_xlnm.Print_Area" localSheetId="2">'Lens 18'!$A$1:$N$29</definedName>
    <definedName name="_xlnm.Print_Area" localSheetId="5">'Lens 20'!$A$1:$O$48</definedName>
    <definedName name="_xlnm.Print_Area" localSheetId="4">'Lens 21'!$A$1:$N$44</definedName>
    <definedName name="_xlnm.Print_Area" localSheetId="6">'Lens 22'!$A$1:$N$31</definedName>
    <definedName name="_xlnm.Print_Area" localSheetId="7">'Lens 23'!$A$1:$N$27</definedName>
    <definedName name="_xlnm.Print_Area" localSheetId="8">'Lens 24'!$A$1:$N$34</definedName>
    <definedName name="_xlnm.Print_Area" localSheetId="10">'Lens 24 retest'!$A$1:$N$36</definedName>
    <definedName name="_xlnm.Print_Area" localSheetId="9">'Lens 25'!$A$1:$N$34</definedName>
    <definedName name="_xlnm.Print_Area" localSheetId="11">'Lens 27'!$A$1:$N$96</definedName>
    <definedName name="_xlnm.Print_Area" localSheetId="12">'Lens 28'!$A$1:$N$56</definedName>
  </definedNames>
  <calcPr calcId="191029" calcOnSave="0"/>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F47" i="12" l="1"/>
  <c r="F46" i="12"/>
  <c r="F45" i="12"/>
  <c r="F44" i="12"/>
  <c r="F43" i="12"/>
  <c r="F42" i="12"/>
  <c r="F41" i="12"/>
  <c r="F40" i="12"/>
  <c r="F39" i="12"/>
  <c r="F28" i="11"/>
  <c r="F27" i="11"/>
  <c r="F26" i="11"/>
  <c r="F25" i="11"/>
  <c r="F24" i="11"/>
  <c r="F23" i="11"/>
  <c r="F41" i="10"/>
  <c r="F40" i="10"/>
  <c r="F39" i="10"/>
  <c r="F38" i="10"/>
  <c r="F37" i="10"/>
  <c r="F36" i="10"/>
  <c r="F35" i="10"/>
  <c r="F43" i="9"/>
  <c r="F42" i="9"/>
  <c r="F41" i="9"/>
  <c r="F40" i="9"/>
  <c r="F39" i="9"/>
  <c r="F38" i="9"/>
  <c r="F37" i="9"/>
  <c r="F36" i="9"/>
  <c r="F35" i="9"/>
  <c r="F34" i="9"/>
  <c r="F33" i="9"/>
  <c r="G47" i="8"/>
  <c r="G46" i="8"/>
  <c r="G45" i="8"/>
  <c r="G44" i="8"/>
  <c r="G43" i="8"/>
  <c r="G42" i="8"/>
  <c r="G41" i="8"/>
  <c r="G40" i="8"/>
  <c r="G39" i="8"/>
  <c r="G38" i="8"/>
  <c r="G37" i="8"/>
  <c r="E43" i="9"/>
  <c r="E42" i="9"/>
  <c r="E41" i="9"/>
  <c r="E40" i="9"/>
  <c r="E39" i="9"/>
  <c r="E38" i="9"/>
  <c r="E37" i="9"/>
  <c r="E36" i="9"/>
  <c r="E35" i="9"/>
  <c r="E34" i="9"/>
  <c r="E33" i="9"/>
  <c r="F47" i="8"/>
  <c r="F46" i="8"/>
  <c r="F45" i="8"/>
  <c r="F44" i="8"/>
  <c r="F43" i="8"/>
  <c r="F42" i="8"/>
  <c r="F41" i="8"/>
  <c r="F40" i="8"/>
  <c r="F39" i="8"/>
  <c r="F38" i="8"/>
  <c r="F37" i="8"/>
  <c r="E41" i="10"/>
  <c r="E40" i="10"/>
  <c r="E39" i="10"/>
  <c r="E38" i="10"/>
  <c r="E37" i="10"/>
  <c r="E36" i="10"/>
  <c r="E35" i="10"/>
  <c r="E28" i="11"/>
  <c r="E27" i="11"/>
  <c r="E26" i="11"/>
  <c r="E25" i="11"/>
  <c r="E24" i="11"/>
  <c r="E23" i="11"/>
  <c r="E47" i="12"/>
  <c r="E46" i="12"/>
  <c r="E45" i="12"/>
  <c r="E44" i="12"/>
  <c r="E43" i="12"/>
  <c r="E42" i="12"/>
  <c r="E41" i="12"/>
  <c r="E40" i="12"/>
  <c r="E39" i="12"/>
  <c r="G15" i="13"/>
  <c r="W11" i="13" s="1"/>
  <c r="F15" i="13"/>
  <c r="N10" i="13" s="1"/>
  <c r="E15" i="13"/>
  <c r="U4" i="13" s="1"/>
  <c r="D15" i="13"/>
  <c r="L7" i="13" s="1"/>
  <c r="L14" i="13"/>
  <c r="C15" i="13"/>
  <c r="B15" i="13"/>
  <c r="O11" i="13"/>
  <c r="L11" i="13"/>
  <c r="K11" i="13"/>
  <c r="O10" i="13"/>
  <c r="O8" i="13"/>
  <c r="M8" i="13"/>
  <c r="O7" i="13"/>
  <c r="N7" i="13"/>
  <c r="M7" i="13"/>
  <c r="O5" i="13"/>
  <c r="O4" i="13"/>
  <c r="N4" i="13"/>
  <c r="M4" i="13"/>
  <c r="L4" i="13"/>
  <c r="W12" i="13"/>
  <c r="V12" i="13"/>
  <c r="U12" i="13"/>
  <c r="T12" i="13"/>
  <c r="R12" i="13"/>
  <c r="W8" i="13"/>
  <c r="V8" i="13"/>
  <c r="U8" i="13"/>
  <c r="T8" i="13"/>
  <c r="R8" i="13"/>
  <c r="W5" i="13"/>
  <c r="V5" i="13"/>
  <c r="T5" i="13"/>
  <c r="W4" i="13"/>
  <c r="V4" i="13"/>
  <c r="O8" i="12"/>
  <c r="F8" i="12"/>
  <c r="L8" i="12" s="1"/>
  <c r="G2" i="12"/>
  <c r="G1" i="12"/>
  <c r="M8" i="12"/>
  <c r="N8" i="12" s="1"/>
  <c r="O9" i="12"/>
  <c r="F9" i="12"/>
  <c r="M9" i="12" s="1"/>
  <c r="N9" i="12" s="1"/>
  <c r="P9" i="12" s="1"/>
  <c r="O10" i="12"/>
  <c r="F10" i="12"/>
  <c r="L10" i="12" s="1"/>
  <c r="O11" i="12"/>
  <c r="F11" i="12"/>
  <c r="M11" i="12" s="1"/>
  <c r="N11" i="12" s="1"/>
  <c r="P11" i="12" s="1"/>
  <c r="O12" i="12"/>
  <c r="P12" i="12" s="1"/>
  <c r="F12" i="12"/>
  <c r="L12" i="12" s="1"/>
  <c r="M12" i="12"/>
  <c r="N12" i="12" s="1"/>
  <c r="O13" i="12"/>
  <c r="F13" i="12"/>
  <c r="O14" i="12"/>
  <c r="F14" i="12"/>
  <c r="O15" i="12"/>
  <c r="F15" i="12"/>
  <c r="L15" i="12" s="1"/>
  <c r="O16" i="12"/>
  <c r="F16" i="12"/>
  <c r="M16" i="12"/>
  <c r="N16" i="12" s="1"/>
  <c r="O17" i="12"/>
  <c r="F17" i="12"/>
  <c r="M17" i="12" s="1"/>
  <c r="N17" i="12" s="1"/>
  <c r="P17" i="12" s="1"/>
  <c r="O18" i="12"/>
  <c r="F18" i="12"/>
  <c r="O19" i="12"/>
  <c r="F19" i="12"/>
  <c r="L19" i="12" s="1"/>
  <c r="O20" i="12"/>
  <c r="F20" i="12"/>
  <c r="L20" i="12" s="1"/>
  <c r="M20" i="12"/>
  <c r="N20" i="12" s="1"/>
  <c r="O21" i="12"/>
  <c r="F21" i="12"/>
  <c r="M21" i="12" s="1"/>
  <c r="N21" i="12" s="1"/>
  <c r="P21" i="12" s="1"/>
  <c r="O22" i="12"/>
  <c r="F22" i="12"/>
  <c r="L22" i="12" s="1"/>
  <c r="O23" i="12"/>
  <c r="F23" i="12"/>
  <c r="L23" i="12" s="1"/>
  <c r="O24" i="12"/>
  <c r="F24" i="12"/>
  <c r="L24" i="12" s="1"/>
  <c r="O25" i="12"/>
  <c r="F25" i="12"/>
  <c r="M25" i="12" s="1"/>
  <c r="N25" i="12" s="1"/>
  <c r="P25" i="12" s="1"/>
  <c r="O26" i="12"/>
  <c r="F26" i="12"/>
  <c r="L26" i="12" s="1"/>
  <c r="O27" i="12"/>
  <c r="F27" i="12"/>
  <c r="L27" i="12" s="1"/>
  <c r="O28" i="12"/>
  <c r="F28" i="12"/>
  <c r="L28" i="12" s="1"/>
  <c r="M28" i="12"/>
  <c r="N28" i="12" s="1"/>
  <c r="O29" i="12"/>
  <c r="F29" i="12"/>
  <c r="O30" i="12"/>
  <c r="F30" i="12"/>
  <c r="G21" i="12"/>
  <c r="H21" i="12"/>
  <c r="I21" i="12"/>
  <c r="L21" i="12"/>
  <c r="G22" i="12"/>
  <c r="H22" i="12"/>
  <c r="K22" i="12"/>
  <c r="G23" i="12"/>
  <c r="H23" i="12"/>
  <c r="I23" i="12"/>
  <c r="G24" i="12"/>
  <c r="H24" i="12"/>
  <c r="I24" i="12"/>
  <c r="K24" i="12"/>
  <c r="G9" i="12"/>
  <c r="I9" i="12" s="1"/>
  <c r="H9" i="12"/>
  <c r="L9" i="12"/>
  <c r="G10" i="12"/>
  <c r="H10" i="12"/>
  <c r="I10" i="12" s="1"/>
  <c r="K10" i="12"/>
  <c r="G29" i="12"/>
  <c r="H29" i="12"/>
  <c r="I29" i="12"/>
  <c r="L29" i="12"/>
  <c r="G30" i="12"/>
  <c r="H30" i="12"/>
  <c r="I30" i="12" s="1"/>
  <c r="K30" i="12"/>
  <c r="L30" i="12"/>
  <c r="A48" i="12"/>
  <c r="K8" i="12"/>
  <c r="K12" i="12"/>
  <c r="K13" i="12"/>
  <c r="K14" i="12"/>
  <c r="K15" i="12"/>
  <c r="K16" i="12"/>
  <c r="K17" i="12"/>
  <c r="K18" i="12"/>
  <c r="K19" i="12"/>
  <c r="K20" i="12"/>
  <c r="K26" i="12"/>
  <c r="K27" i="12"/>
  <c r="K28" i="12"/>
  <c r="G19" i="12"/>
  <c r="H19" i="12"/>
  <c r="I19" i="12" s="1"/>
  <c r="G20" i="12"/>
  <c r="H20" i="12"/>
  <c r="I20" i="12"/>
  <c r="G25" i="12"/>
  <c r="I25" i="12" s="1"/>
  <c r="H25" i="12"/>
  <c r="L25" i="12"/>
  <c r="G26" i="12"/>
  <c r="H26" i="12"/>
  <c r="I26" i="12"/>
  <c r="G27" i="12"/>
  <c r="I27" i="12" s="1"/>
  <c r="H27" i="12"/>
  <c r="G28" i="12"/>
  <c r="H28" i="12"/>
  <c r="I28" i="12" s="1"/>
  <c r="F7" i="12"/>
  <c r="L18" i="12"/>
  <c r="G18" i="12"/>
  <c r="H18" i="12"/>
  <c r="I18" i="12"/>
  <c r="L17" i="12"/>
  <c r="G17" i="12"/>
  <c r="H17" i="12"/>
  <c r="I17" i="12"/>
  <c r="L16" i="12"/>
  <c r="G16" i="12"/>
  <c r="I16" i="12" s="1"/>
  <c r="H16" i="12"/>
  <c r="G15" i="12"/>
  <c r="H15" i="12"/>
  <c r="I15" i="12"/>
  <c r="L14" i="12"/>
  <c r="G14" i="12"/>
  <c r="H14" i="12"/>
  <c r="I14" i="12"/>
  <c r="L13" i="12"/>
  <c r="G13" i="12"/>
  <c r="H13" i="12"/>
  <c r="I13" i="12"/>
  <c r="G12" i="12"/>
  <c r="H12" i="12"/>
  <c r="I12" i="12"/>
  <c r="L11" i="12"/>
  <c r="G11" i="12"/>
  <c r="I11" i="12" s="1"/>
  <c r="H11" i="12"/>
  <c r="G8" i="12"/>
  <c r="H8" i="12"/>
  <c r="I8" i="12"/>
  <c r="G7" i="12"/>
  <c r="H7" i="12"/>
  <c r="I7" i="12"/>
  <c r="O8" i="10"/>
  <c r="F8" i="10"/>
  <c r="L8" i="10" s="1"/>
  <c r="G2" i="10"/>
  <c r="M18" i="10" s="1"/>
  <c r="N18" i="10" s="1"/>
  <c r="P18" i="10" s="1"/>
  <c r="G1" i="10"/>
  <c r="M8" i="10"/>
  <c r="N8" i="10" s="1"/>
  <c r="P8" i="10" s="1"/>
  <c r="O9" i="10"/>
  <c r="F9" i="10"/>
  <c r="O10" i="10"/>
  <c r="F10" i="10"/>
  <c r="M10" i="10" s="1"/>
  <c r="N10" i="10" s="1"/>
  <c r="P10" i="10" s="1"/>
  <c r="O11" i="10"/>
  <c r="F11" i="10"/>
  <c r="O12" i="10"/>
  <c r="F12" i="10"/>
  <c r="M12" i="10"/>
  <c r="N12" i="10" s="1"/>
  <c r="P12" i="10" s="1"/>
  <c r="O13" i="10"/>
  <c r="F13" i="10"/>
  <c r="O14" i="10"/>
  <c r="F14" i="10"/>
  <c r="M14" i="10" s="1"/>
  <c r="N14" i="10" s="1"/>
  <c r="P14" i="10" s="1"/>
  <c r="O15" i="10"/>
  <c r="F15" i="10"/>
  <c r="O16" i="10"/>
  <c r="F16" i="10"/>
  <c r="M16" i="10"/>
  <c r="N16" i="10" s="1"/>
  <c r="P16" i="10" s="1"/>
  <c r="O17" i="10"/>
  <c r="F17" i="10"/>
  <c r="O18" i="10"/>
  <c r="F18" i="10"/>
  <c r="O19" i="10"/>
  <c r="F19" i="10"/>
  <c r="O20" i="10"/>
  <c r="F20" i="10"/>
  <c r="M20" i="10"/>
  <c r="N20" i="10" s="1"/>
  <c r="P20" i="10" s="1"/>
  <c r="O21" i="10"/>
  <c r="F21" i="10"/>
  <c r="O22" i="10"/>
  <c r="F22" i="10"/>
  <c r="O23" i="10"/>
  <c r="F23" i="10"/>
  <c r="O24" i="10"/>
  <c r="F24" i="10"/>
  <c r="L24" i="10" s="1"/>
  <c r="M24" i="10"/>
  <c r="N24" i="10" s="1"/>
  <c r="P24" i="10" s="1"/>
  <c r="O25" i="10"/>
  <c r="P25" i="10" s="1"/>
  <c r="F25" i="10"/>
  <c r="M25" i="10" s="1"/>
  <c r="N25" i="10"/>
  <c r="O26" i="10"/>
  <c r="F26" i="10"/>
  <c r="O27" i="10"/>
  <c r="F27" i="10"/>
  <c r="O28" i="10"/>
  <c r="F28" i="10"/>
  <c r="L28" i="10" s="1"/>
  <c r="M28" i="10"/>
  <c r="N28" i="10" s="1"/>
  <c r="P28" i="10" s="1"/>
  <c r="O29" i="10"/>
  <c r="F29" i="10"/>
  <c r="O30" i="10"/>
  <c r="F30" i="10"/>
  <c r="O31" i="10"/>
  <c r="F7" i="10"/>
  <c r="A42" i="10"/>
  <c r="K8" i="10"/>
  <c r="K9" i="10"/>
  <c r="K31" i="10" s="1"/>
  <c r="K10" i="10"/>
  <c r="K11" i="10"/>
  <c r="K12" i="10"/>
  <c r="K13" i="10"/>
  <c r="K14" i="10"/>
  <c r="K16" i="10"/>
  <c r="K17" i="10"/>
  <c r="K18" i="10"/>
  <c r="K19" i="10"/>
  <c r="K20" i="10"/>
  <c r="K22" i="10"/>
  <c r="K23" i="10"/>
  <c r="K24" i="10"/>
  <c r="K25" i="10"/>
  <c r="K26" i="10"/>
  <c r="K27" i="10"/>
  <c r="K28" i="10"/>
  <c r="K30" i="10"/>
  <c r="L30" i="10"/>
  <c r="G30" i="10"/>
  <c r="H30" i="10"/>
  <c r="G29" i="10"/>
  <c r="I29" i="10" s="1"/>
  <c r="H29" i="10"/>
  <c r="G28" i="10"/>
  <c r="I28" i="10" s="1"/>
  <c r="H28" i="10"/>
  <c r="L27" i="10"/>
  <c r="G27" i="10"/>
  <c r="H27" i="10"/>
  <c r="I27" i="10" s="1"/>
  <c r="L26" i="10"/>
  <c r="G26" i="10"/>
  <c r="H26" i="10"/>
  <c r="I26" i="10"/>
  <c r="G25" i="10"/>
  <c r="H25" i="10"/>
  <c r="G24" i="10"/>
  <c r="I24" i="10" s="1"/>
  <c r="H24" i="10"/>
  <c r="L23" i="10"/>
  <c r="G23" i="10"/>
  <c r="I23" i="10" s="1"/>
  <c r="H23" i="10"/>
  <c r="L22" i="10"/>
  <c r="G22" i="10"/>
  <c r="H22" i="10"/>
  <c r="I22" i="10" s="1"/>
  <c r="G21" i="10"/>
  <c r="H21" i="10"/>
  <c r="I21" i="10"/>
  <c r="L20" i="10"/>
  <c r="G20" i="10"/>
  <c r="H20" i="10"/>
  <c r="L19" i="10"/>
  <c r="G19" i="10"/>
  <c r="I19" i="10" s="1"/>
  <c r="H19" i="10"/>
  <c r="L18" i="10"/>
  <c r="G18" i="10"/>
  <c r="I18" i="10" s="1"/>
  <c r="H18" i="10"/>
  <c r="G17" i="10"/>
  <c r="H17" i="10"/>
  <c r="I17" i="10" s="1"/>
  <c r="L16" i="10"/>
  <c r="G16" i="10"/>
  <c r="H16" i="10"/>
  <c r="I16" i="10"/>
  <c r="L15" i="10"/>
  <c r="G15" i="10"/>
  <c r="I15" i="10" s="1"/>
  <c r="H15" i="10"/>
  <c r="L14" i="10"/>
  <c r="G14" i="10"/>
  <c r="H14" i="10"/>
  <c r="I14" i="10" s="1"/>
  <c r="G13" i="10"/>
  <c r="I13" i="10" s="1"/>
  <c r="H13" i="10"/>
  <c r="L12" i="10"/>
  <c r="G12" i="10"/>
  <c r="H12" i="10"/>
  <c r="I12" i="10" s="1"/>
  <c r="L11" i="10"/>
  <c r="G11" i="10"/>
  <c r="H11" i="10"/>
  <c r="I11" i="10"/>
  <c r="L10" i="10"/>
  <c r="G10" i="10"/>
  <c r="H10" i="10"/>
  <c r="G9" i="10"/>
  <c r="H9" i="10"/>
  <c r="I9" i="10"/>
  <c r="G8" i="10"/>
  <c r="I8" i="10" s="1"/>
  <c r="H8" i="10"/>
  <c r="G7" i="10"/>
  <c r="H7" i="10"/>
  <c r="I7" i="10"/>
  <c r="O8" i="11"/>
  <c r="F8" i="11"/>
  <c r="L8" i="11" s="1"/>
  <c r="G2" i="11"/>
  <c r="M9" i="11" s="1"/>
  <c r="N9" i="11" s="1"/>
  <c r="G1" i="11"/>
  <c r="O9" i="11"/>
  <c r="P9" i="11" s="1"/>
  <c r="F9" i="11"/>
  <c r="O10" i="11"/>
  <c r="F10" i="11"/>
  <c r="O11" i="11"/>
  <c r="F11" i="11"/>
  <c r="M11" i="11"/>
  <c r="N11" i="11" s="1"/>
  <c r="P11" i="11" s="1"/>
  <c r="O12" i="11"/>
  <c r="F12" i="11"/>
  <c r="L12" i="11" s="1"/>
  <c r="M12" i="11"/>
  <c r="N12" i="11"/>
  <c r="P12" i="11" s="1"/>
  <c r="O13" i="11"/>
  <c r="F13" i="11"/>
  <c r="O14" i="11"/>
  <c r="F14" i="11"/>
  <c r="O15" i="11"/>
  <c r="F15" i="11"/>
  <c r="L15" i="11" s="1"/>
  <c r="M15" i="11"/>
  <c r="N15" i="11" s="1"/>
  <c r="P15" i="11" s="1"/>
  <c r="O16" i="11"/>
  <c r="F16" i="11"/>
  <c r="L16" i="11" s="1"/>
  <c r="M16" i="11"/>
  <c r="N16" i="11"/>
  <c r="P16" i="11" s="1"/>
  <c r="O17" i="11"/>
  <c r="F17" i="11"/>
  <c r="O18" i="11"/>
  <c r="F18" i="11"/>
  <c r="A29" i="11"/>
  <c r="K8" i="11"/>
  <c r="K19" i="11" s="1"/>
  <c r="K9" i="11"/>
  <c r="K10" i="11"/>
  <c r="K11" i="11"/>
  <c r="K12" i="11"/>
  <c r="K13" i="11"/>
  <c r="K14" i="11"/>
  <c r="K15" i="11"/>
  <c r="K16" i="11"/>
  <c r="K17" i="11"/>
  <c r="K18" i="11"/>
  <c r="L18" i="11"/>
  <c r="L17" i="11"/>
  <c r="L14" i="11"/>
  <c r="L13" i="11"/>
  <c r="L11" i="11"/>
  <c r="L10" i="11"/>
  <c r="L9" i="11"/>
  <c r="F7" i="11"/>
  <c r="G18" i="11"/>
  <c r="H18" i="11"/>
  <c r="I18" i="11" s="1"/>
  <c r="G17" i="11"/>
  <c r="I17" i="11" s="1"/>
  <c r="H17" i="11"/>
  <c r="G16" i="11"/>
  <c r="H16" i="11"/>
  <c r="I16" i="11"/>
  <c r="G15" i="11"/>
  <c r="H15" i="11"/>
  <c r="I15" i="11" s="1"/>
  <c r="G14" i="11"/>
  <c r="H14" i="11"/>
  <c r="I14" i="11" s="1"/>
  <c r="G13" i="11"/>
  <c r="H13" i="11"/>
  <c r="I13" i="11"/>
  <c r="G12" i="11"/>
  <c r="H12" i="11"/>
  <c r="I12" i="11"/>
  <c r="G11" i="11"/>
  <c r="I11" i="11" s="1"/>
  <c r="H11" i="11"/>
  <c r="G10" i="11"/>
  <c r="H10" i="11"/>
  <c r="I10" i="11" s="1"/>
  <c r="G9" i="11"/>
  <c r="H9" i="11"/>
  <c r="I9" i="11" s="1"/>
  <c r="G8" i="11"/>
  <c r="H8" i="11"/>
  <c r="I8" i="11"/>
  <c r="G7" i="11"/>
  <c r="H7" i="11"/>
  <c r="I7" i="11" s="1"/>
  <c r="O8" i="8"/>
  <c r="F8" i="8"/>
  <c r="L8" i="8" s="1"/>
  <c r="G2" i="8"/>
  <c r="M9" i="8" s="1"/>
  <c r="N9" i="8" s="1"/>
  <c r="G1" i="8"/>
  <c r="M8" i="8"/>
  <c r="N8" i="8" s="1"/>
  <c r="O9" i="8"/>
  <c r="F9" i="8"/>
  <c r="O10" i="8"/>
  <c r="F10" i="8"/>
  <c r="O11" i="8"/>
  <c r="F11" i="8"/>
  <c r="M11" i="8"/>
  <c r="N11" i="8" s="1"/>
  <c r="P11" i="8" s="1"/>
  <c r="O12" i="8"/>
  <c r="F12" i="8"/>
  <c r="M12" i="8"/>
  <c r="N12" i="8"/>
  <c r="P12" i="8" s="1"/>
  <c r="O13" i="8"/>
  <c r="F13" i="8"/>
  <c r="O14" i="8"/>
  <c r="F14" i="8"/>
  <c r="O15" i="8"/>
  <c r="F15" i="8"/>
  <c r="M15" i="8"/>
  <c r="N15" i="8" s="1"/>
  <c r="P15" i="8" s="1"/>
  <c r="O16" i="8"/>
  <c r="F16" i="8"/>
  <c r="L16" i="8" s="1"/>
  <c r="M16" i="8"/>
  <c r="N16" i="8"/>
  <c r="P16" i="8" s="1"/>
  <c r="O17" i="8"/>
  <c r="F17" i="8"/>
  <c r="O18" i="8"/>
  <c r="F18" i="8"/>
  <c r="O19" i="8"/>
  <c r="F19" i="8"/>
  <c r="L19" i="8" s="1"/>
  <c r="M19" i="8"/>
  <c r="N19" i="8" s="1"/>
  <c r="P19" i="8" s="1"/>
  <c r="O20" i="8"/>
  <c r="F20" i="8"/>
  <c r="L20" i="8" s="1"/>
  <c r="M20" i="8"/>
  <c r="N20" i="8"/>
  <c r="P20" i="8" s="1"/>
  <c r="O21" i="8"/>
  <c r="F21" i="8"/>
  <c r="M21" i="8" s="1"/>
  <c r="N21" i="8" s="1"/>
  <c r="O22" i="8"/>
  <c r="F22" i="8"/>
  <c r="O23" i="8"/>
  <c r="F23" i="8"/>
  <c r="L23" i="8" s="1"/>
  <c r="M23" i="8"/>
  <c r="N23" i="8" s="1"/>
  <c r="P23" i="8" s="1"/>
  <c r="O24" i="8"/>
  <c r="F24" i="8"/>
  <c r="L24" i="8" s="1"/>
  <c r="M24" i="8"/>
  <c r="N24" i="8"/>
  <c r="P24" i="8" s="1"/>
  <c r="O25" i="8"/>
  <c r="F25" i="8"/>
  <c r="M25" i="8" s="1"/>
  <c r="N25" i="8" s="1"/>
  <c r="O26" i="8"/>
  <c r="F26" i="8"/>
  <c r="O27" i="8"/>
  <c r="F27" i="8"/>
  <c r="M27" i="8"/>
  <c r="N27" i="8" s="1"/>
  <c r="P27" i="8" s="1"/>
  <c r="O28" i="8"/>
  <c r="F28" i="8"/>
  <c r="M28" i="8"/>
  <c r="N28" i="8"/>
  <c r="P28" i="8" s="1"/>
  <c r="O29" i="8"/>
  <c r="F29" i="8"/>
  <c r="M29" i="8" s="1"/>
  <c r="N29" i="8" s="1"/>
  <c r="O30" i="8"/>
  <c r="F30" i="8"/>
  <c r="O31" i="8"/>
  <c r="F31" i="8"/>
  <c r="M31" i="8"/>
  <c r="N31" i="8" s="1"/>
  <c r="P31" i="8" s="1"/>
  <c r="B37" i="8"/>
  <c r="B38" i="8"/>
  <c r="B39" i="8"/>
  <c r="B40" i="8"/>
  <c r="B41" i="8"/>
  <c r="B42" i="8"/>
  <c r="B43" i="8"/>
  <c r="B44" i="8"/>
  <c r="B45" i="8"/>
  <c r="B46" i="8"/>
  <c r="B47" i="8"/>
  <c r="K8" i="8"/>
  <c r="K9" i="8"/>
  <c r="K10" i="8"/>
  <c r="K11" i="8"/>
  <c r="K12" i="8"/>
  <c r="K13" i="8"/>
  <c r="K14" i="8"/>
  <c r="K15" i="8"/>
  <c r="K16" i="8"/>
  <c r="K17" i="8"/>
  <c r="K18" i="8"/>
  <c r="K19" i="8"/>
  <c r="K20" i="8"/>
  <c r="K21" i="8"/>
  <c r="K22" i="8"/>
  <c r="K23" i="8"/>
  <c r="K24" i="8"/>
  <c r="K25" i="8"/>
  <c r="K26" i="8"/>
  <c r="K27" i="8"/>
  <c r="K28" i="8"/>
  <c r="K29" i="8"/>
  <c r="K30" i="8"/>
  <c r="K31" i="8"/>
  <c r="L31" i="8"/>
  <c r="L30" i="8"/>
  <c r="L29" i="8"/>
  <c r="L28" i="8"/>
  <c r="L27" i="8"/>
  <c r="L26" i="8"/>
  <c r="L25" i="8"/>
  <c r="L22" i="8"/>
  <c r="L21" i="8"/>
  <c r="L18" i="8"/>
  <c r="L17" i="8"/>
  <c r="L15" i="8"/>
  <c r="L14" i="8"/>
  <c r="L13" i="8"/>
  <c r="L12" i="8"/>
  <c r="L11" i="8"/>
  <c r="L10" i="8"/>
  <c r="L9" i="8"/>
  <c r="G30" i="8"/>
  <c r="H30" i="8"/>
  <c r="G29" i="8"/>
  <c r="I29" i="8" s="1"/>
  <c r="H29" i="8"/>
  <c r="G27" i="8"/>
  <c r="H27" i="8"/>
  <c r="I27" i="8"/>
  <c r="G25" i="8"/>
  <c r="I25" i="8" s="1"/>
  <c r="H25" i="8"/>
  <c r="G23" i="8"/>
  <c r="H23" i="8"/>
  <c r="I23" i="8" s="1"/>
  <c r="G20" i="8"/>
  <c r="H20" i="8"/>
  <c r="I20" i="8"/>
  <c r="G18" i="8"/>
  <c r="H18" i="8"/>
  <c r="I18" i="8"/>
  <c r="G15" i="8"/>
  <c r="H15" i="8"/>
  <c r="I15" i="8"/>
  <c r="G13" i="8"/>
  <c r="H13" i="8"/>
  <c r="I13" i="8" s="1"/>
  <c r="G11" i="8"/>
  <c r="H11" i="8"/>
  <c r="I11" i="8" s="1"/>
  <c r="G8" i="8"/>
  <c r="H8" i="8"/>
  <c r="I8" i="8"/>
  <c r="G31" i="8"/>
  <c r="H31" i="8"/>
  <c r="I31" i="8" s="1"/>
  <c r="F7" i="8"/>
  <c r="F32" i="8" s="1"/>
  <c r="G28" i="8"/>
  <c r="H28" i="8"/>
  <c r="I28" i="8"/>
  <c r="G26" i="8"/>
  <c r="I26" i="8" s="1"/>
  <c r="H26" i="8"/>
  <c r="G24" i="8"/>
  <c r="I24" i="8" s="1"/>
  <c r="H24" i="8"/>
  <c r="G22" i="8"/>
  <c r="H22" i="8"/>
  <c r="I22" i="8"/>
  <c r="G21" i="8"/>
  <c r="H21" i="8"/>
  <c r="I21" i="8"/>
  <c r="G19" i="8"/>
  <c r="H19" i="8"/>
  <c r="I19" i="8" s="1"/>
  <c r="G17" i="8"/>
  <c r="I17" i="8" s="1"/>
  <c r="H17" i="8"/>
  <c r="G16" i="8"/>
  <c r="H16" i="8"/>
  <c r="G14" i="8"/>
  <c r="I14" i="8" s="1"/>
  <c r="H14" i="8"/>
  <c r="G12" i="8"/>
  <c r="H12" i="8"/>
  <c r="I12" i="8"/>
  <c r="G10" i="8"/>
  <c r="I10" i="8" s="1"/>
  <c r="H10" i="8"/>
  <c r="G9" i="8"/>
  <c r="H9" i="8"/>
  <c r="I9" i="8" s="1"/>
  <c r="G7" i="8"/>
  <c r="H7" i="8"/>
  <c r="I7" i="8"/>
  <c r="O8" i="9"/>
  <c r="F8" i="9"/>
  <c r="G2" i="9"/>
  <c r="G1" i="9"/>
  <c r="O9" i="9"/>
  <c r="F9" i="9"/>
  <c r="O10" i="9"/>
  <c r="F10" i="9"/>
  <c r="O11" i="9"/>
  <c r="F11" i="9"/>
  <c r="O12" i="9"/>
  <c r="F12" i="9"/>
  <c r="O13" i="9"/>
  <c r="F13" i="9"/>
  <c r="O14" i="9"/>
  <c r="F14" i="9"/>
  <c r="O15" i="9"/>
  <c r="F15" i="9"/>
  <c r="L15" i="9" s="1"/>
  <c r="O16" i="9"/>
  <c r="F16" i="9"/>
  <c r="O17" i="9"/>
  <c r="F17" i="9"/>
  <c r="O18" i="9"/>
  <c r="F18" i="9"/>
  <c r="O19" i="9"/>
  <c r="F19" i="9"/>
  <c r="L19" i="9" s="1"/>
  <c r="O20" i="9"/>
  <c r="F20" i="9"/>
  <c r="O21" i="9"/>
  <c r="P21" i="9" s="1"/>
  <c r="F21" i="9"/>
  <c r="M21" i="9" s="1"/>
  <c r="N21" i="9" s="1"/>
  <c r="O22" i="9"/>
  <c r="F22" i="9"/>
  <c r="O23" i="9"/>
  <c r="F23" i="9"/>
  <c r="L23" i="9" s="1"/>
  <c r="O24" i="9"/>
  <c r="F24" i="9"/>
  <c r="O25" i="9"/>
  <c r="F25" i="9"/>
  <c r="O26" i="9"/>
  <c r="F26" i="9"/>
  <c r="O27" i="9"/>
  <c r="F27" i="9"/>
  <c r="O28" i="9"/>
  <c r="F28" i="9"/>
  <c r="F7" i="9"/>
  <c r="A44" i="9"/>
  <c r="K8" i="9"/>
  <c r="K29" i="9" s="1"/>
  <c r="K9" i="9"/>
  <c r="K10" i="9"/>
  <c r="K11" i="9"/>
  <c r="K12" i="9"/>
  <c r="K13" i="9"/>
  <c r="K14" i="9"/>
  <c r="K15" i="9"/>
  <c r="K16" i="9"/>
  <c r="K17" i="9"/>
  <c r="K18" i="9"/>
  <c r="K19" i="9"/>
  <c r="K20" i="9"/>
  <c r="K21" i="9"/>
  <c r="K22" i="9"/>
  <c r="K23" i="9"/>
  <c r="K24" i="9"/>
  <c r="K25" i="9"/>
  <c r="K26" i="9"/>
  <c r="K27" i="9"/>
  <c r="K28" i="9"/>
  <c r="G28" i="9"/>
  <c r="H28" i="9"/>
  <c r="I28" i="9"/>
  <c r="L27" i="9"/>
  <c r="G27" i="9"/>
  <c r="I27" i="9" s="1"/>
  <c r="H27" i="9"/>
  <c r="L26" i="9"/>
  <c r="G26" i="9"/>
  <c r="I26" i="9" s="1"/>
  <c r="H26" i="9"/>
  <c r="L25" i="9"/>
  <c r="G25" i="9"/>
  <c r="I25" i="9" s="1"/>
  <c r="H25" i="9"/>
  <c r="G24" i="9"/>
  <c r="I24" i="9" s="1"/>
  <c r="H24" i="9"/>
  <c r="G23" i="9"/>
  <c r="H23" i="9"/>
  <c r="I23" i="9"/>
  <c r="L22" i="9"/>
  <c r="G22" i="9"/>
  <c r="I22" i="9" s="1"/>
  <c r="H22" i="9"/>
  <c r="L21" i="9"/>
  <c r="G21" i="9"/>
  <c r="H21" i="9"/>
  <c r="I21" i="9"/>
  <c r="G20" i="9"/>
  <c r="I20" i="9" s="1"/>
  <c r="H20" i="9"/>
  <c r="G19" i="9"/>
  <c r="I19" i="9" s="1"/>
  <c r="H19" i="9"/>
  <c r="L18" i="9"/>
  <c r="G18" i="9"/>
  <c r="H18" i="9"/>
  <c r="I18" i="9"/>
  <c r="L17" i="9"/>
  <c r="G17" i="9"/>
  <c r="I17" i="9" s="1"/>
  <c r="H17" i="9"/>
  <c r="G16" i="9"/>
  <c r="H16" i="9"/>
  <c r="I16" i="9"/>
  <c r="G15" i="9"/>
  <c r="I15" i="9" s="1"/>
  <c r="H15" i="9"/>
  <c r="L14" i="9"/>
  <c r="G14" i="9"/>
  <c r="I14" i="9" s="1"/>
  <c r="H14" i="9"/>
  <c r="L13" i="9"/>
  <c r="G13" i="9"/>
  <c r="H13" i="9"/>
  <c r="I13" i="9"/>
  <c r="G12" i="9"/>
  <c r="I12" i="9" s="1"/>
  <c r="H12" i="9"/>
  <c r="L11" i="9"/>
  <c r="G11" i="9"/>
  <c r="H11" i="9"/>
  <c r="I11" i="9"/>
  <c r="L9" i="9"/>
  <c r="G9" i="9"/>
  <c r="I9" i="9" s="1"/>
  <c r="H9" i="9"/>
  <c r="G8" i="9"/>
  <c r="I8" i="9" s="1"/>
  <c r="H8" i="9"/>
  <c r="L10" i="9"/>
  <c r="G10" i="9"/>
  <c r="H10" i="9"/>
  <c r="I10" i="9"/>
  <c r="G7" i="9"/>
  <c r="I7" i="9" s="1"/>
  <c r="H7" i="9"/>
  <c r="O8" i="7"/>
  <c r="F8" i="7"/>
  <c r="F20" i="7" s="1"/>
  <c r="G2" i="7"/>
  <c r="M8" i="7" s="1"/>
  <c r="N8" i="7" s="1"/>
  <c r="G1" i="7"/>
  <c r="O9" i="7"/>
  <c r="F9" i="7"/>
  <c r="O10" i="7"/>
  <c r="F10" i="7"/>
  <c r="L10" i="7" s="1"/>
  <c r="O11" i="7"/>
  <c r="F11" i="7"/>
  <c r="L11" i="7" s="1"/>
  <c r="O12" i="7"/>
  <c r="F12" i="7"/>
  <c r="L12" i="7" s="1"/>
  <c r="M12" i="7"/>
  <c r="N12" i="7" s="1"/>
  <c r="O13" i="7"/>
  <c r="F13" i="7"/>
  <c r="O14" i="7"/>
  <c r="F14" i="7"/>
  <c r="L14" i="7" s="1"/>
  <c r="O15" i="7"/>
  <c r="F15" i="7"/>
  <c r="O16" i="7"/>
  <c r="F16" i="7"/>
  <c r="M16" i="7"/>
  <c r="N16" i="7" s="1"/>
  <c r="O17" i="7"/>
  <c r="F17" i="7"/>
  <c r="O18" i="7"/>
  <c r="F18" i="7"/>
  <c r="O19" i="7"/>
  <c r="F19" i="7"/>
  <c r="L19" i="7" s="1"/>
  <c r="A31" i="7"/>
  <c r="K17" i="7"/>
  <c r="K16" i="7"/>
  <c r="G10" i="7"/>
  <c r="H10" i="7"/>
  <c r="I10" i="7" s="1"/>
  <c r="K19" i="7"/>
  <c r="K18" i="7"/>
  <c r="K15" i="7"/>
  <c r="K14" i="7"/>
  <c r="K13" i="7"/>
  <c r="K12" i="7"/>
  <c r="K9" i="7"/>
  <c r="K8" i="7"/>
  <c r="K20" i="7" s="1"/>
  <c r="L18" i="7"/>
  <c r="G18" i="7"/>
  <c r="H18" i="7"/>
  <c r="L16" i="7"/>
  <c r="G16" i="7"/>
  <c r="H16" i="7"/>
  <c r="I16" i="7"/>
  <c r="L13" i="7"/>
  <c r="G13" i="7"/>
  <c r="H13" i="7"/>
  <c r="I13" i="7"/>
  <c r="F7" i="7"/>
  <c r="G19" i="7"/>
  <c r="H19" i="7"/>
  <c r="I19" i="7"/>
  <c r="L17" i="7"/>
  <c r="G17" i="7"/>
  <c r="H17" i="7"/>
  <c r="I17" i="7"/>
  <c r="L15" i="7"/>
  <c r="G15" i="7"/>
  <c r="I15" i="7" s="1"/>
  <c r="H15" i="7"/>
  <c r="G14" i="7"/>
  <c r="H14" i="7"/>
  <c r="I14" i="7"/>
  <c r="G12" i="7"/>
  <c r="I12" i="7" s="1"/>
  <c r="H12" i="7"/>
  <c r="G11" i="7"/>
  <c r="H11" i="7"/>
  <c r="I11" i="7" s="1"/>
  <c r="L9" i="7"/>
  <c r="G9" i="7"/>
  <c r="H9" i="7"/>
  <c r="I9" i="7"/>
  <c r="L8" i="7"/>
  <c r="G8" i="7"/>
  <c r="H8" i="7"/>
  <c r="G7" i="7"/>
  <c r="I7" i="7" s="1"/>
  <c r="H7" i="7"/>
  <c r="O8" i="6"/>
  <c r="F8" i="6"/>
  <c r="G2" i="6"/>
  <c r="M8" i="6" s="1"/>
  <c r="N8" i="6" s="1"/>
  <c r="P8" i="6" s="1"/>
  <c r="G1" i="6"/>
  <c r="O9" i="6"/>
  <c r="P9" i="6" s="1"/>
  <c r="F9" i="6"/>
  <c r="M9" i="6"/>
  <c r="N9" i="6" s="1"/>
  <c r="O10" i="6"/>
  <c r="F10" i="6"/>
  <c r="O11" i="6"/>
  <c r="F11" i="6"/>
  <c r="M11" i="6" s="1"/>
  <c r="N11" i="6" s="1"/>
  <c r="O12" i="6"/>
  <c r="F12" i="6"/>
  <c r="O13" i="6"/>
  <c r="P13" i="6" s="1"/>
  <c r="F13" i="6"/>
  <c r="L13" i="6" s="1"/>
  <c r="M13" i="6"/>
  <c r="N13" i="6" s="1"/>
  <c r="O14" i="6"/>
  <c r="F14" i="6"/>
  <c r="O15" i="6"/>
  <c r="F15" i="6"/>
  <c r="M15" i="6" s="1"/>
  <c r="N15" i="6" s="1"/>
  <c r="O16" i="6"/>
  <c r="F16" i="6"/>
  <c r="O17" i="6"/>
  <c r="P17" i="6" s="1"/>
  <c r="F17" i="6"/>
  <c r="M17" i="6"/>
  <c r="N17" i="6" s="1"/>
  <c r="O18" i="6"/>
  <c r="F18" i="6"/>
  <c r="M18" i="6" s="1"/>
  <c r="N18" i="6" s="1"/>
  <c r="F7" i="6"/>
  <c r="K8" i="6"/>
  <c r="K9" i="6"/>
  <c r="K10" i="6"/>
  <c r="K11" i="6"/>
  <c r="K12" i="6"/>
  <c r="K13" i="6"/>
  <c r="K14" i="6"/>
  <c r="K19" i="6" s="1"/>
  <c r="K15" i="6"/>
  <c r="K16" i="6"/>
  <c r="K17" i="6"/>
  <c r="K18" i="6"/>
  <c r="L17" i="6"/>
  <c r="L16" i="6"/>
  <c r="L15" i="6"/>
  <c r="L12" i="6"/>
  <c r="L8" i="6"/>
  <c r="G16" i="6"/>
  <c r="H16" i="6"/>
  <c r="I16" i="6"/>
  <c r="G13" i="6"/>
  <c r="H13" i="6"/>
  <c r="I13" i="6" s="1"/>
  <c r="G11" i="6"/>
  <c r="I11" i="6" s="1"/>
  <c r="H11" i="6"/>
  <c r="G8" i="6"/>
  <c r="H8" i="6"/>
  <c r="G18" i="6"/>
  <c r="H18" i="6"/>
  <c r="I18" i="6"/>
  <c r="G17" i="6"/>
  <c r="H17" i="6"/>
  <c r="I17" i="6" s="1"/>
  <c r="G15" i="6"/>
  <c r="I15" i="6" s="1"/>
  <c r="H15" i="6"/>
  <c r="G14" i="6"/>
  <c r="H14" i="6"/>
  <c r="I14" i="6"/>
  <c r="G12" i="6"/>
  <c r="I12" i="6" s="1"/>
  <c r="H12" i="6"/>
  <c r="G10" i="6"/>
  <c r="H10" i="6"/>
  <c r="I10" i="6"/>
  <c r="G9" i="6"/>
  <c r="H9" i="6"/>
  <c r="G7" i="6"/>
  <c r="I7" i="6" s="1"/>
  <c r="H7" i="6"/>
  <c r="O8" i="5"/>
  <c r="F8" i="5"/>
  <c r="G2" i="5"/>
  <c r="M8" i="5" s="1"/>
  <c r="N8" i="5" s="1"/>
  <c r="P8" i="5" s="1"/>
  <c r="G1" i="5"/>
  <c r="O9" i="5"/>
  <c r="F9" i="5"/>
  <c r="M9" i="5"/>
  <c r="N9" i="5" s="1"/>
  <c r="O10" i="5"/>
  <c r="F10" i="5"/>
  <c r="O11" i="5"/>
  <c r="F11" i="5"/>
  <c r="M11" i="5" s="1"/>
  <c r="N11" i="5" s="1"/>
  <c r="O12" i="5"/>
  <c r="F12" i="5"/>
  <c r="O13" i="5"/>
  <c r="F13" i="5"/>
  <c r="L13" i="5" s="1"/>
  <c r="M13" i="5"/>
  <c r="N13" i="5" s="1"/>
  <c r="O14" i="5"/>
  <c r="F14" i="5"/>
  <c r="O15" i="5"/>
  <c r="P15" i="5" s="1"/>
  <c r="F15" i="5"/>
  <c r="M15" i="5" s="1"/>
  <c r="N15" i="5" s="1"/>
  <c r="O16" i="5"/>
  <c r="F16" i="5"/>
  <c r="O17" i="5"/>
  <c r="F17" i="5"/>
  <c r="M17" i="5"/>
  <c r="N17" i="5" s="1"/>
  <c r="O18" i="5"/>
  <c r="F18" i="5"/>
  <c r="M18" i="5" s="1"/>
  <c r="N18" i="5" s="1"/>
  <c r="O19" i="5"/>
  <c r="F19" i="5"/>
  <c r="M19" i="5" s="1"/>
  <c r="N19" i="5" s="1"/>
  <c r="O20" i="5"/>
  <c r="F20" i="5"/>
  <c r="O21" i="5"/>
  <c r="F21" i="5"/>
  <c r="L21" i="5" s="1"/>
  <c r="M21" i="5"/>
  <c r="N21" i="5" s="1"/>
  <c r="O22" i="5"/>
  <c r="F22" i="5"/>
  <c r="O23" i="5"/>
  <c r="P23" i="5" s="1"/>
  <c r="F23" i="5"/>
  <c r="M23" i="5" s="1"/>
  <c r="N23" i="5" s="1"/>
  <c r="O24" i="5"/>
  <c r="F24" i="5"/>
  <c r="O25" i="5"/>
  <c r="F25" i="5"/>
  <c r="M25" i="5"/>
  <c r="N25" i="5" s="1"/>
  <c r="A34" i="5"/>
  <c r="L25" i="5"/>
  <c r="K25" i="5"/>
  <c r="L24" i="5"/>
  <c r="K24" i="5"/>
  <c r="K23" i="5"/>
  <c r="K22" i="5"/>
  <c r="K21" i="5"/>
  <c r="L20" i="5"/>
  <c r="K20" i="5"/>
  <c r="L19" i="5"/>
  <c r="K19" i="5"/>
  <c r="K18" i="5"/>
  <c r="L17" i="5"/>
  <c r="K17" i="5"/>
  <c r="L16" i="5"/>
  <c r="K16" i="5"/>
  <c r="L15" i="5"/>
  <c r="K15" i="5"/>
  <c r="K14" i="5"/>
  <c r="K13" i="5"/>
  <c r="L12" i="5"/>
  <c r="K12" i="5"/>
  <c r="K11" i="5"/>
  <c r="K10" i="5"/>
  <c r="L9" i="5"/>
  <c r="K9" i="5"/>
  <c r="G23" i="5"/>
  <c r="I23" i="5" s="1"/>
  <c r="H23" i="5"/>
  <c r="G12" i="5"/>
  <c r="H12" i="5"/>
  <c r="F7" i="5"/>
  <c r="G7" i="5"/>
  <c r="H7" i="5"/>
  <c r="I7" i="5" s="1"/>
  <c r="G24" i="5"/>
  <c r="I24" i="5" s="1"/>
  <c r="H24" i="5"/>
  <c r="G22" i="5"/>
  <c r="H22" i="5"/>
  <c r="I22" i="5"/>
  <c r="G21" i="5"/>
  <c r="I21" i="5" s="1"/>
  <c r="H21" i="5"/>
  <c r="G20" i="5"/>
  <c r="H20" i="5"/>
  <c r="I20" i="5"/>
  <c r="G19" i="5"/>
  <c r="I19" i="5" s="1"/>
  <c r="H19" i="5"/>
  <c r="G18" i="5"/>
  <c r="I18" i="5" s="1"/>
  <c r="H18" i="5"/>
  <c r="G17" i="5"/>
  <c r="H17" i="5"/>
  <c r="I17" i="5"/>
  <c r="G16" i="5"/>
  <c r="H16" i="5"/>
  <c r="I16" i="5"/>
  <c r="G15" i="5"/>
  <c r="H15" i="5"/>
  <c r="I15" i="5" s="1"/>
  <c r="G14" i="5"/>
  <c r="I14" i="5" s="1"/>
  <c r="H14" i="5"/>
  <c r="G13" i="5"/>
  <c r="H13" i="5"/>
  <c r="G11" i="5"/>
  <c r="I11" i="5" s="1"/>
  <c r="H11" i="5"/>
  <c r="G10" i="5"/>
  <c r="I10" i="5" s="1"/>
  <c r="H10" i="5"/>
  <c r="G9" i="5"/>
  <c r="I9" i="5" s="1"/>
  <c r="H9" i="5"/>
  <c r="L8" i="5"/>
  <c r="K8" i="5"/>
  <c r="G8" i="5"/>
  <c r="H8" i="5"/>
  <c r="I8" i="5" s="1"/>
  <c r="K26" i="5"/>
  <c r="G25" i="5"/>
  <c r="H25" i="5"/>
  <c r="I25" i="5"/>
  <c r="O8" i="3"/>
  <c r="F8" i="3"/>
  <c r="M8" i="3" s="1"/>
  <c r="N8" i="3" s="1"/>
  <c r="G2" i="3"/>
  <c r="G1" i="3"/>
  <c r="O9" i="3"/>
  <c r="F9" i="3"/>
  <c r="L9" i="3" s="1"/>
  <c r="O10" i="3"/>
  <c r="F10" i="3"/>
  <c r="O11" i="3"/>
  <c r="F11" i="3"/>
  <c r="M11" i="3"/>
  <c r="N11" i="3" s="1"/>
  <c r="P11" i="3"/>
  <c r="O12" i="3"/>
  <c r="F12" i="3"/>
  <c r="M12" i="3" s="1"/>
  <c r="N12" i="3" s="1"/>
  <c r="P12" i="3" s="1"/>
  <c r="O13" i="3"/>
  <c r="F13" i="3"/>
  <c r="M13" i="3" s="1"/>
  <c r="N13" i="3" s="1"/>
  <c r="P13" i="3" s="1"/>
  <c r="O14" i="3"/>
  <c r="F14" i="3"/>
  <c r="O15" i="3"/>
  <c r="F15" i="3"/>
  <c r="L15" i="3" s="1"/>
  <c r="M15" i="3"/>
  <c r="N15" i="3" s="1"/>
  <c r="P15" i="3"/>
  <c r="O16" i="3"/>
  <c r="F16" i="3"/>
  <c r="M16" i="3" s="1"/>
  <c r="N16" i="3" s="1"/>
  <c r="P16" i="3" s="1"/>
  <c r="O17" i="3"/>
  <c r="F17" i="3"/>
  <c r="M17" i="3" s="1"/>
  <c r="N17" i="3" s="1"/>
  <c r="P17" i="3" s="1"/>
  <c r="O18" i="3"/>
  <c r="F18" i="3"/>
  <c r="O19" i="3"/>
  <c r="F19" i="3"/>
  <c r="L19" i="3" s="1"/>
  <c r="M19" i="3"/>
  <c r="N19" i="3" s="1"/>
  <c r="P19" i="3"/>
  <c r="O20" i="3"/>
  <c r="F20" i="3"/>
  <c r="M20" i="3" s="1"/>
  <c r="N20" i="3" s="1"/>
  <c r="P20" i="3" s="1"/>
  <c r="O21" i="3"/>
  <c r="F21" i="3"/>
  <c r="M21" i="3" s="1"/>
  <c r="N21" i="3" s="1"/>
  <c r="P21" i="3" s="1"/>
  <c r="O22" i="3"/>
  <c r="F22" i="3"/>
  <c r="M22" i="3" s="1"/>
  <c r="N22" i="3"/>
  <c r="P22" i="3" s="1"/>
  <c r="A36" i="3"/>
  <c r="K8" i="3"/>
  <c r="K9" i="3"/>
  <c r="K10" i="3"/>
  <c r="K12" i="3"/>
  <c r="K13" i="3"/>
  <c r="K14" i="3"/>
  <c r="K15" i="3"/>
  <c r="K16" i="3"/>
  <c r="K17" i="3"/>
  <c r="K18" i="3"/>
  <c r="K19" i="3"/>
  <c r="K20" i="3"/>
  <c r="K21" i="3"/>
  <c r="K22" i="3"/>
  <c r="L22" i="3"/>
  <c r="G22" i="3"/>
  <c r="H22" i="3"/>
  <c r="I22" i="3"/>
  <c r="L21" i="3"/>
  <c r="G21" i="3"/>
  <c r="I21" i="3" s="1"/>
  <c r="H21" i="3"/>
  <c r="L20" i="3"/>
  <c r="G20" i="3"/>
  <c r="I20" i="3" s="1"/>
  <c r="H20" i="3"/>
  <c r="G19" i="3"/>
  <c r="I19" i="3" s="1"/>
  <c r="H19" i="3"/>
  <c r="G18" i="3"/>
  <c r="H18" i="3"/>
  <c r="I18" i="3" s="1"/>
  <c r="L17" i="3"/>
  <c r="G17" i="3"/>
  <c r="H17" i="3"/>
  <c r="I17" i="3"/>
  <c r="L16" i="3"/>
  <c r="G16" i="3"/>
  <c r="H16" i="3"/>
  <c r="G15" i="3"/>
  <c r="I15" i="3" s="1"/>
  <c r="H15" i="3"/>
  <c r="G14" i="3"/>
  <c r="I14" i="3" s="1"/>
  <c r="H14" i="3"/>
  <c r="L13" i="3"/>
  <c r="G13" i="3"/>
  <c r="H13" i="3"/>
  <c r="I13" i="3" s="1"/>
  <c r="L12" i="3"/>
  <c r="G12" i="3"/>
  <c r="H12" i="3"/>
  <c r="I12" i="3"/>
  <c r="L11" i="3"/>
  <c r="G11" i="3"/>
  <c r="H11" i="3"/>
  <c r="G10" i="3"/>
  <c r="I10" i="3" s="1"/>
  <c r="H10" i="3"/>
  <c r="G9" i="3"/>
  <c r="I9" i="3" s="1"/>
  <c r="H9" i="3"/>
  <c r="F7" i="3"/>
  <c r="L8" i="3"/>
  <c r="G8" i="3"/>
  <c r="H8" i="3"/>
  <c r="G7" i="3"/>
  <c r="H7" i="3"/>
  <c r="I7" i="3"/>
  <c r="O8" i="4"/>
  <c r="F8" i="4"/>
  <c r="M8" i="4" s="1"/>
  <c r="N8" i="4" s="1"/>
  <c r="G2" i="4"/>
  <c r="G1" i="4"/>
  <c r="O9" i="4"/>
  <c r="F9" i="4"/>
  <c r="M9" i="4" s="1"/>
  <c r="N9" i="4" s="1"/>
  <c r="P9" i="4" s="1"/>
  <c r="O10" i="4"/>
  <c r="F10" i="4"/>
  <c r="O11" i="4"/>
  <c r="F11" i="4"/>
  <c r="L11" i="4" s="1"/>
  <c r="O12" i="4"/>
  <c r="F12" i="4"/>
  <c r="M12" i="4" s="1"/>
  <c r="N12" i="4" s="1"/>
  <c r="P12" i="4" s="1"/>
  <c r="O13" i="4"/>
  <c r="F13" i="4"/>
  <c r="M13" i="4" s="1"/>
  <c r="N13" i="4" s="1"/>
  <c r="P13" i="4" s="1"/>
  <c r="O14" i="4"/>
  <c r="F14" i="4"/>
  <c r="O15" i="4"/>
  <c r="F15" i="4"/>
  <c r="L15" i="4" s="1"/>
  <c r="O16" i="4"/>
  <c r="F16" i="4"/>
  <c r="M16" i="4" s="1"/>
  <c r="N16" i="4" s="1"/>
  <c r="P16" i="4" s="1"/>
  <c r="O17" i="4"/>
  <c r="F17" i="4"/>
  <c r="L17" i="4" s="1"/>
  <c r="O18" i="4"/>
  <c r="F18" i="4"/>
  <c r="M18" i="4" s="1"/>
  <c r="N18" i="4"/>
  <c r="P18" i="4" s="1"/>
  <c r="O19" i="4"/>
  <c r="F19" i="4"/>
  <c r="M19" i="4" s="1"/>
  <c r="N19" i="4" s="1"/>
  <c r="P19" i="4" s="1"/>
  <c r="O20" i="4"/>
  <c r="F20" i="4"/>
  <c r="M20" i="4" s="1"/>
  <c r="N20" i="4" s="1"/>
  <c r="P20" i="4" s="1"/>
  <c r="O21" i="4"/>
  <c r="F21" i="4"/>
  <c r="M21" i="4" s="1"/>
  <c r="N21" i="4" s="1"/>
  <c r="P21" i="4" s="1"/>
  <c r="A33" i="4"/>
  <c r="L21" i="4"/>
  <c r="K21" i="4"/>
  <c r="L20" i="4"/>
  <c r="K20" i="4"/>
  <c r="K19" i="4"/>
  <c r="K18" i="4"/>
  <c r="K17" i="4"/>
  <c r="K16" i="4"/>
  <c r="K15" i="4"/>
  <c r="K14" i="4"/>
  <c r="L13" i="4"/>
  <c r="K13" i="4"/>
  <c r="L12" i="4"/>
  <c r="K12" i="4"/>
  <c r="K11" i="4"/>
  <c r="K10" i="4"/>
  <c r="L9" i="4"/>
  <c r="K9" i="4"/>
  <c r="G18" i="4"/>
  <c r="I18" i="4" s="1"/>
  <c r="H18" i="4"/>
  <c r="G17" i="4"/>
  <c r="H17" i="4"/>
  <c r="I17" i="4"/>
  <c r="G16" i="4"/>
  <c r="I16" i="4" s="1"/>
  <c r="H16" i="4"/>
  <c r="G12" i="4"/>
  <c r="H12" i="4"/>
  <c r="I12" i="4" s="1"/>
  <c r="G10" i="4"/>
  <c r="I10" i="4" s="1"/>
  <c r="H10" i="4"/>
  <c r="K8" i="4"/>
  <c r="F7" i="4"/>
  <c r="G21" i="4"/>
  <c r="H21" i="4"/>
  <c r="G20" i="4"/>
  <c r="I20" i="4" s="1"/>
  <c r="H20" i="4"/>
  <c r="G19" i="4"/>
  <c r="H19" i="4"/>
  <c r="I19" i="4"/>
  <c r="G14" i="4"/>
  <c r="H14" i="4"/>
  <c r="I14" i="4"/>
  <c r="G13" i="4"/>
  <c r="H13" i="4"/>
  <c r="I13" i="4" s="1"/>
  <c r="G11" i="4"/>
  <c r="I11" i="4" s="1"/>
  <c r="H11" i="4"/>
  <c r="G9" i="4"/>
  <c r="H9" i="4"/>
  <c r="G8" i="4"/>
  <c r="H8" i="4"/>
  <c r="I8" i="4"/>
  <c r="G7" i="4"/>
  <c r="H7" i="4"/>
  <c r="I7" i="4" s="1"/>
  <c r="O76" i="2"/>
  <c r="O75" i="2"/>
  <c r="O74" i="2"/>
  <c r="O73" i="2"/>
  <c r="O72" i="2"/>
  <c r="O71" i="2"/>
  <c r="O70" i="2"/>
  <c r="O69" i="2"/>
  <c r="O68" i="2"/>
  <c r="O67" i="2"/>
  <c r="O66" i="2"/>
  <c r="O65" i="2"/>
  <c r="O64" i="2"/>
  <c r="O63" i="2"/>
  <c r="O62" i="2"/>
  <c r="O61" i="2"/>
  <c r="O60" i="2"/>
  <c r="O59" i="2"/>
  <c r="O58" i="2"/>
  <c r="O57" i="2"/>
  <c r="O56" i="2"/>
  <c r="O55" i="2"/>
  <c r="O54" i="2"/>
  <c r="O53" i="2"/>
  <c r="O52" i="2"/>
  <c r="O51" i="2"/>
  <c r="O50" i="2"/>
  <c r="O49" i="2"/>
  <c r="O48" i="2"/>
  <c r="O47" i="2"/>
  <c r="O46" i="2"/>
  <c r="O45" i="2"/>
  <c r="O44" i="2"/>
  <c r="O43" i="2"/>
  <c r="O42" i="2"/>
  <c r="O41" i="2"/>
  <c r="O40" i="2"/>
  <c r="O39" i="2"/>
  <c r="O38" i="2"/>
  <c r="O37" i="2"/>
  <c r="O36" i="2"/>
  <c r="O35" i="2"/>
  <c r="O34" i="2"/>
  <c r="O33" i="2"/>
  <c r="O32" i="2"/>
  <c r="O31" i="2"/>
  <c r="O30" i="2"/>
  <c r="O29" i="2"/>
  <c r="O28" i="2"/>
  <c r="O27" i="2"/>
  <c r="O26" i="2"/>
  <c r="O25" i="2"/>
  <c r="O24" i="2"/>
  <c r="O23" i="2"/>
  <c r="O22" i="2"/>
  <c r="O21" i="2"/>
  <c r="O20" i="2"/>
  <c r="O19" i="2"/>
  <c r="O18" i="2"/>
  <c r="O17" i="2"/>
  <c r="O16" i="2"/>
  <c r="O15" i="2"/>
  <c r="O14" i="2"/>
  <c r="O13" i="2"/>
  <c r="O12" i="2"/>
  <c r="O11" i="2"/>
  <c r="O10" i="2"/>
  <c r="O9" i="2"/>
  <c r="O8" i="2"/>
  <c r="F75" i="2"/>
  <c r="G2" i="2"/>
  <c r="M9" i="2" s="1"/>
  <c r="N9" i="2" s="1"/>
  <c r="G1" i="2"/>
  <c r="M44" i="2" s="1"/>
  <c r="N44" i="2" s="1"/>
  <c r="F74" i="2"/>
  <c r="F73" i="2"/>
  <c r="F72" i="2"/>
  <c r="F71" i="2"/>
  <c r="F70" i="2"/>
  <c r="F69" i="2"/>
  <c r="F68" i="2"/>
  <c r="F67" i="2"/>
  <c r="F66" i="2"/>
  <c r="L66" i="2" s="1"/>
  <c r="M66" i="2"/>
  <c r="N66" i="2" s="1"/>
  <c r="P66" i="2" s="1"/>
  <c r="F65" i="2"/>
  <c r="L65" i="2" s="1"/>
  <c r="F64" i="2"/>
  <c r="F63" i="2"/>
  <c r="F62" i="2"/>
  <c r="F61" i="2"/>
  <c r="F60" i="2"/>
  <c r="L60" i="2" s="1"/>
  <c r="F59" i="2"/>
  <c r="M59" i="2"/>
  <c r="N59" i="2" s="1"/>
  <c r="P59" i="2" s="1"/>
  <c r="F58" i="2"/>
  <c r="F57" i="2"/>
  <c r="M57" i="2" s="1"/>
  <c r="N57" i="2" s="1"/>
  <c r="P57" i="2" s="1"/>
  <c r="F56" i="2"/>
  <c r="F55" i="2"/>
  <c r="L55" i="2" s="1"/>
  <c r="F54" i="2"/>
  <c r="F53" i="2"/>
  <c r="F52" i="2"/>
  <c r="F51" i="2"/>
  <c r="F50" i="2"/>
  <c r="L50" i="2" s="1"/>
  <c r="F49" i="2"/>
  <c r="F48" i="2"/>
  <c r="F47" i="2"/>
  <c r="F46" i="2"/>
  <c r="M46" i="2" s="1"/>
  <c r="N46" i="2" s="1"/>
  <c r="F45" i="2"/>
  <c r="L45" i="2" s="1"/>
  <c r="F44" i="2"/>
  <c r="F43" i="2"/>
  <c r="F42" i="2"/>
  <c r="F41" i="2"/>
  <c r="M41" i="2" s="1"/>
  <c r="N41" i="2" s="1"/>
  <c r="P41" i="2" s="1"/>
  <c r="F40" i="2"/>
  <c r="L40" i="2" s="1"/>
  <c r="F39" i="2"/>
  <c r="F38" i="2"/>
  <c r="F37" i="2"/>
  <c r="F36" i="2"/>
  <c r="L36" i="2" s="1"/>
  <c r="F35" i="2"/>
  <c r="L35" i="2" s="1"/>
  <c r="M35" i="2"/>
  <c r="N35" i="2" s="1"/>
  <c r="P35" i="2" s="1"/>
  <c r="F34" i="2"/>
  <c r="F33" i="2"/>
  <c r="F32" i="2"/>
  <c r="F31" i="2"/>
  <c r="F30" i="2"/>
  <c r="L30" i="2" s="1"/>
  <c r="F29" i="2"/>
  <c r="F28" i="2"/>
  <c r="F27" i="2"/>
  <c r="L27" i="2" s="1"/>
  <c r="F26" i="2"/>
  <c r="F25" i="2"/>
  <c r="F24" i="2"/>
  <c r="F23" i="2"/>
  <c r="F22" i="2"/>
  <c r="F21" i="2"/>
  <c r="M21" i="2" s="1"/>
  <c r="N21" i="2" s="1"/>
  <c r="P21" i="2" s="1"/>
  <c r="F20" i="2"/>
  <c r="M20" i="2" s="1"/>
  <c r="N20" i="2" s="1"/>
  <c r="F19" i="2"/>
  <c r="F18" i="2"/>
  <c r="F17" i="2"/>
  <c r="F16" i="2"/>
  <c r="M16" i="2" s="1"/>
  <c r="N16" i="2" s="1"/>
  <c r="P16" i="2" s="1"/>
  <c r="F15" i="2"/>
  <c r="F14" i="2"/>
  <c r="F13" i="2"/>
  <c r="F12" i="2"/>
  <c r="F11" i="2"/>
  <c r="M11" i="2" s="1"/>
  <c r="N11" i="2" s="1"/>
  <c r="F10" i="2"/>
  <c r="F9" i="2"/>
  <c r="F8" i="2"/>
  <c r="A96"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G75" i="2"/>
  <c r="I75" i="2" s="1"/>
  <c r="H75" i="2"/>
  <c r="L74" i="2"/>
  <c r="G74" i="2"/>
  <c r="I74" i="2" s="1"/>
  <c r="H74" i="2"/>
  <c r="L73" i="2"/>
  <c r="G73" i="2"/>
  <c r="H73" i="2"/>
  <c r="I73" i="2" s="1"/>
  <c r="L72" i="2"/>
  <c r="G72" i="2"/>
  <c r="H72" i="2"/>
  <c r="I72" i="2"/>
  <c r="L71" i="2"/>
  <c r="G71" i="2"/>
  <c r="I71" i="2" s="1"/>
  <c r="H71" i="2"/>
  <c r="G70" i="2"/>
  <c r="I70" i="2" s="1"/>
  <c r="H70" i="2"/>
  <c r="L69" i="2"/>
  <c r="G69" i="2"/>
  <c r="I69" i="2" s="1"/>
  <c r="H69" i="2"/>
  <c r="L68" i="2"/>
  <c r="G68" i="2"/>
  <c r="H68" i="2"/>
  <c r="I68" i="2"/>
  <c r="G67" i="2"/>
  <c r="I67" i="2" s="1"/>
  <c r="H67" i="2"/>
  <c r="G66" i="2"/>
  <c r="H66" i="2"/>
  <c r="G65" i="2"/>
  <c r="I65" i="2" s="1"/>
  <c r="H65" i="2"/>
  <c r="L64" i="2"/>
  <c r="G64" i="2"/>
  <c r="I64" i="2" s="1"/>
  <c r="H64" i="2"/>
  <c r="L63" i="2"/>
  <c r="G63" i="2"/>
  <c r="H63" i="2"/>
  <c r="I63" i="2"/>
  <c r="G62" i="2"/>
  <c r="I62" i="2" s="1"/>
  <c r="H62" i="2"/>
  <c r="L61" i="2"/>
  <c r="G61" i="2"/>
  <c r="I61" i="2" s="1"/>
  <c r="H61" i="2"/>
  <c r="G60" i="2"/>
  <c r="I60" i="2" s="1"/>
  <c r="H60" i="2"/>
  <c r="L59" i="2"/>
  <c r="G59" i="2"/>
  <c r="I59" i="2" s="1"/>
  <c r="H59" i="2"/>
  <c r="L58" i="2"/>
  <c r="G58" i="2"/>
  <c r="H58" i="2"/>
  <c r="I58" i="2"/>
  <c r="G57" i="2"/>
  <c r="H57" i="2"/>
  <c r="I57" i="2"/>
  <c r="L56" i="2"/>
  <c r="G56" i="2"/>
  <c r="I56" i="2" s="1"/>
  <c r="H56" i="2"/>
  <c r="G55" i="2"/>
  <c r="I55" i="2" s="1"/>
  <c r="H55" i="2"/>
  <c r="L54" i="2"/>
  <c r="G54" i="2"/>
  <c r="I54" i="2" s="1"/>
  <c r="H54" i="2"/>
  <c r="L53" i="2"/>
  <c r="G53" i="2"/>
  <c r="H53" i="2"/>
  <c r="I53" i="2"/>
  <c r="L52" i="2"/>
  <c r="G52" i="2"/>
  <c r="H52" i="2"/>
  <c r="I52" i="2"/>
  <c r="L51" i="2"/>
  <c r="G51" i="2"/>
  <c r="I51" i="2" s="1"/>
  <c r="H51" i="2"/>
  <c r="G50" i="2"/>
  <c r="I50" i="2" s="1"/>
  <c r="H50" i="2"/>
  <c r="L49" i="2"/>
  <c r="G49" i="2"/>
  <c r="I49" i="2" s="1"/>
  <c r="H49" i="2"/>
  <c r="L48" i="2"/>
  <c r="G48" i="2"/>
  <c r="H48" i="2"/>
  <c r="I48" i="2" s="1"/>
  <c r="L47" i="2"/>
  <c r="G47" i="2"/>
  <c r="H47" i="2"/>
  <c r="I47" i="2"/>
  <c r="L46" i="2"/>
  <c r="G46" i="2"/>
  <c r="I46" i="2" s="1"/>
  <c r="H46" i="2"/>
  <c r="G45" i="2"/>
  <c r="I45" i="2" s="1"/>
  <c r="H45" i="2"/>
  <c r="L44" i="2"/>
  <c r="G44" i="2"/>
  <c r="I44" i="2" s="1"/>
  <c r="H44" i="2"/>
  <c r="L43" i="2"/>
  <c r="G43" i="2"/>
  <c r="H43" i="2"/>
  <c r="I43" i="2" s="1"/>
  <c r="G42" i="2"/>
  <c r="I42" i="2" s="1"/>
  <c r="H42" i="2"/>
  <c r="L41" i="2"/>
  <c r="G41" i="2"/>
  <c r="H41" i="2"/>
  <c r="G40" i="2"/>
  <c r="I40" i="2" s="1"/>
  <c r="H40" i="2"/>
  <c r="L39" i="2"/>
  <c r="G39" i="2"/>
  <c r="I39" i="2" s="1"/>
  <c r="H39" i="2"/>
  <c r="L38" i="2"/>
  <c r="G38" i="2"/>
  <c r="H38" i="2"/>
  <c r="I38" i="2"/>
  <c r="G37" i="2"/>
  <c r="I37" i="2" s="1"/>
  <c r="H37" i="2"/>
  <c r="G36" i="2"/>
  <c r="I36" i="2" s="1"/>
  <c r="H36" i="2"/>
  <c r="G35" i="2"/>
  <c r="I35" i="2" s="1"/>
  <c r="H35" i="2"/>
  <c r="L34" i="2"/>
  <c r="G34" i="2"/>
  <c r="I34" i="2" s="1"/>
  <c r="H34" i="2"/>
  <c r="L33" i="2"/>
  <c r="G33" i="2"/>
  <c r="H33" i="2"/>
  <c r="I33" i="2"/>
  <c r="L32" i="2"/>
  <c r="G32" i="2"/>
  <c r="H32" i="2"/>
  <c r="I32" i="2"/>
  <c r="L31" i="2"/>
  <c r="G31" i="2"/>
  <c r="I31" i="2" s="1"/>
  <c r="H31" i="2"/>
  <c r="G30" i="2"/>
  <c r="I30" i="2" s="1"/>
  <c r="H30" i="2"/>
  <c r="L29" i="2"/>
  <c r="G29" i="2"/>
  <c r="I29" i="2" s="1"/>
  <c r="H29" i="2"/>
  <c r="L28" i="2"/>
  <c r="G28" i="2"/>
  <c r="H28" i="2"/>
  <c r="I28" i="2"/>
  <c r="G27" i="2"/>
  <c r="H27" i="2"/>
  <c r="I27" i="2"/>
  <c r="L26" i="2"/>
  <c r="G26" i="2"/>
  <c r="I26" i="2" s="1"/>
  <c r="H26" i="2"/>
  <c r="L25" i="2"/>
  <c r="G25" i="2"/>
  <c r="I25" i="2" s="1"/>
  <c r="H25" i="2"/>
  <c r="L24" i="2"/>
  <c r="G24" i="2"/>
  <c r="I24" i="2" s="1"/>
  <c r="H24" i="2"/>
  <c r="L23" i="2"/>
  <c r="G23" i="2"/>
  <c r="H23" i="2"/>
  <c r="I23" i="2"/>
  <c r="G22" i="2"/>
  <c r="H22" i="2"/>
  <c r="I22" i="2"/>
  <c r="L21" i="2"/>
  <c r="G21" i="2"/>
  <c r="H21" i="2"/>
  <c r="I21" i="2"/>
  <c r="L20" i="2"/>
  <c r="G20" i="2"/>
  <c r="I20" i="2" s="1"/>
  <c r="H20" i="2"/>
  <c r="L19" i="2"/>
  <c r="G19" i="2"/>
  <c r="I19" i="2" s="1"/>
  <c r="H19" i="2"/>
  <c r="L18" i="2"/>
  <c r="G18" i="2"/>
  <c r="I18" i="2" s="1"/>
  <c r="H18" i="2"/>
  <c r="L17" i="2"/>
  <c r="G17" i="2"/>
  <c r="H17" i="2"/>
  <c r="I17" i="2"/>
  <c r="L16" i="2"/>
  <c r="G16" i="2"/>
  <c r="H16" i="2"/>
  <c r="I16" i="2"/>
  <c r="L15" i="2"/>
  <c r="G15" i="2"/>
  <c r="H15" i="2"/>
  <c r="I15" i="2"/>
  <c r="L14" i="2"/>
  <c r="G14" i="2"/>
  <c r="I14" i="2" s="1"/>
  <c r="H14" i="2"/>
  <c r="L13" i="2"/>
  <c r="G13" i="2"/>
  <c r="I13" i="2" s="1"/>
  <c r="H13" i="2"/>
  <c r="G12" i="2"/>
  <c r="H12" i="2"/>
  <c r="I12" i="2"/>
  <c r="G11" i="2"/>
  <c r="H11" i="2"/>
  <c r="I11" i="2"/>
  <c r="L10" i="2"/>
  <c r="G10" i="2"/>
  <c r="H10" i="2"/>
  <c r="I10" i="2"/>
  <c r="L8" i="2"/>
  <c r="G8" i="2"/>
  <c r="I8" i="2" s="1"/>
  <c r="H8" i="2"/>
  <c r="F7" i="2"/>
  <c r="L9" i="2"/>
  <c r="G9" i="2"/>
  <c r="H9" i="2"/>
  <c r="I9" i="2" s="1"/>
  <c r="G7" i="2"/>
  <c r="H7" i="2"/>
  <c r="I7" i="2"/>
  <c r="O40" i="1"/>
  <c r="O39" i="1"/>
  <c r="O38" i="1"/>
  <c r="O37" i="1"/>
  <c r="O36" i="1"/>
  <c r="O35" i="1"/>
  <c r="O34" i="1"/>
  <c r="P34" i="1" s="1"/>
  <c r="O33" i="1"/>
  <c r="O32" i="1"/>
  <c r="O31" i="1"/>
  <c r="O30" i="1"/>
  <c r="O29" i="1"/>
  <c r="O28" i="1"/>
  <c r="O27" i="1"/>
  <c r="O26" i="1"/>
  <c r="O25" i="1"/>
  <c r="O24" i="1"/>
  <c r="O23" i="1"/>
  <c r="O22" i="1"/>
  <c r="O21" i="1"/>
  <c r="P21" i="1" s="1"/>
  <c r="O20" i="1"/>
  <c r="O19" i="1"/>
  <c r="O18" i="1"/>
  <c r="O17" i="1"/>
  <c r="O16" i="1"/>
  <c r="O15" i="1"/>
  <c r="O14" i="1"/>
  <c r="O13" i="1"/>
  <c r="O12" i="1"/>
  <c r="O11" i="1"/>
  <c r="O10" i="1"/>
  <c r="O9" i="1"/>
  <c r="O8" i="1"/>
  <c r="F8" i="1"/>
  <c r="L8" i="1" s="1"/>
  <c r="G2" i="1"/>
  <c r="G1" i="1"/>
  <c r="M14" i="1" s="1"/>
  <c r="N14" i="1" s="1"/>
  <c r="F9" i="1"/>
  <c r="M9" i="1" s="1"/>
  <c r="N9" i="1" s="1"/>
  <c r="P9" i="1" s="1"/>
  <c r="F10" i="1"/>
  <c r="L10" i="1" s="1"/>
  <c r="M10" i="1"/>
  <c r="N10" i="1" s="1"/>
  <c r="P10" i="1" s="1"/>
  <c r="F11" i="1"/>
  <c r="M11" i="1" s="1"/>
  <c r="N11" i="1" s="1"/>
  <c r="P11" i="1" s="1"/>
  <c r="F12" i="1"/>
  <c r="M12" i="1" s="1"/>
  <c r="N12" i="1" s="1"/>
  <c r="P12" i="1" s="1"/>
  <c r="F13" i="1"/>
  <c r="L13" i="1" s="1"/>
  <c r="F14" i="1"/>
  <c r="F15" i="1"/>
  <c r="M15" i="1"/>
  <c r="N15" i="1"/>
  <c r="P15" i="1"/>
  <c r="F16" i="1"/>
  <c r="L16" i="1" s="1"/>
  <c r="M16" i="1"/>
  <c r="N16" i="1" s="1"/>
  <c r="F17" i="1"/>
  <c r="M17" i="1" s="1"/>
  <c r="N17" i="1" s="1"/>
  <c r="F18" i="1"/>
  <c r="L18" i="1" s="1"/>
  <c r="F19" i="1"/>
  <c r="F20" i="1"/>
  <c r="M20" i="1"/>
  <c r="N20" i="1"/>
  <c r="P20" i="1"/>
  <c r="F21" i="1"/>
  <c r="M21" i="1"/>
  <c r="N21" i="1" s="1"/>
  <c r="F22" i="1"/>
  <c r="M22" i="1" s="1"/>
  <c r="N22" i="1" s="1"/>
  <c r="F23" i="1"/>
  <c r="L23" i="1" s="1"/>
  <c r="F24" i="1"/>
  <c r="F25" i="1"/>
  <c r="M25" i="1"/>
  <c r="N25" i="1"/>
  <c r="P25" i="1"/>
  <c r="F26" i="1"/>
  <c r="L26" i="1" s="1"/>
  <c r="M26" i="1"/>
  <c r="N26" i="1" s="1"/>
  <c r="P26" i="1" s="1"/>
  <c r="F27" i="1"/>
  <c r="M27" i="1" s="1"/>
  <c r="N27" i="1" s="1"/>
  <c r="P27" i="1" s="1"/>
  <c r="F28" i="1"/>
  <c r="L28" i="1" s="1"/>
  <c r="F29" i="1"/>
  <c r="M29" i="1"/>
  <c r="N29" i="1"/>
  <c r="P29" i="1" s="1"/>
  <c r="F30" i="1"/>
  <c r="M30" i="1"/>
  <c r="N30" i="1"/>
  <c r="P30" i="1"/>
  <c r="F31" i="1"/>
  <c r="L31" i="1" s="1"/>
  <c r="M31" i="1"/>
  <c r="N31" i="1" s="1"/>
  <c r="P31" i="1" s="1"/>
  <c r="F32" i="1"/>
  <c r="M32" i="1" s="1"/>
  <c r="N32" i="1" s="1"/>
  <c r="P32" i="1" s="1"/>
  <c r="F33" i="1"/>
  <c r="L33" i="1" s="1"/>
  <c r="F34" i="1"/>
  <c r="M34" i="1"/>
  <c r="N34" i="1"/>
  <c r="F35" i="1"/>
  <c r="M35" i="1"/>
  <c r="N35" i="1"/>
  <c r="P35" i="1"/>
  <c r="F36" i="1"/>
  <c r="L36" i="1" s="1"/>
  <c r="M36" i="1"/>
  <c r="N36" i="1" s="1"/>
  <c r="F37" i="1"/>
  <c r="M37" i="1" s="1"/>
  <c r="N37" i="1" s="1"/>
  <c r="F38" i="1"/>
  <c r="L38" i="1" s="1"/>
  <c r="F39" i="1"/>
  <c r="M39" i="1"/>
  <c r="N39" i="1"/>
  <c r="P39" i="1" s="1"/>
  <c r="F40" i="1"/>
  <c r="M40" i="1"/>
  <c r="N40" i="1"/>
  <c r="P40" i="1"/>
  <c r="K8" i="1"/>
  <c r="K9" i="1"/>
  <c r="K10" i="1"/>
  <c r="K11" i="1"/>
  <c r="K12" i="1"/>
  <c r="K13" i="1"/>
  <c r="K14" i="1"/>
  <c r="K15" i="1"/>
  <c r="K16" i="1"/>
  <c r="K17" i="1"/>
  <c r="K18" i="1"/>
  <c r="K19" i="1"/>
  <c r="K20" i="1"/>
  <c r="K41" i="1" s="1"/>
  <c r="K21" i="1"/>
  <c r="K22" i="1"/>
  <c r="K23" i="1"/>
  <c r="K24" i="1"/>
  <c r="K25" i="1"/>
  <c r="K26" i="1"/>
  <c r="K27" i="1"/>
  <c r="K28" i="1"/>
  <c r="K29" i="1"/>
  <c r="K30" i="1"/>
  <c r="K31" i="1"/>
  <c r="K32" i="1"/>
  <c r="K33" i="1"/>
  <c r="K34" i="1"/>
  <c r="K35" i="1"/>
  <c r="K36" i="1"/>
  <c r="K37" i="1"/>
  <c r="K38" i="1"/>
  <c r="K39" i="1"/>
  <c r="K40" i="1"/>
  <c r="L40" i="1"/>
  <c r="G40" i="1"/>
  <c r="H40" i="1"/>
  <c r="I40" i="1"/>
  <c r="L39" i="1"/>
  <c r="G39" i="1"/>
  <c r="I39" i="1" s="1"/>
  <c r="H39" i="1"/>
  <c r="G38" i="1"/>
  <c r="H38" i="1"/>
  <c r="I38" i="1"/>
  <c r="L37" i="1"/>
  <c r="G37" i="1"/>
  <c r="H37" i="1"/>
  <c r="I37" i="1" s="1"/>
  <c r="G36" i="1"/>
  <c r="H36" i="1"/>
  <c r="I36" i="1" s="1"/>
  <c r="L35" i="1"/>
  <c r="G35" i="1"/>
  <c r="H35" i="1"/>
  <c r="I35" i="1"/>
  <c r="L34" i="1"/>
  <c r="G34" i="1"/>
  <c r="I34" i="1" s="1"/>
  <c r="H34" i="1"/>
  <c r="G33" i="1"/>
  <c r="H33" i="1"/>
  <c r="I33" i="1"/>
  <c r="L32" i="1"/>
  <c r="G32" i="1"/>
  <c r="H32" i="1"/>
  <c r="I32" i="1" s="1"/>
  <c r="G31" i="1"/>
  <c r="H31" i="1"/>
  <c r="I31" i="1" s="1"/>
  <c r="L30" i="1"/>
  <c r="G30" i="1"/>
  <c r="H30" i="1"/>
  <c r="I30" i="1"/>
  <c r="L29" i="1"/>
  <c r="G29" i="1"/>
  <c r="I29" i="1" s="1"/>
  <c r="H29" i="1"/>
  <c r="G28" i="1"/>
  <c r="H28" i="1"/>
  <c r="I28" i="1"/>
  <c r="L27" i="1"/>
  <c r="G27" i="1"/>
  <c r="H27" i="1"/>
  <c r="I27" i="1" s="1"/>
  <c r="G26" i="1"/>
  <c r="H26" i="1"/>
  <c r="I26" i="1" s="1"/>
  <c r="L25" i="1"/>
  <c r="G25" i="1"/>
  <c r="H25" i="1"/>
  <c r="I25" i="1"/>
  <c r="L24" i="1"/>
  <c r="G24" i="1"/>
  <c r="I24" i="1" s="1"/>
  <c r="H24" i="1"/>
  <c r="G23" i="1"/>
  <c r="H23" i="1"/>
  <c r="I23" i="1"/>
  <c r="L22" i="1"/>
  <c r="G22" i="1"/>
  <c r="H22" i="1"/>
  <c r="I22" i="1" s="1"/>
  <c r="L21" i="1"/>
  <c r="G21" i="1"/>
  <c r="H21" i="1"/>
  <c r="I21" i="1" s="1"/>
  <c r="L20" i="1"/>
  <c r="G20" i="1"/>
  <c r="H20" i="1"/>
  <c r="I20" i="1"/>
  <c r="L19" i="1"/>
  <c r="G19" i="1"/>
  <c r="I19" i="1" s="1"/>
  <c r="H19" i="1"/>
  <c r="G18" i="1"/>
  <c r="H18" i="1"/>
  <c r="I18" i="1"/>
  <c r="L17" i="1"/>
  <c r="G17" i="1"/>
  <c r="H17" i="1"/>
  <c r="I17" i="1" s="1"/>
  <c r="G16" i="1"/>
  <c r="H16" i="1"/>
  <c r="I16" i="1" s="1"/>
  <c r="L15" i="1"/>
  <c r="G15" i="1"/>
  <c r="H15" i="1"/>
  <c r="I15" i="1"/>
  <c r="L14" i="1"/>
  <c r="G14" i="1"/>
  <c r="I14" i="1" s="1"/>
  <c r="H14" i="1"/>
  <c r="G13" i="1"/>
  <c r="H13" i="1"/>
  <c r="I13" i="1"/>
  <c r="L12" i="1"/>
  <c r="G12" i="1"/>
  <c r="H12" i="1"/>
  <c r="I12" i="1" s="1"/>
  <c r="G11" i="1"/>
  <c r="H11" i="1"/>
  <c r="I11" i="1" s="1"/>
  <c r="G10" i="1"/>
  <c r="H10" i="1"/>
  <c r="I10" i="1"/>
  <c r="G9" i="1"/>
  <c r="I9" i="1" s="1"/>
  <c r="H9" i="1"/>
  <c r="F7" i="1"/>
  <c r="G8" i="1"/>
  <c r="I8" i="1" s="1"/>
  <c r="H8" i="1"/>
  <c r="G7" i="1"/>
  <c r="I7" i="1" s="1"/>
  <c r="H7" i="1"/>
  <c r="P22" i="1" l="1"/>
  <c r="P46" i="2"/>
  <c r="P14" i="1"/>
  <c r="P11" i="2"/>
  <c r="P71" i="2"/>
  <c r="P16" i="1"/>
  <c r="P36" i="1"/>
  <c r="P17" i="1"/>
  <c r="P37" i="1"/>
  <c r="P43" i="2"/>
  <c r="P63" i="2"/>
  <c r="P22" i="9"/>
  <c r="P13" i="9"/>
  <c r="L9" i="1"/>
  <c r="M42" i="2"/>
  <c r="N42" i="2" s="1"/>
  <c r="P42" i="2" s="1"/>
  <c r="P44" i="2"/>
  <c r="I9" i="4"/>
  <c r="M11" i="4"/>
  <c r="N11" i="4" s="1"/>
  <c r="P11" i="4" s="1"/>
  <c r="I12" i="5"/>
  <c r="L22" i="5"/>
  <c r="M22" i="5"/>
  <c r="N22" i="5" s="1"/>
  <c r="L14" i="5"/>
  <c r="M14" i="5"/>
  <c r="N14" i="5" s="1"/>
  <c r="I8" i="6"/>
  <c r="L17" i="10"/>
  <c r="M17" i="10"/>
  <c r="N17" i="10" s="1"/>
  <c r="P17" i="10" s="1"/>
  <c r="L9" i="10"/>
  <c r="M9" i="10"/>
  <c r="N9" i="10" s="1"/>
  <c r="P25" i="2"/>
  <c r="M51" i="2"/>
  <c r="N51" i="2" s="1"/>
  <c r="P51" i="2" s="1"/>
  <c r="M29" i="2"/>
  <c r="N29" i="2" s="1"/>
  <c r="P29" i="2" s="1"/>
  <c r="M36" i="2"/>
  <c r="N36" i="2" s="1"/>
  <c r="P36" i="2" s="1"/>
  <c r="L75" i="2"/>
  <c r="M75" i="2"/>
  <c r="N75" i="2" s="1"/>
  <c r="P75" i="2" s="1"/>
  <c r="L20" i="9"/>
  <c r="M20" i="9"/>
  <c r="N20" i="9" s="1"/>
  <c r="P20" i="9" s="1"/>
  <c r="P20" i="12"/>
  <c r="P12" i="9"/>
  <c r="M14" i="2"/>
  <c r="N14" i="2" s="1"/>
  <c r="P14" i="2" s="1"/>
  <c r="M60" i="2"/>
  <c r="N60" i="2" s="1"/>
  <c r="P68" i="2"/>
  <c r="L18" i="4"/>
  <c r="M10" i="4"/>
  <c r="N10" i="4" s="1"/>
  <c r="P10" i="4" s="1"/>
  <c r="L10" i="4"/>
  <c r="I11" i="3"/>
  <c r="P21" i="5"/>
  <c r="P13" i="5"/>
  <c r="P11" i="6"/>
  <c r="P12" i="7"/>
  <c r="I10" i="10"/>
  <c r="J14" i="13"/>
  <c r="J4" i="13"/>
  <c r="J7" i="13"/>
  <c r="R4" i="13"/>
  <c r="J10" i="13"/>
  <c r="R11" i="13"/>
  <c r="R7" i="13"/>
  <c r="J13" i="13"/>
  <c r="R14" i="13"/>
  <c r="J6" i="13"/>
  <c r="R3" i="13"/>
  <c r="J9" i="13"/>
  <c r="R10" i="13"/>
  <c r="R6" i="13"/>
  <c r="J12" i="13"/>
  <c r="R13" i="13"/>
  <c r="R9" i="13"/>
  <c r="J5" i="13"/>
  <c r="J3" i="13"/>
  <c r="J8" i="13"/>
  <c r="J11" i="13"/>
  <c r="M45" i="2"/>
  <c r="N45" i="2" s="1"/>
  <c r="M67" i="2"/>
  <c r="N67" i="2" s="1"/>
  <c r="P67" i="2" s="1"/>
  <c r="P9" i="2"/>
  <c r="P69" i="2"/>
  <c r="L28" i="9"/>
  <c r="M28" i="9"/>
  <c r="N28" i="9" s="1"/>
  <c r="P25" i="8"/>
  <c r="F31" i="10"/>
  <c r="P28" i="12"/>
  <c r="K7" i="13"/>
  <c r="S4" i="13"/>
  <c r="K10" i="13"/>
  <c r="S11" i="13"/>
  <c r="S7" i="13"/>
  <c r="K13" i="13"/>
  <c r="S14" i="13"/>
  <c r="K6" i="13"/>
  <c r="S3" i="13"/>
  <c r="K9" i="13"/>
  <c r="S10" i="13"/>
  <c r="S6" i="13"/>
  <c r="K12" i="13"/>
  <c r="S13" i="13"/>
  <c r="S9" i="13"/>
  <c r="K5" i="13"/>
  <c r="K3" i="13"/>
  <c r="K8" i="13"/>
  <c r="S5" i="13"/>
  <c r="K14" i="13"/>
  <c r="S12" i="13"/>
  <c r="S8" i="13"/>
  <c r="P9" i="10"/>
  <c r="M12" i="2"/>
  <c r="N12" i="2" s="1"/>
  <c r="P12" i="2" s="1"/>
  <c r="L11" i="2"/>
  <c r="M30" i="2"/>
  <c r="N30" i="2" s="1"/>
  <c r="M52" i="2"/>
  <c r="N52" i="2" s="1"/>
  <c r="P52" i="2" s="1"/>
  <c r="P30" i="2"/>
  <c r="P70" i="2"/>
  <c r="L19" i="4"/>
  <c r="L18" i="3"/>
  <c r="M18" i="3"/>
  <c r="N18" i="3" s="1"/>
  <c r="P18" i="3" s="1"/>
  <c r="L10" i="6"/>
  <c r="M10" i="6"/>
  <c r="N10" i="6" s="1"/>
  <c r="P10" i="6" s="1"/>
  <c r="P28" i="9"/>
  <c r="P19" i="9"/>
  <c r="M24" i="1"/>
  <c r="N24" i="1" s="1"/>
  <c r="P24" i="1" s="1"/>
  <c r="M19" i="1"/>
  <c r="N19" i="1" s="1"/>
  <c r="P19" i="1" s="1"/>
  <c r="K76" i="2"/>
  <c r="M15" i="2"/>
  <c r="N15" i="2" s="1"/>
  <c r="P15" i="2" s="1"/>
  <c r="M37" i="2"/>
  <c r="N37" i="2" s="1"/>
  <c r="P37" i="2" s="1"/>
  <c r="M69" i="2"/>
  <c r="N69" i="2" s="1"/>
  <c r="P18" i="6"/>
  <c r="M9" i="9"/>
  <c r="N9" i="9" s="1"/>
  <c r="P9" i="9" s="1"/>
  <c r="I16" i="8"/>
  <c r="B48" i="8"/>
  <c r="L11" i="1"/>
  <c r="M22" i="2"/>
  <c r="N22" i="2" s="1"/>
  <c r="P22" i="2" s="1"/>
  <c r="M54" i="2"/>
  <c r="N54" i="2" s="1"/>
  <c r="P54" i="2" s="1"/>
  <c r="L10" i="3"/>
  <c r="M10" i="3"/>
  <c r="N10" i="3" s="1"/>
  <c r="P10" i="3" s="1"/>
  <c r="P19" i="5"/>
  <c r="P11" i="5"/>
  <c r="P27" i="9"/>
  <c r="P18" i="9"/>
  <c r="I25" i="10"/>
  <c r="M61" i="2"/>
  <c r="N61" i="2" s="1"/>
  <c r="P61" i="2" s="1"/>
  <c r="M8" i="1"/>
  <c r="N8" i="1" s="1"/>
  <c r="P8" i="1" s="1"/>
  <c r="L22" i="2"/>
  <c r="I41" i="2"/>
  <c r="I66" i="2"/>
  <c r="M39" i="2"/>
  <c r="N39" i="2" s="1"/>
  <c r="P39" i="2" s="1"/>
  <c r="P53" i="2"/>
  <c r="P73" i="2"/>
  <c r="M15" i="4"/>
  <c r="N15" i="4" s="1"/>
  <c r="P15" i="4" s="1"/>
  <c r="F19" i="6"/>
  <c r="M17" i="9"/>
  <c r="N17" i="9" s="1"/>
  <c r="P17" i="9" s="1"/>
  <c r="P9" i="8"/>
  <c r="L25" i="10"/>
  <c r="K31" i="12"/>
  <c r="K4" i="13"/>
  <c r="L12" i="2"/>
  <c r="M24" i="2"/>
  <c r="N24" i="2" s="1"/>
  <c r="P24" i="2" s="1"/>
  <c r="L70" i="2"/>
  <c r="M70" i="2"/>
  <c r="N70" i="2" s="1"/>
  <c r="L10" i="5"/>
  <c r="M10" i="5"/>
  <c r="N10" i="5" s="1"/>
  <c r="M11" i="9"/>
  <c r="N11" i="9" s="1"/>
  <c r="P11" i="9" s="1"/>
  <c r="M15" i="9"/>
  <c r="N15" i="9" s="1"/>
  <c r="P15" i="9" s="1"/>
  <c r="M19" i="9"/>
  <c r="N19" i="9" s="1"/>
  <c r="M23" i="9"/>
  <c r="N23" i="9" s="1"/>
  <c r="P23" i="9" s="1"/>
  <c r="M27" i="9"/>
  <c r="N27" i="9" s="1"/>
  <c r="L29" i="10"/>
  <c r="M29" i="10"/>
  <c r="N29" i="10" s="1"/>
  <c r="P29" i="10" s="1"/>
  <c r="L21" i="10"/>
  <c r="M21" i="10"/>
  <c r="N21" i="10" s="1"/>
  <c r="P21" i="10" s="1"/>
  <c r="L13" i="10"/>
  <c r="M13" i="10"/>
  <c r="N13" i="10" s="1"/>
  <c r="P13" i="10" s="1"/>
  <c r="M29" i="12"/>
  <c r="N29" i="12" s="1"/>
  <c r="P29" i="12" s="1"/>
  <c r="M10" i="12"/>
  <c r="N10" i="12" s="1"/>
  <c r="P10" i="12" s="1"/>
  <c r="M14" i="12"/>
  <c r="N14" i="12" s="1"/>
  <c r="P14" i="12" s="1"/>
  <c r="M18" i="12"/>
  <c r="N18" i="12" s="1"/>
  <c r="P18" i="12" s="1"/>
  <c r="M22" i="12"/>
  <c r="N22" i="12" s="1"/>
  <c r="P22" i="12" s="1"/>
  <c r="M26" i="12"/>
  <c r="N26" i="12" s="1"/>
  <c r="P26" i="12" s="1"/>
  <c r="M30" i="12"/>
  <c r="N30" i="12" s="1"/>
  <c r="P30" i="12" s="1"/>
  <c r="M38" i="1"/>
  <c r="N38" i="1" s="1"/>
  <c r="P38" i="1" s="1"/>
  <c r="M33" i="1"/>
  <c r="N33" i="1" s="1"/>
  <c r="P33" i="1" s="1"/>
  <c r="M28" i="1"/>
  <c r="N28" i="1" s="1"/>
  <c r="P28" i="1" s="1"/>
  <c r="M23" i="1"/>
  <c r="N23" i="1" s="1"/>
  <c r="P23" i="1" s="1"/>
  <c r="M18" i="1"/>
  <c r="N18" i="1" s="1"/>
  <c r="P18" i="1" s="1"/>
  <c r="M13" i="1"/>
  <c r="N13" i="1" s="1"/>
  <c r="P13" i="1" s="1"/>
  <c r="M55" i="2"/>
  <c r="N55" i="2" s="1"/>
  <c r="P55" i="2" s="1"/>
  <c r="P8" i="4"/>
  <c r="K23" i="3"/>
  <c r="I13" i="5"/>
  <c r="P18" i="5"/>
  <c r="P10" i="5"/>
  <c r="I18" i="7"/>
  <c r="M25" i="9"/>
  <c r="N25" i="9" s="1"/>
  <c r="P25" i="9" s="1"/>
  <c r="M10" i="9"/>
  <c r="N10" i="9" s="1"/>
  <c r="P10" i="9" s="1"/>
  <c r="I9" i="6"/>
  <c r="M40" i="2"/>
  <c r="N40" i="2" s="1"/>
  <c r="M62" i="2"/>
  <c r="N62" i="2" s="1"/>
  <c r="P62" i="2" s="1"/>
  <c r="K22" i="4"/>
  <c r="P16" i="6"/>
  <c r="L16" i="9"/>
  <c r="M16" i="9"/>
  <c r="N16" i="9" s="1"/>
  <c r="P16" i="9" s="1"/>
  <c r="F29" i="9"/>
  <c r="M24" i="12"/>
  <c r="N24" i="12" s="1"/>
  <c r="P24" i="12" s="1"/>
  <c r="P16" i="12"/>
  <c r="P8" i="12"/>
  <c r="M27" i="2"/>
  <c r="N27" i="2" s="1"/>
  <c r="P27" i="2" s="1"/>
  <c r="P45" i="2"/>
  <c r="L12" i="9"/>
  <c r="M12" i="9"/>
  <c r="N12" i="9" s="1"/>
  <c r="L57" i="2"/>
  <c r="M73" i="2"/>
  <c r="N73" i="2" s="1"/>
  <c r="M68" i="2"/>
  <c r="N68" i="2" s="1"/>
  <c r="M63" i="2"/>
  <c r="N63" i="2" s="1"/>
  <c r="M58" i="2"/>
  <c r="N58" i="2" s="1"/>
  <c r="P58" i="2" s="1"/>
  <c r="M53" i="2"/>
  <c r="N53" i="2" s="1"/>
  <c r="M48" i="2"/>
  <c r="N48" i="2" s="1"/>
  <c r="P48" i="2" s="1"/>
  <c r="M43" i="2"/>
  <c r="N43" i="2" s="1"/>
  <c r="M38" i="2"/>
  <c r="N38" i="2" s="1"/>
  <c r="P38" i="2" s="1"/>
  <c r="M33" i="2"/>
  <c r="N33" i="2" s="1"/>
  <c r="P33" i="2" s="1"/>
  <c r="M28" i="2"/>
  <c r="N28" i="2" s="1"/>
  <c r="P28" i="2" s="1"/>
  <c r="M23" i="2"/>
  <c r="N23" i="2" s="1"/>
  <c r="P23" i="2" s="1"/>
  <c r="M18" i="2"/>
  <c r="N18" i="2" s="1"/>
  <c r="P18" i="2" s="1"/>
  <c r="M13" i="2"/>
  <c r="N13" i="2" s="1"/>
  <c r="P13" i="2" s="1"/>
  <c r="M8" i="2"/>
  <c r="N8" i="2" s="1"/>
  <c r="P8" i="2" s="1"/>
  <c r="P12" i="6"/>
  <c r="I30" i="10"/>
  <c r="F76" i="2"/>
  <c r="M25" i="2"/>
  <c r="N25" i="2" s="1"/>
  <c r="M47" i="2"/>
  <c r="N47" i="2" s="1"/>
  <c r="P47" i="2" s="1"/>
  <c r="M71" i="2"/>
  <c r="N71" i="2" s="1"/>
  <c r="L14" i="4"/>
  <c r="M14" i="4"/>
  <c r="N14" i="4" s="1"/>
  <c r="P14" i="4" s="1"/>
  <c r="M9" i="7"/>
  <c r="N9" i="7" s="1"/>
  <c r="P9" i="7" s="1"/>
  <c r="M13" i="7"/>
  <c r="N13" i="7" s="1"/>
  <c r="P13" i="7" s="1"/>
  <c r="M17" i="7"/>
  <c r="N17" i="7" s="1"/>
  <c r="P17" i="7" s="1"/>
  <c r="M10" i="7"/>
  <c r="N10" i="7" s="1"/>
  <c r="P10" i="7" s="1"/>
  <c r="M14" i="7"/>
  <c r="N14" i="7" s="1"/>
  <c r="P14" i="7" s="1"/>
  <c r="M18" i="7"/>
  <c r="N18" i="7" s="1"/>
  <c r="P18" i="7" s="1"/>
  <c r="P8" i="9"/>
  <c r="L42" i="2"/>
  <c r="L67" i="2"/>
  <c r="M10" i="2"/>
  <c r="N10" i="2" s="1"/>
  <c r="P10" i="2" s="1"/>
  <c r="M32" i="2"/>
  <c r="N32" i="2" s="1"/>
  <c r="P32" i="2" s="1"/>
  <c r="M64" i="2"/>
  <c r="N64" i="2" s="1"/>
  <c r="P64" i="2" s="1"/>
  <c r="I21" i="4"/>
  <c r="P25" i="5"/>
  <c r="P17" i="5"/>
  <c r="P9" i="5"/>
  <c r="P15" i="6"/>
  <c r="L24" i="9"/>
  <c r="M24" i="9"/>
  <c r="N24" i="9" s="1"/>
  <c r="P24" i="9" s="1"/>
  <c r="I30" i="8"/>
  <c r="P29" i="8"/>
  <c r="P8" i="8"/>
  <c r="I20" i="10"/>
  <c r="I22" i="12"/>
  <c r="F41" i="1"/>
  <c r="M17" i="2"/>
  <c r="N17" i="2" s="1"/>
  <c r="P17" i="2" s="1"/>
  <c r="M49" i="2"/>
  <c r="N49" i="2" s="1"/>
  <c r="P49" i="2" s="1"/>
  <c r="M56" i="2"/>
  <c r="N56" i="2" s="1"/>
  <c r="P56" i="2" s="1"/>
  <c r="F22" i="4"/>
  <c r="P8" i="3"/>
  <c r="P16" i="7"/>
  <c r="P8" i="7"/>
  <c r="K32" i="8"/>
  <c r="R5" i="13"/>
  <c r="M31" i="2"/>
  <c r="N31" i="2" s="1"/>
  <c r="P31" i="2" s="1"/>
  <c r="M34" i="2"/>
  <c r="N34" i="2" s="1"/>
  <c r="P34" i="2" s="1"/>
  <c r="M72" i="2"/>
  <c r="N72" i="2" s="1"/>
  <c r="P72" i="2" s="1"/>
  <c r="P20" i="2"/>
  <c r="P40" i="2"/>
  <c r="P60" i="2"/>
  <c r="I8" i="3"/>
  <c r="L14" i="6"/>
  <c r="M14" i="6"/>
  <c r="N14" i="6" s="1"/>
  <c r="P14" i="6" s="1"/>
  <c r="M15" i="7"/>
  <c r="N15" i="7" s="1"/>
  <c r="P15" i="7" s="1"/>
  <c r="P21" i="8"/>
  <c r="P22" i="5"/>
  <c r="M19" i="2"/>
  <c r="N19" i="2" s="1"/>
  <c r="P19" i="2" s="1"/>
  <c r="M26" i="2"/>
  <c r="N26" i="2" s="1"/>
  <c r="P26" i="2" s="1"/>
  <c r="M65" i="2"/>
  <c r="N65" i="2" s="1"/>
  <c r="P65" i="2" s="1"/>
  <c r="L14" i="3"/>
  <c r="M14" i="3"/>
  <c r="N14" i="3" s="1"/>
  <c r="P14" i="3" s="1"/>
  <c r="P14" i="9"/>
  <c r="M13" i="12"/>
  <c r="N13" i="12" s="1"/>
  <c r="P13" i="12" s="1"/>
  <c r="P14" i="5"/>
  <c r="L37" i="2"/>
  <c r="L62" i="2"/>
  <c r="M50" i="2"/>
  <c r="N50" i="2" s="1"/>
  <c r="P50" i="2" s="1"/>
  <c r="M74" i="2"/>
  <c r="N74" i="2" s="1"/>
  <c r="P74" i="2" s="1"/>
  <c r="L8" i="4"/>
  <c r="F23" i="3"/>
  <c r="I16" i="3"/>
  <c r="M7" i="5"/>
  <c r="N7" i="5" s="1"/>
  <c r="L7" i="5"/>
  <c r="F26" i="5"/>
  <c r="L18" i="5"/>
  <c r="L18" i="6"/>
  <c r="I8" i="7"/>
  <c r="M13" i="9"/>
  <c r="N13" i="9" s="1"/>
  <c r="M8" i="9"/>
  <c r="N8" i="9" s="1"/>
  <c r="M8" i="11"/>
  <c r="N8" i="11" s="1"/>
  <c r="P8" i="11" s="1"/>
  <c r="F19" i="11"/>
  <c r="M11" i="13"/>
  <c r="M19" i="7"/>
  <c r="N19" i="7" s="1"/>
  <c r="P19" i="7" s="1"/>
  <c r="M11" i="7"/>
  <c r="N11" i="7" s="1"/>
  <c r="P11" i="7" s="1"/>
  <c r="M27" i="12"/>
  <c r="N27" i="12" s="1"/>
  <c r="P27" i="12" s="1"/>
  <c r="M23" i="12"/>
  <c r="N23" i="12" s="1"/>
  <c r="P23" i="12" s="1"/>
  <c r="M19" i="12"/>
  <c r="N19" i="12" s="1"/>
  <c r="P19" i="12" s="1"/>
  <c r="M15" i="12"/>
  <c r="N15" i="12" s="1"/>
  <c r="P15" i="12" s="1"/>
  <c r="U5" i="13"/>
  <c r="L8" i="13"/>
  <c r="N11" i="13"/>
  <c r="M14" i="13"/>
  <c r="L3" i="13"/>
  <c r="L5" i="13"/>
  <c r="N8" i="13"/>
  <c r="N14" i="13"/>
  <c r="M3" i="13"/>
  <c r="T13" i="13"/>
  <c r="M5" i="13"/>
  <c r="O3" i="13"/>
  <c r="U13" i="13"/>
  <c r="N5" i="13"/>
  <c r="L12" i="13"/>
  <c r="O14" i="13"/>
  <c r="T6" i="13"/>
  <c r="T10" i="13"/>
  <c r="V13" i="13"/>
  <c r="M12" i="13"/>
  <c r="M24" i="5"/>
  <c r="N24" i="5" s="1"/>
  <c r="P24" i="5" s="1"/>
  <c r="M20" i="5"/>
  <c r="N20" i="5" s="1"/>
  <c r="P20" i="5" s="1"/>
  <c r="M16" i="5"/>
  <c r="N16" i="5" s="1"/>
  <c r="P16" i="5" s="1"/>
  <c r="M12" i="5"/>
  <c r="N12" i="5" s="1"/>
  <c r="P12" i="5" s="1"/>
  <c r="M16" i="6"/>
  <c r="N16" i="6" s="1"/>
  <c r="M12" i="6"/>
  <c r="N12" i="6" s="1"/>
  <c r="M26" i="9"/>
  <c r="N26" i="9" s="1"/>
  <c r="P26" i="9" s="1"/>
  <c r="M22" i="9"/>
  <c r="N22" i="9" s="1"/>
  <c r="M18" i="9"/>
  <c r="N18" i="9" s="1"/>
  <c r="M14" i="9"/>
  <c r="N14" i="9" s="1"/>
  <c r="M27" i="10"/>
  <c r="N27" i="10" s="1"/>
  <c r="P27" i="10" s="1"/>
  <c r="M23" i="10"/>
  <c r="N23" i="10" s="1"/>
  <c r="P23" i="10" s="1"/>
  <c r="M19" i="10"/>
  <c r="N19" i="10" s="1"/>
  <c r="P19" i="10" s="1"/>
  <c r="M15" i="10"/>
  <c r="N15" i="10" s="1"/>
  <c r="P15" i="10" s="1"/>
  <c r="M11" i="10"/>
  <c r="N11" i="10" s="1"/>
  <c r="P11" i="10" s="1"/>
  <c r="U6" i="13"/>
  <c r="U10" i="13"/>
  <c r="W13" i="13"/>
  <c r="L9" i="13"/>
  <c r="N12" i="13"/>
  <c r="M17" i="4"/>
  <c r="N17" i="4" s="1"/>
  <c r="P17" i="4" s="1"/>
  <c r="M9" i="3"/>
  <c r="N9" i="3" s="1"/>
  <c r="P9" i="3" s="1"/>
  <c r="L11" i="5"/>
  <c r="T3" i="13"/>
  <c r="V6" i="13"/>
  <c r="V10" i="13"/>
  <c r="M9" i="13"/>
  <c r="O12" i="13"/>
  <c r="M30" i="8"/>
  <c r="N30" i="8" s="1"/>
  <c r="P30" i="8" s="1"/>
  <c r="M26" i="8"/>
  <c r="N26" i="8" s="1"/>
  <c r="P26" i="8" s="1"/>
  <c r="M22" i="8"/>
  <c r="N22" i="8" s="1"/>
  <c r="P22" i="8" s="1"/>
  <c r="M18" i="8"/>
  <c r="N18" i="8" s="1"/>
  <c r="P18" i="8" s="1"/>
  <c r="M14" i="8"/>
  <c r="N14" i="8" s="1"/>
  <c r="P14" i="8" s="1"/>
  <c r="M10" i="8"/>
  <c r="N10" i="8" s="1"/>
  <c r="P10" i="8" s="1"/>
  <c r="M18" i="11"/>
  <c r="N18" i="11" s="1"/>
  <c r="P18" i="11" s="1"/>
  <c r="M14" i="11"/>
  <c r="N14" i="11" s="1"/>
  <c r="P14" i="11" s="1"/>
  <c r="M10" i="11"/>
  <c r="N10" i="11" s="1"/>
  <c r="P10" i="11" s="1"/>
  <c r="U3" i="13"/>
  <c r="W6" i="13"/>
  <c r="W10" i="13"/>
  <c r="L6" i="13"/>
  <c r="N9" i="13"/>
  <c r="L9" i="6"/>
  <c r="V3" i="13"/>
  <c r="T14" i="13"/>
  <c r="M6" i="13"/>
  <c r="O9" i="13"/>
  <c r="L8" i="9"/>
  <c r="W3" i="13"/>
  <c r="U14" i="13"/>
  <c r="N6" i="13"/>
  <c r="L13" i="13"/>
  <c r="L16" i="4"/>
  <c r="L23" i="5"/>
  <c r="L11" i="6"/>
  <c r="M30" i="10"/>
  <c r="N30" i="10" s="1"/>
  <c r="P30" i="10" s="1"/>
  <c r="M26" i="10"/>
  <c r="N26" i="10" s="1"/>
  <c r="P26" i="10" s="1"/>
  <c r="M22" i="10"/>
  <c r="N22" i="10" s="1"/>
  <c r="P22" i="10" s="1"/>
  <c r="T7" i="13"/>
  <c r="T11" i="13"/>
  <c r="V14" i="13"/>
  <c r="O6" i="13"/>
  <c r="M13" i="13"/>
  <c r="U7" i="13"/>
  <c r="U11" i="13"/>
  <c r="W14" i="13"/>
  <c r="L10" i="13"/>
  <c r="N13" i="13"/>
  <c r="M17" i="8"/>
  <c r="N17" i="8" s="1"/>
  <c r="P17" i="8" s="1"/>
  <c r="M13" i="8"/>
  <c r="N13" i="8" s="1"/>
  <c r="P13" i="8" s="1"/>
  <c r="M17" i="11"/>
  <c r="N17" i="11" s="1"/>
  <c r="P17" i="11" s="1"/>
  <c r="M13" i="11"/>
  <c r="N13" i="11" s="1"/>
  <c r="P13" i="11" s="1"/>
  <c r="T4" i="13"/>
  <c r="V7" i="13"/>
  <c r="V11" i="13"/>
  <c r="N3" i="13"/>
  <c r="M10" i="13"/>
  <c r="O13" i="13"/>
  <c r="W7" i="13"/>
  <c r="P77" i="2" l="1"/>
  <c r="P78" i="2" s="1"/>
  <c r="P27" i="5"/>
  <c r="P32" i="10"/>
  <c r="P19" i="6"/>
  <c r="P20" i="6"/>
  <c r="M31" i="10"/>
  <c r="N31" i="10" s="1"/>
  <c r="P31" i="10" s="1"/>
  <c r="L31" i="10"/>
  <c r="P33" i="10"/>
  <c r="P23" i="4"/>
  <c r="P24" i="4"/>
  <c r="P23" i="3"/>
  <c r="P24" i="3"/>
  <c r="P32" i="8"/>
  <c r="P33" i="8"/>
  <c r="P30" i="9"/>
  <c r="P29" i="9"/>
  <c r="P32" i="12"/>
  <c r="P31" i="12"/>
  <c r="P20" i="11"/>
  <c r="P19" i="11"/>
  <c r="P41" i="1"/>
  <c r="P42" i="1" s="1"/>
  <c r="P28" i="5"/>
  <c r="P21" i="7"/>
  <c r="P20" i="7"/>
</calcChain>
</file>

<file path=xl/comments1.xml><?xml version="1.0" encoding="utf-8"?>
<comments xmlns="http://schemas.openxmlformats.org/spreadsheetml/2006/main">
  <authors>
    <author>Anthony F Leveling</author>
  </authors>
  <commentList>
    <comment ref="D1" authorId="0" shapeId="0">
      <text>
        <r>
          <rPr>
            <b/>
            <sz val="8"/>
            <color indexed="81"/>
            <rFont val="Tahoma"/>
            <family val="2"/>
          </rPr>
          <t>389 us from one photo
380 us from another one</t>
        </r>
      </text>
    </comment>
    <comment ref="A14" authorId="0" shapeId="0">
      <text>
        <r>
          <rPr>
            <b/>
            <sz val="8"/>
            <color indexed="81"/>
            <rFont val="Tahoma"/>
            <family val="2"/>
          </rPr>
          <t>assumed no significant pulses at pot setting of 4.5. PS kept tripping off.</t>
        </r>
        <r>
          <rPr>
            <sz val="8"/>
            <color indexed="81"/>
            <rFont val="Tahoma"/>
            <family val="2"/>
          </rPr>
          <t xml:space="preserve">
</t>
        </r>
      </text>
    </comment>
    <comment ref="E14" authorId="0" shapeId="0">
      <text>
        <r>
          <rPr>
            <b/>
            <sz val="8"/>
            <color indexed="81"/>
            <rFont val="Tahoma"/>
            <family val="2"/>
          </rPr>
          <t>date in log book is 11/9. Hard to believe it sat around for a whole month and didn't get tested. This date is an assumed one.</t>
        </r>
        <r>
          <rPr>
            <sz val="8"/>
            <color indexed="81"/>
            <rFont val="Tahoma"/>
            <family val="2"/>
          </rPr>
          <t xml:space="preserve">
</t>
        </r>
      </text>
    </comment>
  </commentList>
</comments>
</file>

<file path=xl/comments2.xml><?xml version="1.0" encoding="utf-8"?>
<comments xmlns="http://schemas.openxmlformats.org/spreadsheetml/2006/main">
  <authors>
    <author>Anthony F Leveling</author>
  </authors>
  <commentList>
    <comment ref="C7" authorId="0" shapeId="0">
      <text>
        <r>
          <rPr>
            <b/>
            <sz val="8"/>
            <color indexed="81"/>
            <rFont val="Tahoma"/>
            <family val="2"/>
          </rPr>
          <t>no bias supply until late in pot setting of 1.1. Bdot and rog values not meaningful at 0.4 pot</t>
        </r>
      </text>
    </comment>
  </commentList>
</comments>
</file>

<file path=xl/comments3.xml><?xml version="1.0" encoding="utf-8"?>
<comments xmlns="http://schemas.openxmlformats.org/spreadsheetml/2006/main">
  <authors>
    <author>Anthony F Leveling</author>
  </authors>
  <commentList>
    <comment ref="C7" authorId="0" shapeId="0">
      <text>
        <r>
          <rPr>
            <b/>
            <sz val="8"/>
            <color indexed="81"/>
            <rFont val="Tahoma"/>
            <family val="2"/>
          </rPr>
          <t>bad rogowski coil</t>
        </r>
      </text>
    </comment>
    <comment ref="D18" authorId="0" shapeId="0">
      <text>
        <r>
          <rPr>
            <b/>
            <sz val="8"/>
            <color indexed="81"/>
            <rFont val="Tahoma"/>
            <family val="2"/>
          </rPr>
          <t>Bdot voltage assumed; not recorded in logbook</t>
        </r>
      </text>
    </comment>
  </commentList>
</comments>
</file>

<file path=xl/comments4.xml><?xml version="1.0" encoding="utf-8"?>
<comments xmlns="http://schemas.openxmlformats.org/spreadsheetml/2006/main">
  <authors>
    <author>Anthony F Leveling</author>
  </authors>
  <commentList>
    <comment ref="A25" authorId="0" shapeId="0">
      <text>
        <r>
          <rPr>
            <b/>
            <sz val="8"/>
            <color indexed="81"/>
            <rFont val="Tahoma"/>
            <family val="2"/>
          </rPr>
          <t>assumed values for Rogowski coil, Bdot coil and date; these were not recorded in logbook</t>
        </r>
      </text>
    </comment>
  </commentList>
</comments>
</file>

<file path=xl/sharedStrings.xml><?xml version="1.0" encoding="utf-8"?>
<sst xmlns="http://schemas.openxmlformats.org/spreadsheetml/2006/main" count="516" uniqueCount="59">
  <si>
    <t>POT</t>
  </si>
  <si>
    <t>ROG</t>
  </si>
  <si>
    <t>Bdot</t>
  </si>
  <si>
    <t>date</t>
  </si>
  <si>
    <t>grad(Bdot)/grad(Rog)</t>
  </si>
  <si>
    <t>pulse count</t>
  </si>
  <si>
    <t>Lens 28</t>
  </si>
  <si>
    <t>calculated grad(Bdot)</t>
  </si>
  <si>
    <t>calcualated grad(Rog)</t>
  </si>
  <si>
    <t>cap voltage by pot relationship (y = 0.2027x + 1.2055)</t>
  </si>
  <si>
    <t>average pulse width:</t>
  </si>
  <si>
    <t>us</t>
  </si>
  <si>
    <t>max</t>
  </si>
  <si>
    <t>at cap voltage</t>
  </si>
  <si>
    <t>peak current</t>
  </si>
  <si>
    <t>calculated pulse width:</t>
  </si>
  <si>
    <t>effective inductance:</t>
  </si>
  <si>
    <t>henry</t>
  </si>
  <si>
    <t>effective resistance:</t>
  </si>
  <si>
    <t>ohm</t>
  </si>
  <si>
    <t>alpha:</t>
  </si>
  <si>
    <t>omega:</t>
  </si>
  <si>
    <t>test station capacitance:</t>
  </si>
  <si>
    <t>farad</t>
  </si>
  <si>
    <t>undamped peak current</t>
  </si>
  <si>
    <t>time at peak</t>
  </si>
  <si>
    <t>Hz</t>
  </si>
  <si>
    <t>s</t>
  </si>
  <si>
    <t>Lens 27</t>
  </si>
  <si>
    <t>Lens 24</t>
  </si>
  <si>
    <t>retest</t>
  </si>
  <si>
    <t>Lens 25</t>
  </si>
  <si>
    <t>5./15/99</t>
  </si>
  <si>
    <t>Lens 23</t>
  </si>
  <si>
    <t>Lens 22</t>
  </si>
  <si>
    <t>no waveform</t>
  </si>
  <si>
    <t>Lens 20</t>
  </si>
  <si>
    <t>Lens 21</t>
  </si>
  <si>
    <t>10/*1/95</t>
  </si>
  <si>
    <t>Lens 18</t>
  </si>
  <si>
    <t>Lens 17</t>
  </si>
  <si>
    <t>LENS 18 was also tested previously up to about 80,000 pulses at pot setting as high as 3.75. The transformer had to be replaced when arcing occurred between the lens and transformer.</t>
  </si>
  <si>
    <t>Lens 16</t>
  </si>
  <si>
    <t>Lens #</t>
  </si>
  <si>
    <t>bdot vs pot</t>
  </si>
  <si>
    <t>rog vs pot</t>
  </si>
  <si>
    <t>rog vs bdot</t>
  </si>
  <si>
    <t>slope</t>
  </si>
  <si>
    <t>y intercept</t>
  </si>
  <si>
    <t>24 retest</t>
  </si>
  <si>
    <t>Deltas</t>
  </si>
  <si>
    <t>fractional delta</t>
  </si>
  <si>
    <t>Pearson calibration</t>
  </si>
  <si>
    <t>min</t>
  </si>
  <si>
    <t>measured/calculated</t>
  </si>
  <si>
    <t>gradient</t>
  </si>
  <si>
    <t>peak current KA</t>
  </si>
  <si>
    <t>damped peak current KA</t>
  </si>
  <si>
    <t>damped peak current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</si>
</sst>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2" formatCode="0.000"/>
    <numFmt numFmtId="173" formatCode="0.0"/>
  </numFmts>
  <fonts count="8">
    <font>
      <sz val="10"/>
      <name val="MathSoftText"/>
    </font>
    <font>
      <sz val="10"/>
      <name val="MathSoftText"/>
    </font>
    <font>
      <sz val="10"/>
      <name val="MathSoftText"/>
    </font>
    <font>
      <sz val="9"/>
      <name val="MathSoftText"/>
    </font>
    <font>
      <b/>
      <sz val="8"/>
      <color indexed="81"/>
      <name val="Tahoma"/>
      <family val="2"/>
    </font>
    <font>
      <sz val="8"/>
      <color indexed="81"/>
      <name val="Tahoma"/>
      <family val="2"/>
    </font>
    <font>
      <sz val="10"/>
      <color indexed="10"/>
      <name val="MathSoftText"/>
    </font>
    <font>
      <sz val="10"/>
      <name val="Arial"/>
      <family val="2"/>
    </font>
  </fonts>
  <fills count="2">
    <fill>
      <patternFill patternType="none"/>
    </fill>
    <fill>
      <patternFill patternType="gray125"/>
    </fill>
  </fills>
  <borders count="9">
    <border>
      <left/>
      <right/>
      <top/>
      <bottom/>
      <diagonal/>
    </border>
    <border>
      <left style="thin">
        <color indexed="15"/>
      </left>
      <right/>
      <top style="thin">
        <color indexed="15"/>
      </top>
      <bottom/>
      <diagonal/>
    </border>
    <border>
      <left/>
      <right style="thin">
        <color indexed="15"/>
      </right>
      <top style="thin">
        <color indexed="15"/>
      </top>
      <bottom/>
      <diagonal/>
    </border>
    <border>
      <left style="thin">
        <color indexed="15"/>
      </left>
      <right/>
      <top/>
      <bottom style="thin">
        <color indexed="15"/>
      </bottom>
      <diagonal/>
    </border>
    <border>
      <left/>
      <right style="thin">
        <color indexed="15"/>
      </right>
      <top/>
      <bottom style="thin">
        <color indexed="15"/>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48">
    <xf numFmtId="0" fontId="0" fillId="0" borderId="0" xfId="0"/>
    <xf numFmtId="0" fontId="1" fillId="0" borderId="0" xfId="0" applyFont="1"/>
    <xf numFmtId="0" fontId="1" fillId="0" borderId="0" xfId="0" applyFont="1" applyAlignment="1">
      <alignment horizontal="center" vertical="center" wrapText="1"/>
    </xf>
    <xf numFmtId="0" fontId="2" fillId="0" borderId="0" xfId="0" applyFont="1"/>
    <xf numFmtId="0" fontId="2" fillId="0" borderId="0" xfId="0" applyFont="1" applyAlignment="1">
      <alignment horizontal="center"/>
    </xf>
    <xf numFmtId="0" fontId="2" fillId="0" borderId="0" xfId="0" applyFont="1" applyAlignment="1">
      <alignment horizontal="center" vertical="center" wrapText="1"/>
    </xf>
    <xf numFmtId="0" fontId="2" fillId="0" borderId="0" xfId="0" applyFont="1" applyAlignment="1">
      <alignment wrapText="1"/>
    </xf>
    <xf numFmtId="0" fontId="1" fillId="0" borderId="0" xfId="0" applyFont="1" applyAlignment="1">
      <alignment horizontal="right"/>
    </xf>
    <xf numFmtId="0" fontId="2" fillId="0" borderId="0" xfId="0" applyFont="1" applyAlignment="1">
      <alignment horizontal="center" vertical="center"/>
    </xf>
    <xf numFmtId="2" fontId="2" fillId="0" borderId="0" xfId="0" applyNumberFormat="1" applyFont="1" applyAlignment="1">
      <alignment horizontal="center" vertical="center"/>
    </xf>
    <xf numFmtId="14" fontId="2" fillId="0" borderId="0" xfId="0" applyNumberFormat="1" applyFont="1" applyAlignment="1">
      <alignment horizontal="center" vertical="center"/>
    </xf>
    <xf numFmtId="172" fontId="2" fillId="0" borderId="0" xfId="0" applyNumberFormat="1" applyFont="1" applyAlignment="1">
      <alignment horizontal="center" vertical="center"/>
    </xf>
    <xf numFmtId="1" fontId="2" fillId="0" borderId="0" xfId="0" applyNumberFormat="1" applyFont="1" applyAlignment="1">
      <alignment horizontal="center" vertical="center"/>
    </xf>
    <xf numFmtId="0" fontId="3" fillId="0" borderId="0" xfId="0" applyFont="1"/>
    <xf numFmtId="0" fontId="3" fillId="0" borderId="0" xfId="0" applyFont="1" applyAlignment="1">
      <alignment horizontal="center" vertical="center" wrapText="1" shrinkToFit="1"/>
    </xf>
    <xf numFmtId="1" fontId="2" fillId="0" borderId="0" xfId="0" applyNumberFormat="1" applyFont="1"/>
    <xf numFmtId="11" fontId="2" fillId="0" borderId="0" xfId="0" applyNumberFormat="1" applyFont="1"/>
    <xf numFmtId="11" fontId="1" fillId="0" borderId="0" xfId="0" applyNumberFormat="1" applyFont="1"/>
    <xf numFmtId="0" fontId="2" fillId="0" borderId="0" xfId="0" applyFont="1" applyAlignment="1">
      <alignment horizontal="right"/>
    </xf>
    <xf numFmtId="0" fontId="1" fillId="0" borderId="0" xfId="0" applyFont="1" applyAlignment="1">
      <alignment horizontal="right" vertical="center"/>
    </xf>
    <xf numFmtId="2" fontId="1" fillId="0" borderId="0" xfId="0" applyNumberFormat="1" applyFont="1" applyAlignment="1">
      <alignment horizontal="right" vertical="center"/>
    </xf>
    <xf numFmtId="2" fontId="1" fillId="0" borderId="0" xfId="0" applyNumberFormat="1" applyFont="1" applyAlignment="1">
      <alignment horizontal="center" vertical="center" wrapText="1"/>
    </xf>
    <xf numFmtId="2" fontId="2" fillId="0" borderId="0" xfId="0" applyNumberFormat="1" applyFont="1" applyAlignment="1">
      <alignment horizontal="center" vertical="center" wrapText="1"/>
    </xf>
    <xf numFmtId="2" fontId="1" fillId="0" borderId="0" xfId="0" applyNumberFormat="1" applyFont="1" applyAlignment="1">
      <alignment horizontal="center" vertical="center"/>
    </xf>
    <xf numFmtId="2" fontId="2" fillId="0" borderId="0" xfId="0" applyNumberFormat="1" applyFont="1" applyAlignment="1">
      <alignment horizontal="center"/>
    </xf>
    <xf numFmtId="0" fontId="1" fillId="0" borderId="0" xfId="0" applyFont="1" applyAlignment="1">
      <alignment horizontal="center"/>
    </xf>
    <xf numFmtId="11" fontId="1" fillId="0" borderId="0" xfId="0" applyNumberFormat="1" applyFont="1" applyAlignment="1">
      <alignment horizontal="center"/>
    </xf>
    <xf numFmtId="0" fontId="3" fillId="0" borderId="0" xfId="0" applyFont="1" applyAlignment="1">
      <alignment horizontal="center"/>
    </xf>
    <xf numFmtId="11" fontId="2" fillId="0" borderId="0" xfId="0" applyNumberFormat="1" applyFont="1" applyAlignment="1">
      <alignment horizontal="center"/>
    </xf>
    <xf numFmtId="1" fontId="2" fillId="0" borderId="0" xfId="0" applyNumberFormat="1" applyFont="1" applyAlignment="1">
      <alignment horizontal="center"/>
    </xf>
    <xf numFmtId="14" fontId="2" fillId="0" borderId="0" xfId="0" applyNumberFormat="1" applyFont="1" applyAlignment="1">
      <alignment horizontal="center"/>
    </xf>
    <xf numFmtId="2" fontId="2" fillId="0" borderId="0" xfId="0" applyNumberFormat="1" applyFont="1" applyAlignment="1">
      <alignment horizontal="right" vertical="center"/>
    </xf>
    <xf numFmtId="173" fontId="2" fillId="0" borderId="0" xfId="0" applyNumberFormat="1" applyFont="1" applyAlignment="1">
      <alignment horizontal="center"/>
    </xf>
    <xf numFmtId="0" fontId="6" fillId="0" borderId="0" xfId="0" applyFont="1" applyAlignment="1">
      <alignment horizontal="center"/>
    </xf>
    <xf numFmtId="1" fontId="6" fillId="0" borderId="0" xfId="0" applyNumberFormat="1" applyFont="1" applyAlignment="1">
      <alignment horizontal="center"/>
    </xf>
    <xf numFmtId="2" fontId="6" fillId="0" borderId="0" xfId="0" applyNumberFormat="1" applyFont="1" applyAlignment="1">
      <alignment horizontal="center"/>
    </xf>
    <xf numFmtId="173" fontId="6" fillId="0" borderId="0" xfId="0" applyNumberFormat="1" applyFont="1" applyAlignment="1">
      <alignment horizontal="center"/>
    </xf>
    <xf numFmtId="14" fontId="6" fillId="0" borderId="0" xfId="0" applyNumberFormat="1" applyFont="1" applyAlignment="1">
      <alignment horizontal="center"/>
    </xf>
    <xf numFmtId="0" fontId="0" fillId="0" borderId="1" xfId="0" applyBorder="1" applyAlignment="1">
      <alignment horizontal="centerContinuous"/>
    </xf>
    <xf numFmtId="0" fontId="0" fillId="0" borderId="2" xfId="0" applyBorder="1" applyAlignment="1">
      <alignment horizontal="centerContinuous"/>
    </xf>
    <xf numFmtId="0" fontId="0" fillId="0" borderId="3" xfId="0" applyBorder="1" applyAlignment="1">
      <alignment horizontal="center"/>
    </xf>
    <xf numFmtId="0" fontId="0" fillId="0" borderId="4" xfId="0" applyBorder="1" applyAlignment="1">
      <alignment horizontal="center"/>
    </xf>
    <xf numFmtId="9" fontId="0" fillId="0" borderId="0" xfId="0" applyNumberFormat="1"/>
    <xf numFmtId="2" fontId="2" fillId="0" borderId="0" xfId="0" applyNumberFormat="1" applyFont="1"/>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7" xfId="0" applyFont="1" applyBorder="1" applyAlignment="1">
      <alignment horizontal="center" vertical="top" wrapText="1"/>
    </xf>
    <xf numFmtId="0" fontId="7" fillId="0" borderId="8"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0" i="0" u="none" strike="noStrike" baseline="0">
                <a:solidFill>
                  <a:srgbClr val="000000"/>
                </a:solidFill>
                <a:latin typeface="MathSoftText"/>
                <a:ea typeface="MathSoftText"/>
                <a:cs typeface="MathSoftText"/>
              </a:defRPr>
            </a:pPr>
            <a:r>
              <a:rPr lang="en-GB"/>
              <a:t>curve fit parameters by lens</a:t>
            </a:r>
          </a:p>
        </c:rich>
      </c:tx>
      <c:layout>
        <c:manualLayout>
          <c:xMode val="edge"/>
          <c:yMode val="edge"/>
          <c:x val="0.36905898239453921"/>
          <c:y val="3.2013221234085745E-2"/>
        </c:manualLayout>
      </c:layout>
      <c:overlay val="0"/>
      <c:spPr>
        <a:noFill/>
        <a:ln w="25400">
          <a:noFill/>
        </a:ln>
      </c:spPr>
    </c:title>
    <c:autoTitleDeleted val="0"/>
    <c:plotArea>
      <c:layout>
        <c:manualLayout>
          <c:layoutTarget val="inner"/>
          <c:xMode val="edge"/>
          <c:yMode val="edge"/>
          <c:x val="0.10416987406297477"/>
          <c:y val="0.16006610617042874"/>
          <c:w val="0.60120898744916873"/>
          <c:h val="0.59148237327739384"/>
        </c:manualLayout>
      </c:layout>
      <c:barChart>
        <c:barDir val="col"/>
        <c:grouping val="clustered"/>
        <c:varyColors val="0"/>
        <c:ser>
          <c:idx val="1"/>
          <c:order val="0"/>
          <c:tx>
            <c:v>bdot vs pot slope</c:v>
          </c:tx>
          <c:spPr>
            <a:solidFill>
              <a:srgbClr val="993366"/>
            </a:solidFill>
            <a:ln w="12700">
              <a:solidFill>
                <a:srgbClr val="000000"/>
              </a:solidFill>
              <a:prstDash val="solid"/>
            </a:ln>
          </c:spPr>
          <c:invertIfNegative val="0"/>
          <c:cat>
            <c:strRef>
              <c:f>'Coil slope intercepts'!$A$3:$A$14</c:f>
              <c:strCache>
                <c:ptCount val="12"/>
                <c:pt idx="0">
                  <c:v>16</c:v>
                </c:pt>
                <c:pt idx="1">
                  <c:v>17</c:v>
                </c:pt>
                <c:pt idx="2">
                  <c:v>18</c:v>
                </c:pt>
                <c:pt idx="3">
                  <c:v>21</c:v>
                </c:pt>
                <c:pt idx="4">
                  <c:v>20</c:v>
                </c:pt>
                <c:pt idx="5">
                  <c:v>22</c:v>
                </c:pt>
                <c:pt idx="6">
                  <c:v>23</c:v>
                </c:pt>
                <c:pt idx="7">
                  <c:v>24</c:v>
                </c:pt>
                <c:pt idx="8">
                  <c:v>25</c:v>
                </c:pt>
                <c:pt idx="9">
                  <c:v>24 retest</c:v>
                </c:pt>
                <c:pt idx="10">
                  <c:v>27</c:v>
                </c:pt>
                <c:pt idx="11">
                  <c:v>28</c:v>
                </c:pt>
              </c:strCache>
            </c:strRef>
          </c:cat>
          <c:val>
            <c:numRef>
              <c:f>'Coil slope intercepts'!$B$3:$B$14</c:f>
              <c:numCache>
                <c:formatCode>General</c:formatCode>
                <c:ptCount val="12"/>
                <c:pt idx="0">
                  <c:v>0.45679999999999998</c:v>
                </c:pt>
                <c:pt idx="1">
                  <c:v>0.36849999999999999</c:v>
                </c:pt>
                <c:pt idx="2">
                  <c:v>0.43809999999999999</c:v>
                </c:pt>
                <c:pt idx="3">
                  <c:v>0.44590000000000002</c:v>
                </c:pt>
                <c:pt idx="4">
                  <c:v>0.45440000000000003</c:v>
                </c:pt>
                <c:pt idx="5">
                  <c:v>0.5131</c:v>
                </c:pt>
                <c:pt idx="6">
                  <c:v>0.40129999999999999</c:v>
                </c:pt>
                <c:pt idx="7">
                  <c:v>0.44790000000000002</c:v>
                </c:pt>
                <c:pt idx="8">
                  <c:v>0.45779999999999998</c:v>
                </c:pt>
                <c:pt idx="9">
                  <c:v>0.33289999999999997</c:v>
                </c:pt>
                <c:pt idx="10">
                  <c:v>0.38619999999999999</c:v>
                </c:pt>
                <c:pt idx="11">
                  <c:v>0.36559999999999998</c:v>
                </c:pt>
              </c:numCache>
            </c:numRef>
          </c:val>
          <c:extLst>
            <c:ext xmlns:c16="http://schemas.microsoft.com/office/drawing/2014/chart" uri="{C3380CC4-5D6E-409C-BE32-E72D297353CC}">
              <c16:uniqueId val="{00000000-B7D6-4789-9342-90D7E1DB452A}"/>
            </c:ext>
          </c:extLst>
        </c:ser>
        <c:ser>
          <c:idx val="3"/>
          <c:order val="2"/>
          <c:tx>
            <c:v>rog vs pot slope</c:v>
          </c:tx>
          <c:spPr>
            <a:solidFill>
              <a:srgbClr val="CCFFFF"/>
            </a:solidFill>
            <a:ln w="12700">
              <a:solidFill>
                <a:srgbClr val="000000"/>
              </a:solidFill>
              <a:prstDash val="solid"/>
            </a:ln>
          </c:spPr>
          <c:invertIfNegative val="0"/>
          <c:cat>
            <c:strRef>
              <c:f>'Coil slope intercepts'!$A$3:$A$14</c:f>
              <c:strCache>
                <c:ptCount val="12"/>
                <c:pt idx="0">
                  <c:v>16</c:v>
                </c:pt>
                <c:pt idx="1">
                  <c:v>17</c:v>
                </c:pt>
                <c:pt idx="2">
                  <c:v>18</c:v>
                </c:pt>
                <c:pt idx="3">
                  <c:v>21</c:v>
                </c:pt>
                <c:pt idx="4">
                  <c:v>20</c:v>
                </c:pt>
                <c:pt idx="5">
                  <c:v>22</c:v>
                </c:pt>
                <c:pt idx="6">
                  <c:v>23</c:v>
                </c:pt>
                <c:pt idx="7">
                  <c:v>24</c:v>
                </c:pt>
                <c:pt idx="8">
                  <c:v>25</c:v>
                </c:pt>
                <c:pt idx="9">
                  <c:v>24 retest</c:v>
                </c:pt>
                <c:pt idx="10">
                  <c:v>27</c:v>
                </c:pt>
                <c:pt idx="11">
                  <c:v>28</c:v>
                </c:pt>
              </c:strCache>
            </c:strRef>
          </c:cat>
          <c:val>
            <c:numRef>
              <c:f>'Coil slope intercepts'!$D$3:$D$14</c:f>
              <c:numCache>
                <c:formatCode>General</c:formatCode>
                <c:ptCount val="12"/>
                <c:pt idx="0">
                  <c:v>5.74E-2</c:v>
                </c:pt>
                <c:pt idx="1">
                  <c:v>3.9E-2</c:v>
                </c:pt>
                <c:pt idx="2">
                  <c:v>5.5899999999999998E-2</c:v>
                </c:pt>
                <c:pt idx="3">
                  <c:v>4.8899999999999999E-2</c:v>
                </c:pt>
                <c:pt idx="4">
                  <c:v>4.8899999999999999E-2</c:v>
                </c:pt>
                <c:pt idx="5">
                  <c:v>5.5800000000000002E-2</c:v>
                </c:pt>
                <c:pt idx="7">
                  <c:v>6.1100000000000002E-2</c:v>
                </c:pt>
                <c:pt idx="8">
                  <c:v>5.6899999999999999E-2</c:v>
                </c:pt>
                <c:pt idx="9">
                  <c:v>4.5600000000000002E-2</c:v>
                </c:pt>
                <c:pt idx="10">
                  <c:v>5.1400000000000001E-2</c:v>
                </c:pt>
                <c:pt idx="11">
                  <c:v>5.4300000000000001E-2</c:v>
                </c:pt>
              </c:numCache>
            </c:numRef>
          </c:val>
          <c:extLst>
            <c:ext xmlns:c16="http://schemas.microsoft.com/office/drawing/2014/chart" uri="{C3380CC4-5D6E-409C-BE32-E72D297353CC}">
              <c16:uniqueId val="{00000001-B7D6-4789-9342-90D7E1DB452A}"/>
            </c:ext>
          </c:extLst>
        </c:ser>
        <c:ser>
          <c:idx val="4"/>
          <c:order val="3"/>
          <c:tx>
            <c:v>rog vs pot intercept</c:v>
          </c:tx>
          <c:spPr>
            <a:solidFill>
              <a:srgbClr val="660066"/>
            </a:solidFill>
            <a:ln w="12700">
              <a:solidFill>
                <a:srgbClr val="000000"/>
              </a:solidFill>
              <a:prstDash val="solid"/>
            </a:ln>
          </c:spPr>
          <c:invertIfNegative val="0"/>
          <c:cat>
            <c:strRef>
              <c:f>'Coil slope intercepts'!$A$3:$A$14</c:f>
              <c:strCache>
                <c:ptCount val="12"/>
                <c:pt idx="0">
                  <c:v>16</c:v>
                </c:pt>
                <c:pt idx="1">
                  <c:v>17</c:v>
                </c:pt>
                <c:pt idx="2">
                  <c:v>18</c:v>
                </c:pt>
                <c:pt idx="3">
                  <c:v>21</c:v>
                </c:pt>
                <c:pt idx="4">
                  <c:v>20</c:v>
                </c:pt>
                <c:pt idx="5">
                  <c:v>22</c:v>
                </c:pt>
                <c:pt idx="6">
                  <c:v>23</c:v>
                </c:pt>
                <c:pt idx="7">
                  <c:v>24</c:v>
                </c:pt>
                <c:pt idx="8">
                  <c:v>25</c:v>
                </c:pt>
                <c:pt idx="9">
                  <c:v>24 retest</c:v>
                </c:pt>
                <c:pt idx="10">
                  <c:v>27</c:v>
                </c:pt>
                <c:pt idx="11">
                  <c:v>28</c:v>
                </c:pt>
              </c:strCache>
            </c:strRef>
          </c:cat>
          <c:val>
            <c:numRef>
              <c:f>'Coil slope intercepts'!$E$3:$E$14</c:f>
              <c:numCache>
                <c:formatCode>General</c:formatCode>
                <c:ptCount val="12"/>
                <c:pt idx="0">
                  <c:v>0.33879999999999999</c:v>
                </c:pt>
                <c:pt idx="1">
                  <c:v>0.42130000000000001</c:v>
                </c:pt>
                <c:pt idx="2">
                  <c:v>0.29120000000000001</c:v>
                </c:pt>
                <c:pt idx="3">
                  <c:v>0.29249999999999998</c:v>
                </c:pt>
                <c:pt idx="4">
                  <c:v>0.2888</c:v>
                </c:pt>
                <c:pt idx="5">
                  <c:v>0.28799999999999998</c:v>
                </c:pt>
                <c:pt idx="7">
                  <c:v>0.34250000000000003</c:v>
                </c:pt>
                <c:pt idx="8">
                  <c:v>0.33410000000000001</c:v>
                </c:pt>
                <c:pt idx="9">
                  <c:v>0.26050000000000001</c:v>
                </c:pt>
                <c:pt idx="10">
                  <c:v>0.29659999999999997</c:v>
                </c:pt>
                <c:pt idx="11">
                  <c:v>0.33139999999999997</c:v>
                </c:pt>
              </c:numCache>
            </c:numRef>
          </c:val>
          <c:extLst>
            <c:ext xmlns:c16="http://schemas.microsoft.com/office/drawing/2014/chart" uri="{C3380CC4-5D6E-409C-BE32-E72D297353CC}">
              <c16:uniqueId val="{00000002-B7D6-4789-9342-90D7E1DB452A}"/>
            </c:ext>
          </c:extLst>
        </c:ser>
        <c:ser>
          <c:idx val="5"/>
          <c:order val="4"/>
          <c:tx>
            <c:v>rog vs bdot slope</c:v>
          </c:tx>
          <c:spPr>
            <a:solidFill>
              <a:srgbClr val="FF8080"/>
            </a:solidFill>
            <a:ln w="12700">
              <a:solidFill>
                <a:srgbClr val="000000"/>
              </a:solidFill>
              <a:prstDash val="solid"/>
            </a:ln>
          </c:spPr>
          <c:invertIfNegative val="0"/>
          <c:cat>
            <c:strRef>
              <c:f>'Coil slope intercepts'!$A$3:$A$14</c:f>
              <c:strCache>
                <c:ptCount val="12"/>
                <c:pt idx="0">
                  <c:v>16</c:v>
                </c:pt>
                <c:pt idx="1">
                  <c:v>17</c:v>
                </c:pt>
                <c:pt idx="2">
                  <c:v>18</c:v>
                </c:pt>
                <c:pt idx="3">
                  <c:v>21</c:v>
                </c:pt>
                <c:pt idx="4">
                  <c:v>20</c:v>
                </c:pt>
                <c:pt idx="5">
                  <c:v>22</c:v>
                </c:pt>
                <c:pt idx="6">
                  <c:v>23</c:v>
                </c:pt>
                <c:pt idx="7">
                  <c:v>24</c:v>
                </c:pt>
                <c:pt idx="8">
                  <c:v>25</c:v>
                </c:pt>
                <c:pt idx="9">
                  <c:v>24 retest</c:v>
                </c:pt>
                <c:pt idx="10">
                  <c:v>27</c:v>
                </c:pt>
                <c:pt idx="11">
                  <c:v>28</c:v>
                </c:pt>
              </c:strCache>
            </c:strRef>
          </c:cat>
          <c:val>
            <c:numRef>
              <c:f>'Coil slope intercepts'!$F$3:$F$14</c:f>
              <c:numCache>
                <c:formatCode>General</c:formatCode>
                <c:ptCount val="12"/>
                <c:pt idx="0">
                  <c:v>0.12570000000000001</c:v>
                </c:pt>
                <c:pt idx="1">
                  <c:v>0.1081</c:v>
                </c:pt>
                <c:pt idx="2">
                  <c:v>0.1275</c:v>
                </c:pt>
                <c:pt idx="3">
                  <c:v>0.1094</c:v>
                </c:pt>
                <c:pt idx="4">
                  <c:v>0.1075</c:v>
                </c:pt>
                <c:pt idx="5">
                  <c:v>0.1087</c:v>
                </c:pt>
                <c:pt idx="7">
                  <c:v>0.13639999999999999</c:v>
                </c:pt>
                <c:pt idx="8">
                  <c:v>0.1241</c:v>
                </c:pt>
                <c:pt idx="9">
                  <c:v>0.1343</c:v>
                </c:pt>
                <c:pt idx="10">
                  <c:v>0.13220000000000001</c:v>
                </c:pt>
                <c:pt idx="11">
                  <c:v>0.1477</c:v>
                </c:pt>
              </c:numCache>
            </c:numRef>
          </c:val>
          <c:extLst>
            <c:ext xmlns:c16="http://schemas.microsoft.com/office/drawing/2014/chart" uri="{C3380CC4-5D6E-409C-BE32-E72D297353CC}">
              <c16:uniqueId val="{00000003-B7D6-4789-9342-90D7E1DB452A}"/>
            </c:ext>
          </c:extLst>
        </c:ser>
        <c:ser>
          <c:idx val="6"/>
          <c:order val="5"/>
          <c:tx>
            <c:v>rog vs bdot intercept</c:v>
          </c:tx>
          <c:spPr>
            <a:solidFill>
              <a:srgbClr val="0066CC"/>
            </a:solidFill>
            <a:ln w="12700">
              <a:solidFill>
                <a:srgbClr val="000000"/>
              </a:solidFill>
              <a:prstDash val="solid"/>
            </a:ln>
          </c:spPr>
          <c:invertIfNegative val="1"/>
          <c:cat>
            <c:strRef>
              <c:f>'Coil slope intercepts'!$A$3:$A$14</c:f>
              <c:strCache>
                <c:ptCount val="12"/>
                <c:pt idx="0">
                  <c:v>16</c:v>
                </c:pt>
                <c:pt idx="1">
                  <c:v>17</c:v>
                </c:pt>
                <c:pt idx="2">
                  <c:v>18</c:v>
                </c:pt>
                <c:pt idx="3">
                  <c:v>21</c:v>
                </c:pt>
                <c:pt idx="4">
                  <c:v>20</c:v>
                </c:pt>
                <c:pt idx="5">
                  <c:v>22</c:v>
                </c:pt>
                <c:pt idx="6">
                  <c:v>23</c:v>
                </c:pt>
                <c:pt idx="7">
                  <c:v>24</c:v>
                </c:pt>
                <c:pt idx="8">
                  <c:v>25</c:v>
                </c:pt>
                <c:pt idx="9">
                  <c:v>24 retest</c:v>
                </c:pt>
                <c:pt idx="10">
                  <c:v>27</c:v>
                </c:pt>
                <c:pt idx="11">
                  <c:v>28</c:v>
                </c:pt>
              </c:strCache>
            </c:strRef>
          </c:cat>
          <c:val>
            <c:numRef>
              <c:f>'Coil slope intercepts'!$G$3:$G$14</c:f>
              <c:numCache>
                <c:formatCode>General</c:formatCode>
                <c:ptCount val="12"/>
                <c:pt idx="0">
                  <c:v>1.3899999999999999E-2</c:v>
                </c:pt>
                <c:pt idx="1">
                  <c:v>6.0199999999999997E-2</c:v>
                </c:pt>
                <c:pt idx="2">
                  <c:v>-8.6999999999999994E-2</c:v>
                </c:pt>
                <c:pt idx="3">
                  <c:v>-7.1000000000000004E-3</c:v>
                </c:pt>
                <c:pt idx="4">
                  <c:v>-2E-3</c:v>
                </c:pt>
                <c:pt idx="5">
                  <c:v>2.3099999999999999E-2</c:v>
                </c:pt>
                <c:pt idx="7">
                  <c:v>-0.17100000000000001</c:v>
                </c:pt>
                <c:pt idx="8">
                  <c:v>1.34E-2</c:v>
                </c:pt>
                <c:pt idx="9">
                  <c:v>2E-3</c:v>
                </c:pt>
                <c:pt idx="10">
                  <c:v>2.8999999999999998E-3</c:v>
                </c:pt>
                <c:pt idx="11">
                  <c:v>8.0000000000000004E-4</c:v>
                </c:pt>
              </c:numCache>
            </c:numRef>
          </c:val>
          <c:extLst>
            <c:ext xmlns:c14="http://schemas.microsoft.com/office/drawing/2007/8/2/chart" uri="{6F2FDCE9-48DA-4B69-8628-5D25D57E5C99}">
              <c14:invertSolidFillFmt>
                <c14:spPr xmlns:c14="http://schemas.microsoft.com/office/drawing/2007/8/2/chart">
                  <a:solidFill>
                    <a:srgbClr val="FFFFFF"/>
                  </a:solidFill>
                  <a:ln w="12700">
                    <a:solidFill>
                      <a:srgbClr val="000000"/>
                    </a:solidFill>
                    <a:prstDash val="solid"/>
                  </a:ln>
                </c14:spPr>
              </c14:invertSolidFillFmt>
            </c:ext>
            <c:ext xmlns:c16="http://schemas.microsoft.com/office/drawing/2014/chart" uri="{C3380CC4-5D6E-409C-BE32-E72D297353CC}">
              <c16:uniqueId val="{00000004-B7D6-4789-9342-90D7E1DB452A}"/>
            </c:ext>
          </c:extLst>
        </c:ser>
        <c:dLbls>
          <c:showLegendKey val="0"/>
          <c:showVal val="0"/>
          <c:showCatName val="0"/>
          <c:showSerName val="0"/>
          <c:showPercent val="0"/>
          <c:showBubbleSize val="0"/>
        </c:dLbls>
        <c:gapWidth val="150"/>
        <c:axId val="591623967"/>
        <c:axId val="1"/>
      </c:barChart>
      <c:barChart>
        <c:barDir val="col"/>
        <c:grouping val="clustered"/>
        <c:varyColors val="0"/>
        <c:ser>
          <c:idx val="2"/>
          <c:order val="1"/>
          <c:tx>
            <c:v>bdot vs pot intercept</c:v>
          </c:tx>
          <c:spPr>
            <a:solidFill>
              <a:srgbClr val="FFFFCC"/>
            </a:solidFill>
            <a:ln w="12700">
              <a:solidFill>
                <a:srgbClr val="000000"/>
              </a:solidFill>
              <a:prstDash val="solid"/>
            </a:ln>
          </c:spPr>
          <c:invertIfNegative val="0"/>
          <c:cat>
            <c:strRef>
              <c:f>'Coil slope intercepts'!$A$3:$A$14</c:f>
              <c:strCache>
                <c:ptCount val="12"/>
                <c:pt idx="0">
                  <c:v>16</c:v>
                </c:pt>
                <c:pt idx="1">
                  <c:v>17</c:v>
                </c:pt>
                <c:pt idx="2">
                  <c:v>18</c:v>
                </c:pt>
                <c:pt idx="3">
                  <c:v>21</c:v>
                </c:pt>
                <c:pt idx="4">
                  <c:v>20</c:v>
                </c:pt>
                <c:pt idx="5">
                  <c:v>22</c:v>
                </c:pt>
                <c:pt idx="6">
                  <c:v>23</c:v>
                </c:pt>
                <c:pt idx="7">
                  <c:v>24</c:v>
                </c:pt>
                <c:pt idx="8">
                  <c:v>25</c:v>
                </c:pt>
                <c:pt idx="9">
                  <c:v>24 retest</c:v>
                </c:pt>
                <c:pt idx="10">
                  <c:v>27</c:v>
                </c:pt>
                <c:pt idx="11">
                  <c:v>28</c:v>
                </c:pt>
              </c:strCache>
            </c:strRef>
          </c:cat>
          <c:val>
            <c:numRef>
              <c:f>'Coil slope intercepts'!$C$3:$C$14</c:f>
              <c:numCache>
                <c:formatCode>General</c:formatCode>
                <c:ptCount val="12"/>
                <c:pt idx="0">
                  <c:v>2.8077000000000001</c:v>
                </c:pt>
                <c:pt idx="1">
                  <c:v>3.3105000000000002</c:v>
                </c:pt>
                <c:pt idx="2">
                  <c:v>2.9666000000000001</c:v>
                </c:pt>
                <c:pt idx="3">
                  <c:v>2.7431999999999999</c:v>
                </c:pt>
                <c:pt idx="4">
                  <c:v>2.7090000000000001</c:v>
                </c:pt>
                <c:pt idx="5">
                  <c:v>2.3740000000000001</c:v>
                </c:pt>
                <c:pt idx="6">
                  <c:v>2.8237000000000001</c:v>
                </c:pt>
                <c:pt idx="7">
                  <c:v>2.6354000000000002</c:v>
                </c:pt>
                <c:pt idx="8">
                  <c:v>2.5865</c:v>
                </c:pt>
                <c:pt idx="9">
                  <c:v>1.9247000000000001</c:v>
                </c:pt>
                <c:pt idx="10">
                  <c:v>2.2675000000000001</c:v>
                </c:pt>
                <c:pt idx="11">
                  <c:v>2.2465000000000002</c:v>
                </c:pt>
              </c:numCache>
            </c:numRef>
          </c:val>
          <c:extLst>
            <c:ext xmlns:c16="http://schemas.microsoft.com/office/drawing/2014/chart" uri="{C3380CC4-5D6E-409C-BE32-E72D297353CC}">
              <c16:uniqueId val="{00000005-B7D6-4789-9342-90D7E1DB452A}"/>
            </c:ext>
          </c:extLst>
        </c:ser>
        <c:dLbls>
          <c:showLegendKey val="0"/>
          <c:showVal val="0"/>
          <c:showCatName val="0"/>
          <c:showSerName val="0"/>
          <c:showPercent val="0"/>
          <c:showBubbleSize val="0"/>
        </c:dLbls>
        <c:gapWidth val="500"/>
        <c:axId val="3"/>
        <c:axId val="4"/>
      </c:barChart>
      <c:catAx>
        <c:axId val="591623967"/>
        <c:scaling>
          <c:orientation val="minMax"/>
        </c:scaling>
        <c:delete val="0"/>
        <c:axPos val="b"/>
        <c:title>
          <c:tx>
            <c:rich>
              <a:bodyPr/>
              <a:lstStyle/>
              <a:p>
                <a:pPr>
                  <a:defRPr sz="800" b="0" i="0" u="none" strike="noStrike" baseline="0">
                    <a:solidFill>
                      <a:srgbClr val="000000"/>
                    </a:solidFill>
                    <a:latin typeface="MathSoftText"/>
                    <a:ea typeface="MathSoftText"/>
                    <a:cs typeface="MathSoftText"/>
                  </a:defRPr>
                </a:pPr>
                <a:r>
                  <a:rPr lang="en-GB"/>
                  <a:t>lens number</a:t>
                </a:r>
              </a:p>
            </c:rich>
          </c:tx>
          <c:layout>
            <c:manualLayout>
              <c:xMode val="edge"/>
              <c:yMode val="edge"/>
              <c:x val="0.36013013604628424"/>
              <c:y val="0.92838341578848671"/>
            </c:manualLayout>
          </c:layout>
          <c:overlay val="0"/>
          <c:spPr>
            <a:noFill/>
            <a:ln w="25400">
              <a:noFill/>
            </a:ln>
          </c:spPr>
        </c:title>
        <c:numFmt formatCode="General" sourceLinked="1"/>
        <c:majorTickMark val="out"/>
        <c:minorTickMark val="none"/>
        <c:tickLblPos val="nextTo"/>
        <c:spPr>
          <a:ln w="3175">
            <a:solidFill>
              <a:srgbClr val="99CC00"/>
            </a:solidFill>
            <a:prstDash val="solid"/>
          </a:ln>
        </c:spPr>
        <c:txPr>
          <a:bodyPr rot="-2700000" vert="horz"/>
          <a:lstStyle/>
          <a:p>
            <a:pPr>
              <a:defRPr sz="1200" b="0" i="0" u="none" strike="noStrike" baseline="0">
                <a:solidFill>
                  <a:srgbClr val="000000"/>
                </a:solidFill>
                <a:latin typeface="MathSoftText"/>
                <a:ea typeface="MathSoftText"/>
                <a:cs typeface="MathSoftText"/>
              </a:defRPr>
            </a:pPr>
            <a:endParaRPr lang="en-US"/>
          </a:p>
        </c:txPr>
        <c:crossAx val="1"/>
        <c:crosses val="autoZero"/>
        <c:auto val="1"/>
        <c:lblAlgn val="ctr"/>
        <c:lblOffset val="100"/>
        <c:tickLblSkip val="1"/>
        <c:tickMarkSkip val="1"/>
        <c:noMultiLvlLbl val="0"/>
      </c:catAx>
      <c:valAx>
        <c:axId val="1"/>
        <c:scaling>
          <c:orientation val="minMax"/>
          <c:min val="0"/>
        </c:scaling>
        <c:delete val="0"/>
        <c:axPos val="l"/>
        <c:majorGridlines>
          <c:spPr>
            <a:ln w="3175">
              <a:solidFill>
                <a:srgbClr val="99CC00"/>
              </a:solidFill>
              <a:prstDash val="solid"/>
            </a:ln>
          </c:spPr>
        </c:majorGridlines>
        <c:title>
          <c:tx>
            <c:rich>
              <a:bodyPr/>
              <a:lstStyle/>
              <a:p>
                <a:pPr>
                  <a:defRPr sz="800" b="0" i="0" u="none" strike="noStrike" baseline="0">
                    <a:solidFill>
                      <a:srgbClr val="000000"/>
                    </a:solidFill>
                    <a:latin typeface="MathSoftText"/>
                    <a:ea typeface="MathSoftText"/>
                    <a:cs typeface="MathSoftText"/>
                  </a:defRPr>
                </a:pPr>
                <a:r>
                  <a:rPr lang="en-GB"/>
                  <a:t>all but bdot intercept</a:t>
                </a:r>
              </a:p>
            </c:rich>
          </c:tx>
          <c:layout>
            <c:manualLayout>
              <c:xMode val="edge"/>
              <c:yMode val="edge"/>
              <c:x val="2.1826068851289952E-2"/>
              <c:y val="0.3460476771494031"/>
            </c:manualLayout>
          </c:layout>
          <c:overlay val="0"/>
          <c:spPr>
            <a:noFill/>
            <a:ln w="25400">
              <a:noFill/>
            </a:ln>
          </c:spPr>
        </c:title>
        <c:numFmt formatCode="General" sourceLinked="1"/>
        <c:majorTickMark val="out"/>
        <c:minorTickMark val="none"/>
        <c:tickLblPos val="nextTo"/>
        <c:spPr>
          <a:ln w="3175">
            <a:solidFill>
              <a:srgbClr val="99CC00"/>
            </a:solidFill>
            <a:prstDash val="solid"/>
          </a:ln>
        </c:spPr>
        <c:txPr>
          <a:bodyPr rot="0" vert="horz"/>
          <a:lstStyle/>
          <a:p>
            <a:pPr>
              <a:defRPr sz="1200" b="0" i="0" u="none" strike="noStrike" baseline="0">
                <a:solidFill>
                  <a:srgbClr val="000000"/>
                </a:solidFill>
                <a:latin typeface="MathSoftText"/>
                <a:ea typeface="MathSoftText"/>
                <a:cs typeface="MathSoftText"/>
              </a:defRPr>
            </a:pPr>
            <a:endParaRPr lang="en-US"/>
          </a:p>
        </c:txPr>
        <c:crossAx val="591623967"/>
        <c:crosses val="autoZero"/>
        <c:crossBetween val="between"/>
      </c:valAx>
      <c:catAx>
        <c:axId val="3"/>
        <c:scaling>
          <c:orientation val="minMax"/>
        </c:scaling>
        <c:delete val="1"/>
        <c:axPos val="b"/>
        <c:numFmt formatCode="General" sourceLinked="1"/>
        <c:majorTickMark val="out"/>
        <c:minorTickMark val="none"/>
        <c:tickLblPos val="nextTo"/>
        <c:crossAx val="4"/>
        <c:crosses val="autoZero"/>
        <c:auto val="1"/>
        <c:lblAlgn val="ctr"/>
        <c:lblOffset val="100"/>
        <c:noMultiLvlLbl val="0"/>
      </c:catAx>
      <c:valAx>
        <c:axId val="4"/>
        <c:scaling>
          <c:orientation val="minMax"/>
          <c:min val="0"/>
        </c:scaling>
        <c:delete val="0"/>
        <c:axPos val="r"/>
        <c:title>
          <c:tx>
            <c:rich>
              <a:bodyPr/>
              <a:lstStyle/>
              <a:p>
                <a:pPr>
                  <a:defRPr sz="1200" b="0" i="0" u="none" strike="noStrike" baseline="0">
                    <a:solidFill>
                      <a:srgbClr val="000000"/>
                    </a:solidFill>
                    <a:latin typeface="MathSoftText"/>
                    <a:ea typeface="MathSoftText"/>
                    <a:cs typeface="MathSoftText"/>
                  </a:defRPr>
                </a:pPr>
                <a:r>
                  <a:rPr lang="en-GB"/>
                  <a:t>bdot intercept</a:t>
                </a:r>
              </a:p>
            </c:rich>
          </c:tx>
          <c:layout>
            <c:manualLayout>
              <c:xMode val="edge"/>
              <c:yMode val="edge"/>
              <c:x val="0.76192822171775842"/>
              <c:y val="0.33690104251109287"/>
            </c:manualLayout>
          </c:layout>
          <c:overlay val="0"/>
          <c:spPr>
            <a:noFill/>
            <a:ln w="25400">
              <a:noFill/>
            </a:ln>
          </c:spPr>
        </c:title>
        <c:numFmt formatCode="General" sourceLinked="1"/>
        <c:majorTickMark val="cross"/>
        <c:minorTickMark val="none"/>
        <c:tickLblPos val="nextTo"/>
        <c:spPr>
          <a:ln w="3175">
            <a:solidFill>
              <a:srgbClr val="99CC00"/>
            </a:solidFill>
            <a:prstDash val="solid"/>
          </a:ln>
        </c:spPr>
        <c:txPr>
          <a:bodyPr rot="0" vert="horz"/>
          <a:lstStyle/>
          <a:p>
            <a:pPr>
              <a:defRPr sz="1200" b="0" i="0" u="none" strike="noStrike" baseline="0">
                <a:solidFill>
                  <a:srgbClr val="000000"/>
                </a:solidFill>
                <a:latin typeface="MathSoftText"/>
                <a:ea typeface="MathSoftText"/>
                <a:cs typeface="MathSoftText"/>
              </a:defRPr>
            </a:pPr>
            <a:endParaRPr lang="en-US"/>
          </a:p>
        </c:txPr>
        <c:crossAx val="3"/>
        <c:crosses val="max"/>
        <c:crossBetween val="between"/>
      </c:valAx>
      <c:spPr>
        <a:noFill/>
        <a:ln w="12700">
          <a:solidFill>
            <a:srgbClr val="99CC00"/>
          </a:solidFill>
          <a:prstDash val="solid"/>
        </a:ln>
      </c:spPr>
    </c:plotArea>
    <c:legend>
      <c:legendPos val="r"/>
      <c:layout>
        <c:manualLayout>
          <c:xMode val="edge"/>
          <c:yMode val="edge"/>
          <c:x val="0.8214538640394583"/>
          <c:y val="0.34147435983024799"/>
          <c:w val="0.16766389253945466"/>
          <c:h val="0.23019030506414037"/>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MathSoftText"/>
              <a:ea typeface="MathSoftText"/>
              <a:cs typeface="MathSoftText"/>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200" b="0" i="0" u="none" strike="noStrike" baseline="0">
          <a:solidFill>
            <a:srgbClr val="000000"/>
          </a:solidFill>
          <a:latin typeface="MathSoftText"/>
          <a:ea typeface="MathSoftText"/>
          <a:cs typeface="MathSoftText"/>
        </a:defRPr>
      </a:pPr>
      <a:endParaRPr lang="en-US"/>
    </a:p>
  </c:txPr>
  <c:printSettings>
    <c:headerFooter alignWithMargins="0"/>
    <c:pageMargins b="1" l="0.75" r="0.75" t="1" header="0.5" footer="0.5"/>
    <c:pageSetup orientation="landscape" horizontalDpi="355" verticalDpi="355"/>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9829661315915049E-2"/>
          <c:y val="6.0360943121813435E-2"/>
          <c:w val="0.64720647550502641"/>
          <c:h val="0.8336335658174775"/>
        </c:manualLayout>
      </c:layout>
      <c:scatterChart>
        <c:scatterStyle val="lineMarker"/>
        <c:varyColors val="0"/>
        <c:ser>
          <c:idx val="0"/>
          <c:order val="0"/>
          <c:spPr>
            <a:ln w="19050">
              <a:noFill/>
            </a:ln>
          </c:spPr>
          <c:marker>
            <c:symbol val="diamond"/>
            <c:size val="5"/>
            <c:spPr>
              <a:solidFill>
                <a:srgbClr val="000080"/>
              </a:solidFill>
              <a:ln>
                <a:solidFill>
                  <a:srgbClr val="000080"/>
                </a:solidFill>
                <a:prstDash val="solid"/>
              </a:ln>
            </c:spPr>
          </c:marker>
          <c:trendline>
            <c:spPr>
              <a:ln w="25400">
                <a:solidFill>
                  <a:srgbClr val="000000"/>
                </a:solidFill>
                <a:prstDash val="solid"/>
              </a:ln>
            </c:spPr>
            <c:trendlineType val="linear"/>
            <c:dispRSqr val="1"/>
            <c:dispEq val="1"/>
            <c:trendlineLbl>
              <c:layout>
                <c:manualLayout>
                  <c:xMode val="edge"/>
                  <c:yMode val="edge"/>
                  <c:x val="0.72404871590779718"/>
                  <c:y val="8.1568842056504651E-2"/>
                </c:manualLayout>
              </c:layout>
              <c:numFmt formatCode="General" sourceLinked="0"/>
              <c:spPr>
                <a:noFill/>
                <a:ln w="25400">
                  <a:noFill/>
                </a:ln>
              </c:spPr>
              <c:txPr>
                <a:bodyPr/>
                <a:lstStyle/>
                <a:p>
                  <a:pPr>
                    <a:defRPr sz="975" b="0" i="0" u="none" strike="noStrike" baseline="0">
                      <a:solidFill>
                        <a:srgbClr val="000000"/>
                      </a:solidFill>
                      <a:latin typeface="Arial"/>
                      <a:ea typeface="Arial"/>
                      <a:cs typeface="Arial"/>
                    </a:defRPr>
                  </a:pPr>
                  <a:endParaRPr lang="en-US"/>
                </a:p>
              </c:txPr>
            </c:trendlineLbl>
          </c:trendline>
          <c:xVal>
            <c:numRef>
              <c:f>'Coil slope intercepts'!$B$54:$B$64</c:f>
              <c:numCache>
                <c:formatCode>General</c:formatCode>
                <c:ptCount val="11"/>
                <c:pt idx="0">
                  <c:v>599.29999999999995</c:v>
                </c:pt>
                <c:pt idx="1">
                  <c:v>609.29999999999995</c:v>
                </c:pt>
                <c:pt idx="2">
                  <c:v>606.79999999999995</c:v>
                </c:pt>
                <c:pt idx="3">
                  <c:v>626.70000000000005</c:v>
                </c:pt>
                <c:pt idx="4">
                  <c:v>626.70000000000005</c:v>
                </c:pt>
                <c:pt idx="5">
                  <c:v>554.5</c:v>
                </c:pt>
                <c:pt idx="6">
                  <c:v>519.70000000000005</c:v>
                </c:pt>
                <c:pt idx="7">
                  <c:v>552.1</c:v>
                </c:pt>
                <c:pt idx="8">
                  <c:v>527.20000000000005</c:v>
                </c:pt>
                <c:pt idx="9">
                  <c:v>611.79999999999995</c:v>
                </c:pt>
                <c:pt idx="10">
                  <c:v>569.5</c:v>
                </c:pt>
              </c:numCache>
            </c:numRef>
          </c:xVal>
          <c:yVal>
            <c:numRef>
              <c:f>'Coil slope intercepts'!$C$54:$C$64</c:f>
              <c:numCache>
                <c:formatCode>General</c:formatCode>
                <c:ptCount val="11"/>
                <c:pt idx="0">
                  <c:v>936</c:v>
                </c:pt>
                <c:pt idx="1">
                  <c:v>952</c:v>
                </c:pt>
                <c:pt idx="2">
                  <c:v>948</c:v>
                </c:pt>
                <c:pt idx="3">
                  <c:v>979</c:v>
                </c:pt>
                <c:pt idx="4">
                  <c:v>979</c:v>
                </c:pt>
                <c:pt idx="5">
                  <c:v>866</c:v>
                </c:pt>
                <c:pt idx="6">
                  <c:v>812</c:v>
                </c:pt>
                <c:pt idx="7">
                  <c:v>863</c:v>
                </c:pt>
                <c:pt idx="8">
                  <c:v>824</c:v>
                </c:pt>
                <c:pt idx="9">
                  <c:v>956</c:v>
                </c:pt>
                <c:pt idx="10">
                  <c:v>890</c:v>
                </c:pt>
              </c:numCache>
            </c:numRef>
          </c:yVal>
          <c:smooth val="0"/>
          <c:extLst>
            <c:ext xmlns:c16="http://schemas.microsoft.com/office/drawing/2014/chart" uri="{C3380CC4-5D6E-409C-BE32-E72D297353CC}">
              <c16:uniqueId val="{00000001-7E09-482C-8908-7F9C89AA946C}"/>
            </c:ext>
          </c:extLst>
        </c:ser>
        <c:dLbls>
          <c:showLegendKey val="0"/>
          <c:showVal val="0"/>
          <c:showCatName val="0"/>
          <c:showSerName val="0"/>
          <c:showPercent val="0"/>
          <c:showBubbleSize val="0"/>
        </c:dLbls>
        <c:axId val="763490383"/>
        <c:axId val="1"/>
      </c:scatterChart>
      <c:valAx>
        <c:axId val="763490383"/>
        <c:scaling>
          <c:orientation val="minMax"/>
          <c:max val="650"/>
          <c:min val="500"/>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975" b="0" i="0" u="none" strike="noStrike" baseline="0">
                <a:solidFill>
                  <a:srgbClr val="000000"/>
                </a:solidFill>
                <a:latin typeface="Arial"/>
                <a:ea typeface="Arial"/>
                <a:cs typeface="Arial"/>
              </a:defRPr>
            </a:pPr>
            <a:endParaRPr lang="en-US"/>
          </a:p>
        </c:txPr>
        <c:crossAx val="1"/>
        <c:crosses val="autoZero"/>
        <c:crossBetween val="midCat"/>
        <c:majorUnit val="50"/>
        <c:minorUnit val="10"/>
      </c:valAx>
      <c:valAx>
        <c:axId val="1"/>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975" b="0" i="0" u="none" strike="noStrike" baseline="0">
                <a:solidFill>
                  <a:srgbClr val="000000"/>
                </a:solidFill>
                <a:latin typeface="Arial"/>
                <a:ea typeface="Arial"/>
                <a:cs typeface="Arial"/>
              </a:defRPr>
            </a:pPr>
            <a:endParaRPr lang="en-US"/>
          </a:p>
        </c:txPr>
        <c:crossAx val="763490383"/>
        <c:crosses val="autoZero"/>
        <c:crossBetween val="midCat"/>
      </c:valAx>
      <c:spPr>
        <a:solidFill>
          <a:srgbClr val="C0C0C0"/>
        </a:solidFill>
        <a:ln w="12700">
          <a:solidFill>
            <a:srgbClr val="808080"/>
          </a:solidFill>
          <a:prstDash val="solid"/>
        </a:ln>
      </c:spPr>
    </c:plotArea>
    <c:legend>
      <c:legendPos val="r"/>
      <c:layout>
        <c:manualLayout>
          <c:xMode val="edge"/>
          <c:yMode val="edge"/>
          <c:x val="0.77491611448427922"/>
          <c:y val="0.42905210921721443"/>
          <c:w val="0.2132101599907863"/>
          <c:h val="9.6251233626675481E-2"/>
        </c:manualLayout>
      </c:layout>
      <c:overlay val="0"/>
      <c:spPr>
        <a:solidFill>
          <a:srgbClr val="FFFFFF"/>
        </a:solidFill>
        <a:ln w="3175">
          <a:solidFill>
            <a:srgbClr val="000000"/>
          </a:solidFill>
          <a:prstDash val="solid"/>
        </a:ln>
      </c:spPr>
      <c:txPr>
        <a:bodyPr/>
        <a:lstStyle/>
        <a:p>
          <a:pPr>
            <a:defRPr sz="89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97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75" b="0" i="0" u="none" strike="noStrike" baseline="0">
                <a:solidFill>
                  <a:srgbClr val="000000"/>
                </a:solidFill>
                <a:latin typeface="MathSoftText"/>
                <a:ea typeface="MathSoftText"/>
                <a:cs typeface="MathSoftText"/>
              </a:defRPr>
            </a:pPr>
            <a:r>
              <a:rPr lang="en-GB"/>
              <a:t>lens 16  pulse count vs peak current</a:t>
            </a:r>
          </a:p>
        </c:rich>
      </c:tx>
      <c:layout>
        <c:manualLayout>
          <c:xMode val="edge"/>
          <c:yMode val="edge"/>
          <c:x val="0.25704594173994383"/>
          <c:y val="3.9507444004282244E-2"/>
        </c:manualLayout>
      </c:layout>
      <c:overlay val="0"/>
      <c:spPr>
        <a:noFill/>
        <a:ln w="25400">
          <a:noFill/>
        </a:ln>
      </c:spPr>
    </c:title>
    <c:autoTitleDeleted val="0"/>
    <c:plotArea>
      <c:layout>
        <c:manualLayout>
          <c:layoutTarget val="inner"/>
          <c:xMode val="edge"/>
          <c:yMode val="edge"/>
          <c:x val="0.18360424409995987"/>
          <c:y val="0.23704466402569346"/>
          <c:w val="0.79194630621782691"/>
          <c:h val="0.51853520255620444"/>
        </c:manualLayout>
      </c:layout>
      <c:barChart>
        <c:barDir val="col"/>
        <c:grouping val="clustered"/>
        <c:varyColors val="0"/>
        <c:ser>
          <c:idx val="0"/>
          <c:order val="0"/>
          <c:spPr>
            <a:solidFill>
              <a:srgbClr val="9999FF"/>
            </a:solidFill>
            <a:ln w="12700">
              <a:solidFill>
                <a:srgbClr val="000000"/>
              </a:solidFill>
              <a:prstDash val="solid"/>
            </a:ln>
          </c:spPr>
          <c:invertIfNegative val="0"/>
          <c:dLbls>
            <c:dLbl>
              <c:idx val="0"/>
              <c:layout>
                <c:manualLayout>
                  <c:xMode val="edge"/>
                  <c:yMode val="edge"/>
                  <c:x val="0.20074064021595611"/>
                  <c:y val="0.55557343131021908"/>
                </c:manualLayout>
              </c:layout>
              <c:numFmt formatCode="0" sourceLinked="0"/>
              <c:spPr>
                <a:noFill/>
                <a:ln w="25400">
                  <a:noFill/>
                </a:ln>
              </c:spPr>
              <c:txPr>
                <a:bodyPr rot="-5400000" vert="horz"/>
                <a:lstStyle/>
                <a:p>
                  <a:pPr algn="ctr">
                    <a:defRPr sz="1000"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99C-49B0-935C-4356E9AEE4E3}"/>
                </c:ext>
              </c:extLst>
            </c:dLbl>
            <c:dLbl>
              <c:idx val="1"/>
              <c:layout>
                <c:manualLayout>
                  <c:xMode val="edge"/>
                  <c:yMode val="edge"/>
                  <c:x val="0.29499081885393552"/>
                  <c:y val="0.53335049405781032"/>
                </c:manualLayout>
              </c:layout>
              <c:numFmt formatCode="0" sourceLinked="0"/>
              <c:spPr>
                <a:noFill/>
                <a:ln w="25400">
                  <a:noFill/>
                </a:ln>
              </c:spPr>
              <c:txPr>
                <a:bodyPr rot="-5400000" vert="horz"/>
                <a:lstStyle/>
                <a:p>
                  <a:pPr algn="ctr">
                    <a:defRPr sz="1000"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99C-49B0-935C-4356E9AEE4E3}"/>
                </c:ext>
              </c:extLst>
            </c:dLbl>
            <c:dLbl>
              <c:idx val="2"/>
              <c:layout>
                <c:manualLayout>
                  <c:xMode val="edge"/>
                  <c:yMode val="edge"/>
                  <c:x val="0.38312085602191626"/>
                  <c:y val="0.4790277585519222"/>
                </c:manualLayout>
              </c:layout>
              <c:numFmt formatCode="0" sourceLinked="0"/>
              <c:spPr>
                <a:noFill/>
                <a:ln w="25400">
                  <a:noFill/>
                </a:ln>
              </c:spPr>
              <c:txPr>
                <a:bodyPr rot="-5400000" vert="horz"/>
                <a:lstStyle/>
                <a:p>
                  <a:pPr algn="ctr">
                    <a:defRPr sz="1000"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99C-49B0-935C-4356E9AEE4E3}"/>
                </c:ext>
              </c:extLst>
            </c:dLbl>
            <c:dLbl>
              <c:idx val="3"/>
              <c:layout>
                <c:manualLayout>
                  <c:xMode val="edge"/>
                  <c:yMode val="edge"/>
                  <c:x val="0.47125089318989699"/>
                  <c:y val="0.54322735505888087"/>
                </c:manualLayout>
              </c:layout>
              <c:numFmt formatCode="0" sourceLinked="0"/>
              <c:spPr>
                <a:noFill/>
                <a:ln w="25400">
                  <a:noFill/>
                </a:ln>
              </c:spPr>
              <c:txPr>
                <a:bodyPr rot="-5400000" vert="horz"/>
                <a:lstStyle/>
                <a:p>
                  <a:pPr algn="ctr">
                    <a:defRPr sz="1000"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99C-49B0-935C-4356E9AEE4E3}"/>
                </c:ext>
              </c:extLst>
            </c:dLbl>
            <c:dLbl>
              <c:idx val="4"/>
              <c:layout>
                <c:manualLayout>
                  <c:xMode val="edge"/>
                  <c:yMode val="edge"/>
                  <c:x val="0.55938093035787773"/>
                  <c:y val="0.51112755680540156"/>
                </c:manualLayout>
              </c:layout>
              <c:numFmt formatCode="0" sourceLinked="0"/>
              <c:spPr>
                <a:noFill/>
                <a:ln w="25400">
                  <a:noFill/>
                </a:ln>
              </c:spPr>
              <c:txPr>
                <a:bodyPr rot="-5400000" vert="horz"/>
                <a:lstStyle/>
                <a:p>
                  <a:pPr algn="ctr">
                    <a:defRPr sz="1000"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99C-49B0-935C-4356E9AEE4E3}"/>
                </c:ext>
              </c:extLst>
            </c:dLbl>
            <c:dLbl>
              <c:idx val="5"/>
              <c:layout>
                <c:manualLayout>
                  <c:xMode val="edge"/>
                  <c:yMode val="edge"/>
                  <c:x val="0.64016679776186003"/>
                  <c:y val="0.53088127880754266"/>
                </c:manualLayout>
              </c:layout>
              <c:numFmt formatCode="0" sourceLinked="0"/>
              <c:spPr>
                <a:noFill/>
                <a:ln w="25400">
                  <a:noFill/>
                </a:ln>
              </c:spPr>
              <c:txPr>
                <a:bodyPr rot="-5400000" vert="horz"/>
                <a:lstStyle/>
                <a:p>
                  <a:pPr algn="ctr">
                    <a:defRPr sz="1000"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99C-49B0-935C-4356E9AEE4E3}"/>
                </c:ext>
              </c:extLst>
            </c:dLbl>
            <c:dLbl>
              <c:idx val="6"/>
              <c:layout>
                <c:manualLayout>
                  <c:xMode val="edge"/>
                  <c:yMode val="edge"/>
                  <c:x val="0.73441697639983949"/>
                  <c:y val="0.52594284830700733"/>
                </c:manualLayout>
              </c:layout>
              <c:numFmt formatCode="0" sourceLinked="0"/>
              <c:spPr>
                <a:noFill/>
                <a:ln w="25400">
                  <a:noFill/>
                </a:ln>
              </c:spPr>
              <c:txPr>
                <a:bodyPr rot="-5400000" vert="horz"/>
                <a:lstStyle/>
                <a:p>
                  <a:pPr algn="ctr">
                    <a:defRPr sz="1000"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99C-49B0-935C-4356E9AEE4E3}"/>
                </c:ext>
              </c:extLst>
            </c:dLbl>
            <c:dLbl>
              <c:idx val="7"/>
              <c:layout>
                <c:manualLayout>
                  <c:xMode val="edge"/>
                  <c:yMode val="edge"/>
                  <c:x val="0.82254701356782023"/>
                  <c:y val="0.5086583415551339"/>
                </c:manualLayout>
              </c:layout>
              <c:numFmt formatCode="0" sourceLinked="0"/>
              <c:spPr>
                <a:noFill/>
                <a:ln w="25400">
                  <a:noFill/>
                </a:ln>
              </c:spPr>
              <c:txPr>
                <a:bodyPr rot="-5400000" vert="horz"/>
                <a:lstStyle/>
                <a:p>
                  <a:pPr algn="ctr">
                    <a:defRPr sz="1000"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99C-49B0-935C-4356E9AEE4E3}"/>
                </c:ext>
              </c:extLst>
            </c:dLbl>
            <c:dLbl>
              <c:idx val="8"/>
              <c:layout>
                <c:manualLayout>
                  <c:xMode val="edge"/>
                  <c:yMode val="edge"/>
                  <c:x val="0.91067705073580096"/>
                  <c:y val="0.51606598730593678"/>
                </c:manualLayout>
              </c:layout>
              <c:numFmt formatCode="0" sourceLinked="0"/>
              <c:spPr>
                <a:noFill/>
                <a:ln w="25400">
                  <a:noFill/>
                </a:ln>
              </c:spPr>
              <c:txPr>
                <a:bodyPr rot="-5400000" vert="horz"/>
                <a:lstStyle/>
                <a:p>
                  <a:pPr algn="ctr">
                    <a:defRPr sz="1000"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99C-49B0-935C-4356E9AEE4E3}"/>
                </c:ext>
              </c:extLst>
            </c:dLbl>
            <c:numFmt formatCode="0" sourceLinked="0"/>
            <c:spPr>
              <a:noFill/>
              <a:ln w="25400">
                <a:noFill/>
              </a:ln>
            </c:spPr>
            <c:txPr>
              <a:bodyPr rot="-5400000" vert="horz" wrap="square" lIns="38100" tIns="19050" rIns="38100" bIns="19050" anchor="ctr">
                <a:spAutoFit/>
              </a:bodyPr>
              <a:lstStyle/>
              <a:p>
                <a:pPr algn="ctr">
                  <a:defRPr sz="1000"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'Lens 16'!$F$39:$F$47</c:f>
              <c:numCache>
                <c:formatCode>0</c:formatCode>
                <c:ptCount val="9"/>
                <c:pt idx="0">
                  <c:v>392.86368857758202</c:v>
                </c:pt>
                <c:pt idx="1">
                  <c:v>395.35104523751261</c:v>
                </c:pt>
                <c:pt idx="2">
                  <c:v>412.76254185702675</c:v>
                </c:pt>
                <c:pt idx="3">
                  <c:v>440.12346511626328</c:v>
                </c:pt>
                <c:pt idx="4">
                  <c:v>469.97174503543022</c:v>
                </c:pt>
                <c:pt idx="5">
                  <c:v>474.94645835529155</c:v>
                </c:pt>
                <c:pt idx="6">
                  <c:v>519.71887823404211</c:v>
                </c:pt>
                <c:pt idx="7">
                  <c:v>562.00394145286225</c:v>
                </c:pt>
                <c:pt idx="8">
                  <c:v>599.314291351821</c:v>
                </c:pt>
              </c:numCache>
            </c:numRef>
          </c:cat>
          <c:val>
            <c:numRef>
              <c:f>'Lens 16'!$A$39:$A$47</c:f>
              <c:numCache>
                <c:formatCode>General</c:formatCode>
                <c:ptCount val="9"/>
                <c:pt idx="0">
                  <c:v>298500</c:v>
                </c:pt>
                <c:pt idx="1">
                  <c:v>34500</c:v>
                </c:pt>
                <c:pt idx="2">
                  <c:v>121775</c:v>
                </c:pt>
                <c:pt idx="3">
                  <c:v>256086</c:v>
                </c:pt>
                <c:pt idx="4">
                  <c:v>125000</c:v>
                </c:pt>
                <c:pt idx="5">
                  <c:v>36300</c:v>
                </c:pt>
                <c:pt idx="6">
                  <c:v>78800</c:v>
                </c:pt>
                <c:pt idx="7">
                  <c:v>44445</c:v>
                </c:pt>
                <c:pt idx="8">
                  <c:v>471955</c:v>
                </c:pt>
              </c:numCache>
            </c:numRef>
          </c:val>
          <c:extLst>
            <c:ext xmlns:c16="http://schemas.microsoft.com/office/drawing/2014/chart" uri="{C3380CC4-5D6E-409C-BE32-E72D297353CC}">
              <c16:uniqueId val="{00000009-C99C-49B0-935C-4356E9AEE4E3}"/>
            </c:ext>
          </c:extLst>
        </c:ser>
        <c:dLbls>
          <c:showLegendKey val="0"/>
          <c:showVal val="1"/>
          <c:showCatName val="0"/>
          <c:showSerName val="0"/>
          <c:showPercent val="0"/>
          <c:showBubbleSize val="0"/>
        </c:dLbls>
        <c:gapWidth val="150"/>
        <c:axId val="781927295"/>
        <c:axId val="1"/>
      </c:barChart>
      <c:catAx>
        <c:axId val="781927295"/>
        <c:scaling>
          <c:orientation val="minMax"/>
        </c:scaling>
        <c:delete val="0"/>
        <c:axPos val="b"/>
        <c:title>
          <c:tx>
            <c:rich>
              <a:bodyPr/>
              <a:lstStyle/>
              <a:p>
                <a:pPr>
                  <a:defRPr sz="1000" b="0" i="0" u="none" strike="noStrike" baseline="0">
                    <a:solidFill>
                      <a:srgbClr val="000000"/>
                    </a:solidFill>
                    <a:latin typeface="MathSoftText"/>
                    <a:ea typeface="MathSoftText"/>
                    <a:cs typeface="MathSoftText"/>
                  </a:defRPr>
                </a:pPr>
                <a:r>
                  <a:rPr lang="en-GB"/>
                  <a:t>kiloamps</a:t>
                </a:r>
              </a:p>
            </c:rich>
          </c:tx>
          <c:layout>
            <c:manualLayout>
              <c:xMode val="edge"/>
              <c:yMode val="edge"/>
              <c:x val="0.52878022300788441"/>
              <c:y val="0.8666945528439417"/>
            </c:manualLayout>
          </c:layout>
          <c:overlay val="0"/>
          <c:spPr>
            <a:noFill/>
            <a:ln w="25400">
              <a:noFill/>
            </a:ln>
          </c:spPr>
        </c:title>
        <c:numFmt formatCode="0" sourceLinked="0"/>
        <c:majorTickMark val="out"/>
        <c:minorTickMark val="none"/>
        <c:tickLblPos val="nextTo"/>
        <c:spPr>
          <a:ln w="3175">
            <a:solidFill>
              <a:srgbClr val="99CC00"/>
            </a:solidFill>
            <a:prstDash val="solid"/>
          </a:ln>
        </c:spPr>
        <c:txPr>
          <a:bodyPr rot="0" vert="horz"/>
          <a:lstStyle/>
          <a:p>
            <a:pPr>
              <a:defRPr sz="1000" b="0" i="0" u="none" strike="noStrike" baseline="0">
                <a:solidFill>
                  <a:srgbClr val="000000"/>
                </a:solidFill>
                <a:latin typeface="MathSoftText"/>
                <a:ea typeface="MathSoftText"/>
                <a:cs typeface="MathSoftText"/>
              </a:defRPr>
            </a:pPr>
            <a:endParaRPr lang="en-US"/>
          </a:p>
        </c:txPr>
        <c:crossAx val="1"/>
        <c:crosses val="autoZero"/>
        <c:auto val="1"/>
        <c:lblAlgn val="ctr"/>
        <c:lblOffset val="100"/>
        <c:tickLblSkip val="1"/>
        <c:tickMarkSkip val="1"/>
        <c:noMultiLvlLbl val="0"/>
      </c:catAx>
      <c:valAx>
        <c:axId val="1"/>
        <c:scaling>
          <c:logBase val="10"/>
          <c:orientation val="minMax"/>
          <c:min val="10"/>
        </c:scaling>
        <c:delete val="0"/>
        <c:axPos val="l"/>
        <c:majorGridlines>
          <c:spPr>
            <a:ln w="3175">
              <a:solidFill>
                <a:srgbClr val="99CC00"/>
              </a:solidFill>
              <a:prstDash val="solid"/>
            </a:ln>
          </c:spPr>
        </c:majorGridlines>
        <c:title>
          <c:tx>
            <c:rich>
              <a:bodyPr/>
              <a:lstStyle/>
              <a:p>
                <a:pPr>
                  <a:defRPr sz="1000" b="0" i="0" u="none" strike="noStrike" baseline="0">
                    <a:solidFill>
                      <a:srgbClr val="000000"/>
                    </a:solidFill>
                    <a:latin typeface="MathSoftText"/>
                    <a:ea typeface="MathSoftText"/>
                    <a:cs typeface="MathSoftText"/>
                  </a:defRPr>
                </a:pPr>
                <a:r>
                  <a:rPr lang="en-GB"/>
                  <a:t>number of pulses</a:t>
                </a:r>
              </a:p>
            </c:rich>
          </c:tx>
          <c:layout>
            <c:manualLayout>
              <c:xMode val="edge"/>
              <c:yMode val="edge"/>
              <c:x val="2.6928622467994115E-2"/>
              <c:y val="0.30371347578291974"/>
            </c:manualLayout>
          </c:layout>
          <c:overlay val="0"/>
          <c:spPr>
            <a:noFill/>
            <a:ln w="25400">
              <a:noFill/>
            </a:ln>
          </c:spPr>
        </c:title>
        <c:numFmt formatCode="General" sourceLinked="1"/>
        <c:majorTickMark val="out"/>
        <c:minorTickMark val="none"/>
        <c:tickLblPos val="nextTo"/>
        <c:spPr>
          <a:ln w="3175">
            <a:solidFill>
              <a:srgbClr val="99CC00"/>
            </a:solidFill>
            <a:prstDash val="solid"/>
          </a:ln>
        </c:spPr>
        <c:txPr>
          <a:bodyPr rot="0" vert="horz"/>
          <a:lstStyle/>
          <a:p>
            <a:pPr>
              <a:defRPr sz="1000" b="0" i="0" u="none" strike="noStrike" baseline="0">
                <a:solidFill>
                  <a:srgbClr val="000000"/>
                </a:solidFill>
                <a:latin typeface="MathSoftText"/>
                <a:ea typeface="MathSoftText"/>
                <a:cs typeface="MathSoftText"/>
              </a:defRPr>
            </a:pPr>
            <a:endParaRPr lang="en-US"/>
          </a:p>
        </c:txPr>
        <c:crossAx val="781927295"/>
        <c:crosses val="autoZero"/>
        <c:crossBetween val="between"/>
      </c:valAx>
      <c:spPr>
        <a:noFill/>
        <a:ln w="12700">
          <a:solidFill>
            <a:srgbClr val="99CC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MathSoftText"/>
          <a:ea typeface="MathSoftText"/>
          <a:cs typeface="MathSoftText"/>
        </a:defRPr>
      </a:pPr>
      <a:endParaRPr lang="en-US"/>
    </a:p>
  </c:txPr>
  <c:printSettings>
    <c:headerFooter alignWithMargins="0"/>
    <c:pageMargins b="1" l="0.75" r="0.75" t="1" header="0.5" footer="0.5"/>
    <c:pageSetup orientation="landscape"/>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0" i="0" u="none" strike="noStrike" baseline="0">
                <a:solidFill>
                  <a:srgbClr val="000000"/>
                </a:solidFill>
                <a:latin typeface="MathSoftText"/>
                <a:ea typeface="MathSoftText"/>
                <a:cs typeface="MathSoftText"/>
              </a:defRPr>
            </a:pPr>
            <a:r>
              <a:rPr lang="en-GB"/>
              <a:t>lens 16 pulse count vs peak current</a:t>
            </a:r>
          </a:p>
        </c:rich>
      </c:tx>
      <c:layout>
        <c:manualLayout>
          <c:xMode val="edge"/>
          <c:yMode val="edge"/>
          <c:x val="0.33010738501445352"/>
          <c:y val="5.0634834807997867E-2"/>
        </c:manualLayout>
      </c:layout>
      <c:overlay val="0"/>
      <c:spPr>
        <a:noFill/>
        <a:ln w="25400">
          <a:noFill/>
        </a:ln>
      </c:spPr>
    </c:title>
    <c:autoTitleDeleted val="0"/>
    <c:plotArea>
      <c:layout>
        <c:manualLayout>
          <c:layoutTarget val="inner"/>
          <c:xMode val="edge"/>
          <c:yMode val="edge"/>
          <c:x val="0.10402543645413452"/>
          <c:y val="0.28271116101132143"/>
          <c:w val="0.86826564293717612"/>
          <c:h val="0.50634834807997864"/>
        </c:manualLayout>
      </c:layout>
      <c:barChart>
        <c:barDir val="col"/>
        <c:grouping val="clustered"/>
        <c:varyColors val="0"/>
        <c:ser>
          <c:idx val="0"/>
          <c:order val="0"/>
          <c:spPr>
            <a:solidFill>
              <a:srgbClr val="9999FF"/>
            </a:solidFill>
            <a:ln w="12700">
              <a:solidFill>
                <a:srgbClr val="000000"/>
              </a:solidFill>
              <a:prstDash val="solid"/>
            </a:ln>
          </c:spPr>
          <c:invertIfNegative val="0"/>
          <c:cat>
            <c:numRef>
              <c:f>'Lens 16'!$D$39:$D$47</c:f>
              <c:numCache>
                <c:formatCode>General</c:formatCode>
                <c:ptCount val="9"/>
                <c:pt idx="0">
                  <c:v>392863.68857758201</c:v>
                </c:pt>
                <c:pt idx="1">
                  <c:v>395351.04523751262</c:v>
                </c:pt>
                <c:pt idx="2">
                  <c:v>412762.54185702675</c:v>
                </c:pt>
                <c:pt idx="3">
                  <c:v>440123.46511626325</c:v>
                </c:pt>
                <c:pt idx="4">
                  <c:v>469971.74503543024</c:v>
                </c:pt>
                <c:pt idx="5">
                  <c:v>474946.45835529157</c:v>
                </c:pt>
                <c:pt idx="6">
                  <c:v>519718.87823404215</c:v>
                </c:pt>
                <c:pt idx="7">
                  <c:v>562003.94145286223</c:v>
                </c:pt>
                <c:pt idx="8">
                  <c:v>599314.29135182104</c:v>
                </c:pt>
              </c:numCache>
            </c:numRef>
          </c:cat>
          <c:val>
            <c:numRef>
              <c:f>'Lens 16'!$A$39:$A$47</c:f>
              <c:numCache>
                <c:formatCode>General</c:formatCode>
                <c:ptCount val="9"/>
                <c:pt idx="0">
                  <c:v>298500</c:v>
                </c:pt>
                <c:pt idx="1">
                  <c:v>34500</c:v>
                </c:pt>
                <c:pt idx="2">
                  <c:v>121775</c:v>
                </c:pt>
                <c:pt idx="3">
                  <c:v>256086</c:v>
                </c:pt>
                <c:pt idx="4">
                  <c:v>125000</c:v>
                </c:pt>
                <c:pt idx="5">
                  <c:v>36300</c:v>
                </c:pt>
                <c:pt idx="6">
                  <c:v>78800</c:v>
                </c:pt>
                <c:pt idx="7">
                  <c:v>44445</c:v>
                </c:pt>
                <c:pt idx="8">
                  <c:v>471955</c:v>
                </c:pt>
              </c:numCache>
            </c:numRef>
          </c:val>
          <c:extLst>
            <c:ext xmlns:c16="http://schemas.microsoft.com/office/drawing/2014/chart" uri="{C3380CC4-5D6E-409C-BE32-E72D297353CC}">
              <c16:uniqueId val="{00000000-C63B-440F-8902-D151D18E1931}"/>
            </c:ext>
          </c:extLst>
        </c:ser>
        <c:dLbls>
          <c:showLegendKey val="0"/>
          <c:showVal val="0"/>
          <c:showCatName val="0"/>
          <c:showSerName val="0"/>
          <c:showPercent val="0"/>
          <c:showBubbleSize val="0"/>
        </c:dLbls>
        <c:gapWidth val="150"/>
        <c:axId val="781928095"/>
        <c:axId val="1"/>
      </c:barChart>
      <c:catAx>
        <c:axId val="781928095"/>
        <c:scaling>
          <c:orientation val="minMax"/>
        </c:scaling>
        <c:delete val="0"/>
        <c:axPos val="b"/>
        <c:numFmt formatCode="0" sourceLinked="0"/>
        <c:majorTickMark val="out"/>
        <c:minorTickMark val="none"/>
        <c:tickLblPos val="nextTo"/>
        <c:spPr>
          <a:ln w="3175">
            <a:solidFill>
              <a:srgbClr val="99CC00"/>
            </a:solidFill>
            <a:prstDash val="solid"/>
          </a:ln>
        </c:spPr>
        <c:txPr>
          <a:bodyPr rot="0" vert="horz"/>
          <a:lstStyle/>
          <a:p>
            <a:pPr>
              <a:defRPr sz="575" b="0" i="0" u="none" strike="noStrike" baseline="0">
                <a:solidFill>
                  <a:srgbClr val="000000"/>
                </a:solidFill>
                <a:latin typeface="MathSoftText"/>
                <a:ea typeface="MathSoftText"/>
                <a:cs typeface="MathSoftText"/>
              </a:defRPr>
            </a:pPr>
            <a:endParaRPr lang="en-US"/>
          </a:p>
        </c:txPr>
        <c:crossAx val="1"/>
        <c:crosses val="autoZero"/>
        <c:auto val="1"/>
        <c:lblAlgn val="ctr"/>
        <c:lblOffset val="100"/>
        <c:tickLblSkip val="1"/>
        <c:tickMarkSkip val="1"/>
        <c:noMultiLvlLbl val="0"/>
      </c:catAx>
      <c:valAx>
        <c:axId val="1"/>
        <c:scaling>
          <c:orientation val="minMax"/>
          <c:max val="500000"/>
          <c:min val="0"/>
        </c:scaling>
        <c:delete val="0"/>
        <c:axPos val="l"/>
        <c:majorGridlines>
          <c:spPr>
            <a:ln w="3175">
              <a:solidFill>
                <a:srgbClr val="99CC00"/>
              </a:solidFill>
              <a:prstDash val="solid"/>
            </a:ln>
          </c:spPr>
        </c:majorGridlines>
        <c:numFmt formatCode="General" sourceLinked="1"/>
        <c:majorTickMark val="out"/>
        <c:minorTickMark val="none"/>
        <c:tickLblPos val="nextTo"/>
        <c:spPr>
          <a:ln w="3175">
            <a:solidFill>
              <a:srgbClr val="99CC00"/>
            </a:solidFill>
            <a:prstDash val="solid"/>
          </a:ln>
        </c:spPr>
        <c:txPr>
          <a:bodyPr rot="0" vert="horz"/>
          <a:lstStyle/>
          <a:p>
            <a:pPr>
              <a:defRPr sz="575" b="0" i="0" u="none" strike="noStrike" baseline="0">
                <a:solidFill>
                  <a:srgbClr val="000000"/>
                </a:solidFill>
                <a:latin typeface="MathSoftText"/>
                <a:ea typeface="MathSoftText"/>
                <a:cs typeface="MathSoftText"/>
              </a:defRPr>
            </a:pPr>
            <a:endParaRPr lang="en-US"/>
          </a:p>
        </c:txPr>
        <c:crossAx val="781928095"/>
        <c:crosses val="autoZero"/>
        <c:crossBetween val="between"/>
        <c:majorUnit val="100000"/>
        <c:minorUnit val="50000"/>
      </c:valAx>
      <c:spPr>
        <a:noFill/>
        <a:ln w="12700">
          <a:solidFill>
            <a:srgbClr val="99CC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575" b="0" i="0" u="none" strike="noStrike" baseline="0">
          <a:solidFill>
            <a:srgbClr val="000000"/>
          </a:solidFill>
          <a:latin typeface="MathSoftText"/>
          <a:ea typeface="MathSoftText"/>
          <a:cs typeface="MathSoftText"/>
        </a:defRPr>
      </a:pPr>
      <a:endParaRPr lang="en-US"/>
    </a:p>
  </c:txPr>
  <c:printSettings>
    <c:headerFooter alignWithMargins="0"/>
    <c:pageMargins b="1" l="0.75" r="0.75" t="1" header="0.5" footer="0.5"/>
    <c:pageSetup orientation="landscape" horizontalDpi="355" verticalDpi="355"/>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0" i="0" u="none" strike="noStrike" baseline="0">
                <a:solidFill>
                  <a:srgbClr val="000000"/>
                </a:solidFill>
                <a:latin typeface="MathSoftText"/>
                <a:ea typeface="MathSoftText"/>
                <a:cs typeface="MathSoftText"/>
              </a:defRPr>
            </a:pPr>
            <a:r>
              <a:rPr lang="en-GB"/>
              <a:t>lens 16  pulse count vs peak current</a:t>
            </a:r>
          </a:p>
        </c:rich>
      </c:tx>
      <c:layout>
        <c:manualLayout>
          <c:xMode val="edge"/>
          <c:yMode val="edge"/>
          <c:x val="0.33768958878714106"/>
          <c:y val="5.4547141891845966E-2"/>
        </c:manualLayout>
      </c:layout>
      <c:overlay val="0"/>
      <c:spPr>
        <a:noFill/>
        <a:ln w="25400">
          <a:noFill/>
        </a:ln>
      </c:spPr>
    </c:title>
    <c:autoTitleDeleted val="0"/>
    <c:plotArea>
      <c:layout>
        <c:manualLayout>
          <c:layoutTarget val="inner"/>
          <c:xMode val="edge"/>
          <c:yMode val="edge"/>
          <c:x val="8.7355994010573174E-2"/>
          <c:y val="0.29091809008984515"/>
          <c:w val="0.86052173204445215"/>
          <c:h val="0.50910665765722896"/>
        </c:manualLayout>
      </c:layout>
      <c:scatterChart>
        <c:scatterStyle val="lineMarker"/>
        <c:varyColors val="0"/>
        <c:ser>
          <c:idx val="0"/>
          <c:order val="0"/>
          <c:spPr>
            <a:ln w="19050">
              <a:noFill/>
            </a:ln>
          </c:spPr>
          <c:marker>
            <c:symbol val="diamond"/>
            <c:size val="5"/>
            <c:spPr>
              <a:solidFill>
                <a:srgbClr val="000080"/>
              </a:solidFill>
              <a:ln>
                <a:solidFill>
                  <a:srgbClr val="000080"/>
                </a:solidFill>
                <a:prstDash val="solid"/>
              </a:ln>
            </c:spPr>
          </c:marker>
          <c:xVal>
            <c:numRef>
              <c:f>'Lens 16'!$D$39:$D$47</c:f>
              <c:numCache>
                <c:formatCode>General</c:formatCode>
                <c:ptCount val="9"/>
                <c:pt idx="0">
                  <c:v>392863.68857758201</c:v>
                </c:pt>
                <c:pt idx="1">
                  <c:v>395351.04523751262</c:v>
                </c:pt>
                <c:pt idx="2">
                  <c:v>412762.54185702675</c:v>
                </c:pt>
                <c:pt idx="3">
                  <c:v>440123.46511626325</c:v>
                </c:pt>
                <c:pt idx="4">
                  <c:v>469971.74503543024</c:v>
                </c:pt>
                <c:pt idx="5">
                  <c:v>474946.45835529157</c:v>
                </c:pt>
                <c:pt idx="6">
                  <c:v>519718.87823404215</c:v>
                </c:pt>
                <c:pt idx="7">
                  <c:v>562003.94145286223</c:v>
                </c:pt>
                <c:pt idx="8">
                  <c:v>599314.29135182104</c:v>
                </c:pt>
              </c:numCache>
            </c:numRef>
          </c:xVal>
          <c:yVal>
            <c:numRef>
              <c:f>'Lens 16'!$A$39:$A$47</c:f>
              <c:numCache>
                <c:formatCode>General</c:formatCode>
                <c:ptCount val="9"/>
                <c:pt idx="0">
                  <c:v>298500</c:v>
                </c:pt>
                <c:pt idx="1">
                  <c:v>34500</c:v>
                </c:pt>
                <c:pt idx="2">
                  <c:v>121775</c:v>
                </c:pt>
                <c:pt idx="3">
                  <c:v>256086</c:v>
                </c:pt>
                <c:pt idx="4">
                  <c:v>125000</c:v>
                </c:pt>
                <c:pt idx="5">
                  <c:v>36300</c:v>
                </c:pt>
                <c:pt idx="6">
                  <c:v>78800</c:v>
                </c:pt>
                <c:pt idx="7">
                  <c:v>44445</c:v>
                </c:pt>
                <c:pt idx="8">
                  <c:v>471955</c:v>
                </c:pt>
              </c:numCache>
            </c:numRef>
          </c:yVal>
          <c:smooth val="0"/>
          <c:extLst>
            <c:ext xmlns:c16="http://schemas.microsoft.com/office/drawing/2014/chart" uri="{C3380CC4-5D6E-409C-BE32-E72D297353CC}">
              <c16:uniqueId val="{00000000-4963-422C-82A8-38DF0D14D3F7}"/>
            </c:ext>
          </c:extLst>
        </c:ser>
        <c:dLbls>
          <c:showLegendKey val="0"/>
          <c:showVal val="0"/>
          <c:showCatName val="0"/>
          <c:showSerName val="0"/>
          <c:showPercent val="0"/>
          <c:showBubbleSize val="0"/>
        </c:dLbls>
        <c:axId val="994768751"/>
        <c:axId val="1"/>
      </c:scatterChart>
      <c:valAx>
        <c:axId val="994768751"/>
        <c:scaling>
          <c:orientation val="minMax"/>
          <c:max val="700000"/>
          <c:min val="200000"/>
        </c:scaling>
        <c:delete val="0"/>
        <c:axPos val="b"/>
        <c:numFmt formatCode="0" sourceLinked="0"/>
        <c:majorTickMark val="out"/>
        <c:minorTickMark val="none"/>
        <c:tickLblPos val="nextTo"/>
        <c:spPr>
          <a:ln w="3175">
            <a:solidFill>
              <a:srgbClr val="99CC00"/>
            </a:solidFill>
            <a:prstDash val="solid"/>
          </a:ln>
        </c:spPr>
        <c:txPr>
          <a:bodyPr rot="0" vert="horz"/>
          <a:lstStyle/>
          <a:p>
            <a:pPr>
              <a:defRPr sz="525" b="0" i="0" u="none" strike="noStrike" baseline="0">
                <a:solidFill>
                  <a:srgbClr val="000000"/>
                </a:solidFill>
                <a:latin typeface="MathSoftText"/>
                <a:ea typeface="MathSoftText"/>
                <a:cs typeface="MathSoftText"/>
              </a:defRPr>
            </a:pPr>
            <a:endParaRPr lang="en-US"/>
          </a:p>
        </c:txPr>
        <c:crossAx val="1"/>
        <c:crosses val="autoZero"/>
        <c:crossBetween val="midCat"/>
        <c:majorUnit val="100000"/>
        <c:minorUnit val="20000"/>
      </c:valAx>
      <c:valAx>
        <c:axId val="1"/>
        <c:scaling>
          <c:orientation val="minMax"/>
          <c:max val="500000"/>
          <c:min val="0"/>
        </c:scaling>
        <c:delete val="0"/>
        <c:axPos val="l"/>
        <c:majorGridlines>
          <c:spPr>
            <a:ln w="3175">
              <a:solidFill>
                <a:srgbClr val="99CC00"/>
              </a:solidFill>
              <a:prstDash val="solid"/>
            </a:ln>
          </c:spPr>
        </c:majorGridlines>
        <c:numFmt formatCode="General" sourceLinked="1"/>
        <c:majorTickMark val="out"/>
        <c:minorTickMark val="none"/>
        <c:tickLblPos val="nextTo"/>
        <c:spPr>
          <a:ln w="3175">
            <a:solidFill>
              <a:srgbClr val="99CC00"/>
            </a:solidFill>
            <a:prstDash val="solid"/>
          </a:ln>
        </c:spPr>
        <c:txPr>
          <a:bodyPr rot="0" vert="horz"/>
          <a:lstStyle/>
          <a:p>
            <a:pPr>
              <a:defRPr sz="525" b="0" i="0" u="none" strike="noStrike" baseline="0">
                <a:solidFill>
                  <a:srgbClr val="000000"/>
                </a:solidFill>
                <a:latin typeface="MathSoftText"/>
                <a:ea typeface="MathSoftText"/>
                <a:cs typeface="MathSoftText"/>
              </a:defRPr>
            </a:pPr>
            <a:endParaRPr lang="en-US"/>
          </a:p>
        </c:txPr>
        <c:crossAx val="994768751"/>
        <c:crosses val="autoZero"/>
        <c:crossBetween val="midCat"/>
        <c:majorUnit val="100000"/>
        <c:minorUnit val="50000"/>
      </c:valAx>
      <c:spPr>
        <a:noFill/>
        <a:ln w="12700">
          <a:solidFill>
            <a:srgbClr val="99CC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525" b="0" i="0" u="none" strike="noStrike" baseline="0">
          <a:solidFill>
            <a:srgbClr val="000000"/>
          </a:solidFill>
          <a:latin typeface="MathSoftText"/>
          <a:ea typeface="MathSoftText"/>
          <a:cs typeface="MathSoftText"/>
        </a:defRPr>
      </a:pPr>
      <a:endParaRPr lang="en-US"/>
    </a:p>
  </c:txPr>
  <c:printSettings>
    <c:headerFooter alignWithMargins="0"/>
    <c:pageMargins b="1" l="0.75" r="0.75" t="1" header="0.5" footer="0.5"/>
    <c:pageSetup orientation="landscape" horizontalDpi="355" verticalDpi="355"/>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0" i="0" u="none" strike="noStrike" baseline="0">
                <a:solidFill>
                  <a:srgbClr val="000000"/>
                </a:solidFill>
                <a:latin typeface="MathSoftText"/>
                <a:ea typeface="MathSoftText"/>
                <a:cs typeface="MathSoftText"/>
              </a:defRPr>
            </a:pPr>
            <a:r>
              <a:rPr lang="en-GB"/>
              <a:t>Lens 16 Rogowski and Bdot vs Pot</a:t>
            </a:r>
          </a:p>
        </c:rich>
      </c:tx>
      <c:layout>
        <c:manualLayout>
          <c:xMode val="edge"/>
          <c:yMode val="edge"/>
          <c:x val="0.24365531510444405"/>
          <c:y val="4.0108195513091464E-2"/>
        </c:manualLayout>
      </c:layout>
      <c:overlay val="0"/>
      <c:spPr>
        <a:noFill/>
        <a:ln w="25400">
          <a:noFill/>
        </a:ln>
      </c:spPr>
    </c:title>
    <c:autoTitleDeleted val="0"/>
    <c:plotArea>
      <c:layout>
        <c:manualLayout>
          <c:layoutTarget val="inner"/>
          <c:xMode val="edge"/>
          <c:yMode val="edge"/>
          <c:x val="0.18087296397323763"/>
          <c:y val="0.28343124829251304"/>
          <c:w val="0.39463192139615477"/>
          <c:h val="0.42247299273789679"/>
        </c:manualLayout>
      </c:layout>
      <c:scatterChart>
        <c:scatterStyle val="lineMarker"/>
        <c:varyColors val="0"/>
        <c:ser>
          <c:idx val="1"/>
          <c:order val="1"/>
          <c:tx>
            <c:v>bdot vs pot</c:v>
          </c:tx>
          <c:spPr>
            <a:ln w="19050">
              <a:noFill/>
            </a:ln>
          </c:spPr>
          <c:marker>
            <c:symbol val="square"/>
            <c:size val="5"/>
            <c:spPr>
              <a:solidFill>
                <a:srgbClr val="339966"/>
              </a:solidFill>
              <a:ln>
                <a:solidFill>
                  <a:srgbClr val="339966"/>
                </a:solidFill>
                <a:prstDash val="solid"/>
              </a:ln>
            </c:spPr>
          </c:marker>
          <c:trendline>
            <c:spPr>
              <a:ln w="12700">
                <a:solidFill>
                  <a:srgbClr val="339966"/>
                </a:solidFill>
                <a:prstDash val="solid"/>
              </a:ln>
            </c:spPr>
            <c:trendlineType val="linear"/>
            <c:dispRSqr val="1"/>
            <c:dispEq val="1"/>
            <c:trendlineLbl>
              <c:layout>
                <c:manualLayout>
                  <c:xMode val="edge"/>
                  <c:yMode val="edge"/>
                  <c:x val="0.66070950476174406"/>
                  <c:y val="0.57221025598677155"/>
                </c:manualLayout>
              </c:layout>
              <c:numFmt formatCode="General" sourceLinked="0"/>
              <c:spPr>
                <a:noFill/>
                <a:ln w="25400">
                  <a:noFill/>
                </a:ln>
              </c:spPr>
              <c:txPr>
                <a:bodyPr/>
                <a:lstStyle/>
                <a:p>
                  <a:pPr>
                    <a:defRPr sz="900" b="0" i="0" u="none" strike="noStrike" baseline="0">
                      <a:solidFill>
                        <a:srgbClr val="339966"/>
                      </a:solidFill>
                      <a:latin typeface="MathSoftText"/>
                      <a:ea typeface="MathSoftText"/>
                      <a:cs typeface="MathSoftText"/>
                    </a:defRPr>
                  </a:pPr>
                  <a:endParaRPr lang="en-US"/>
                </a:p>
              </c:txPr>
            </c:trendlineLbl>
          </c:trendline>
          <c:xVal>
            <c:numRef>
              <c:f>'Lens 16'!$A$7:$A$30</c:f>
              <c:numCache>
                <c:formatCode>General</c:formatCode>
                <c:ptCount val="24"/>
                <c:pt idx="0">
                  <c:v>6.1</c:v>
                </c:pt>
                <c:pt idx="1">
                  <c:v>6.1</c:v>
                </c:pt>
                <c:pt idx="2">
                  <c:v>2.9</c:v>
                </c:pt>
                <c:pt idx="3">
                  <c:v>2.9</c:v>
                </c:pt>
                <c:pt idx="4">
                  <c:v>2.9</c:v>
                </c:pt>
                <c:pt idx="5">
                  <c:v>2.9</c:v>
                </c:pt>
                <c:pt idx="6">
                  <c:v>3.6</c:v>
                </c:pt>
                <c:pt idx="7">
                  <c:v>3.6</c:v>
                </c:pt>
                <c:pt idx="8">
                  <c:v>4.5</c:v>
                </c:pt>
                <c:pt idx="9">
                  <c:v>4.5</c:v>
                </c:pt>
                <c:pt idx="10">
                  <c:v>5.35</c:v>
                </c:pt>
                <c:pt idx="11">
                  <c:v>5.35</c:v>
                </c:pt>
                <c:pt idx="12">
                  <c:v>6.1</c:v>
                </c:pt>
                <c:pt idx="13">
                  <c:v>6.1</c:v>
                </c:pt>
                <c:pt idx="14">
                  <c:v>3.5</c:v>
                </c:pt>
                <c:pt idx="15">
                  <c:v>3.5</c:v>
                </c:pt>
                <c:pt idx="16">
                  <c:v>2.35</c:v>
                </c:pt>
                <c:pt idx="17">
                  <c:v>2.35</c:v>
                </c:pt>
                <c:pt idx="18">
                  <c:v>2</c:v>
                </c:pt>
                <c:pt idx="19">
                  <c:v>2</c:v>
                </c:pt>
                <c:pt idx="20">
                  <c:v>1.95</c:v>
                </c:pt>
                <c:pt idx="21">
                  <c:v>1.95</c:v>
                </c:pt>
                <c:pt idx="22">
                  <c:v>2.9</c:v>
                </c:pt>
                <c:pt idx="23">
                  <c:v>2.9</c:v>
                </c:pt>
              </c:numCache>
            </c:numRef>
          </c:xVal>
          <c:yVal>
            <c:numRef>
              <c:f>'Lens 16'!$D$7:$D$30</c:f>
              <c:numCache>
                <c:formatCode>0.00</c:formatCode>
                <c:ptCount val="24"/>
                <c:pt idx="0">
                  <c:v>5.6</c:v>
                </c:pt>
                <c:pt idx="1">
                  <c:v>5.6</c:v>
                </c:pt>
                <c:pt idx="2">
                  <c:v>4.0999999999999996</c:v>
                </c:pt>
                <c:pt idx="3">
                  <c:v>4.0999999999999996</c:v>
                </c:pt>
                <c:pt idx="4">
                  <c:v>4.1500000000000004</c:v>
                </c:pt>
                <c:pt idx="5">
                  <c:v>4.1500000000000004</c:v>
                </c:pt>
                <c:pt idx="6" formatCode="General">
                  <c:v>4.4800000000000004</c:v>
                </c:pt>
                <c:pt idx="7" formatCode="General">
                  <c:v>4.4800000000000004</c:v>
                </c:pt>
                <c:pt idx="8" formatCode="General">
                  <c:v>4.8499999999999996</c:v>
                </c:pt>
                <c:pt idx="9" formatCode="General">
                  <c:v>4.8499999999999996</c:v>
                </c:pt>
                <c:pt idx="10" formatCode="General">
                  <c:v>5.25</c:v>
                </c:pt>
                <c:pt idx="11" formatCode="General">
                  <c:v>5.25</c:v>
                </c:pt>
                <c:pt idx="12" formatCode="0.0">
                  <c:v>5.59</c:v>
                </c:pt>
                <c:pt idx="13" formatCode="0.0">
                  <c:v>5.59</c:v>
                </c:pt>
                <c:pt idx="14" formatCode="0.0">
                  <c:v>5.03</c:v>
                </c:pt>
                <c:pt idx="15" formatCode="0.0">
                  <c:v>5.03</c:v>
                </c:pt>
                <c:pt idx="16" formatCode="0.0">
                  <c:v>4.5999999999999996</c:v>
                </c:pt>
                <c:pt idx="17" formatCode="0.0">
                  <c:v>4.5999999999999996</c:v>
                </c:pt>
                <c:pt idx="22" formatCode="0.0">
                  <c:v>4.2</c:v>
                </c:pt>
                <c:pt idx="23" formatCode="0.0">
                  <c:v>4.2</c:v>
                </c:pt>
              </c:numCache>
            </c:numRef>
          </c:yVal>
          <c:smooth val="0"/>
          <c:extLst>
            <c:ext xmlns:c16="http://schemas.microsoft.com/office/drawing/2014/chart" uri="{C3380CC4-5D6E-409C-BE32-E72D297353CC}">
              <c16:uniqueId val="{00000001-52AD-4D3A-8D07-36603A23CA11}"/>
            </c:ext>
          </c:extLst>
        </c:ser>
        <c:dLbls>
          <c:showLegendKey val="0"/>
          <c:showVal val="0"/>
          <c:showCatName val="0"/>
          <c:showSerName val="0"/>
          <c:showPercent val="0"/>
          <c:showBubbleSize val="0"/>
        </c:dLbls>
        <c:axId val="994769167"/>
        <c:axId val="1"/>
      </c:scatterChart>
      <c:scatterChart>
        <c:scatterStyle val="lineMarker"/>
        <c:varyColors val="0"/>
        <c:ser>
          <c:idx val="0"/>
          <c:order val="0"/>
          <c:tx>
            <c:v>rog vs pot</c:v>
          </c:tx>
          <c:spPr>
            <a:ln w="19050">
              <a:noFill/>
            </a:ln>
          </c:spPr>
          <c:marker>
            <c:symbol val="diamond"/>
            <c:size val="5"/>
            <c:spPr>
              <a:solidFill>
                <a:srgbClr val="FF0000"/>
              </a:solidFill>
              <a:ln>
                <a:solidFill>
                  <a:srgbClr val="FF0000"/>
                </a:solidFill>
                <a:prstDash val="solid"/>
              </a:ln>
            </c:spPr>
          </c:marker>
          <c:trendline>
            <c:spPr>
              <a:ln w="12700">
                <a:solidFill>
                  <a:srgbClr val="FF0000"/>
                </a:solidFill>
                <a:prstDash val="solid"/>
              </a:ln>
            </c:spPr>
            <c:trendlineType val="linear"/>
            <c:dispRSqr val="1"/>
            <c:dispEq val="1"/>
            <c:trendlineLbl>
              <c:layout>
                <c:manualLayout>
                  <c:xMode val="edge"/>
                  <c:yMode val="edge"/>
                  <c:x val="0.68462659090696554"/>
                  <c:y val="0.78612063205659277"/>
                </c:manualLayout>
              </c:layout>
              <c:numFmt formatCode="General" sourceLinked="0"/>
              <c:spPr>
                <a:noFill/>
                <a:ln w="25400">
                  <a:noFill/>
                </a:ln>
              </c:spPr>
              <c:txPr>
                <a:bodyPr/>
                <a:lstStyle/>
                <a:p>
                  <a:pPr>
                    <a:defRPr sz="900" b="0" i="0" u="none" strike="noStrike" baseline="0">
                      <a:solidFill>
                        <a:srgbClr val="FF0000"/>
                      </a:solidFill>
                      <a:latin typeface="MathSoftText"/>
                      <a:ea typeface="MathSoftText"/>
                      <a:cs typeface="MathSoftText"/>
                    </a:defRPr>
                  </a:pPr>
                  <a:endParaRPr lang="en-US"/>
                </a:p>
              </c:txPr>
            </c:trendlineLbl>
          </c:trendline>
          <c:xVal>
            <c:numRef>
              <c:f>'Lens 16'!$A$7:$A$30</c:f>
              <c:numCache>
                <c:formatCode>General</c:formatCode>
                <c:ptCount val="24"/>
                <c:pt idx="0">
                  <c:v>6.1</c:v>
                </c:pt>
                <c:pt idx="1">
                  <c:v>6.1</c:v>
                </c:pt>
                <c:pt idx="2">
                  <c:v>2.9</c:v>
                </c:pt>
                <c:pt idx="3">
                  <c:v>2.9</c:v>
                </c:pt>
                <c:pt idx="4">
                  <c:v>2.9</c:v>
                </c:pt>
                <c:pt idx="5">
                  <c:v>2.9</c:v>
                </c:pt>
                <c:pt idx="6">
                  <c:v>3.6</c:v>
                </c:pt>
                <c:pt idx="7">
                  <c:v>3.6</c:v>
                </c:pt>
                <c:pt idx="8">
                  <c:v>4.5</c:v>
                </c:pt>
                <c:pt idx="9">
                  <c:v>4.5</c:v>
                </c:pt>
                <c:pt idx="10">
                  <c:v>5.35</c:v>
                </c:pt>
                <c:pt idx="11">
                  <c:v>5.35</c:v>
                </c:pt>
                <c:pt idx="12">
                  <c:v>6.1</c:v>
                </c:pt>
                <c:pt idx="13">
                  <c:v>6.1</c:v>
                </c:pt>
                <c:pt idx="14">
                  <c:v>3.5</c:v>
                </c:pt>
                <c:pt idx="15">
                  <c:v>3.5</c:v>
                </c:pt>
                <c:pt idx="16">
                  <c:v>2.35</c:v>
                </c:pt>
                <c:pt idx="17">
                  <c:v>2.35</c:v>
                </c:pt>
                <c:pt idx="18">
                  <c:v>2</c:v>
                </c:pt>
                <c:pt idx="19">
                  <c:v>2</c:v>
                </c:pt>
                <c:pt idx="20">
                  <c:v>1.95</c:v>
                </c:pt>
                <c:pt idx="21">
                  <c:v>1.95</c:v>
                </c:pt>
                <c:pt idx="22">
                  <c:v>2.9</c:v>
                </c:pt>
                <c:pt idx="23">
                  <c:v>2.9</c:v>
                </c:pt>
              </c:numCache>
            </c:numRef>
          </c:xVal>
          <c:yVal>
            <c:numRef>
              <c:f>'Lens 16'!$C$7:$C$30</c:f>
              <c:numCache>
                <c:formatCode>0.00</c:formatCode>
                <c:ptCount val="24"/>
                <c:pt idx="0">
                  <c:v>0.68</c:v>
                </c:pt>
                <c:pt idx="1">
                  <c:v>0.68</c:v>
                </c:pt>
                <c:pt idx="2">
                  <c:v>0.501</c:v>
                </c:pt>
                <c:pt idx="3">
                  <c:v>0.501</c:v>
                </c:pt>
                <c:pt idx="4">
                  <c:v>0.504</c:v>
                </c:pt>
                <c:pt idx="5">
                  <c:v>0.504</c:v>
                </c:pt>
                <c:pt idx="6">
                  <c:v>0.55000000000000004</c:v>
                </c:pt>
                <c:pt idx="7">
                  <c:v>0.55000000000000004</c:v>
                </c:pt>
                <c:pt idx="8">
                  <c:v>0.6</c:v>
                </c:pt>
                <c:pt idx="9">
                  <c:v>0.6</c:v>
                </c:pt>
                <c:pt idx="10">
                  <c:v>0.65</c:v>
                </c:pt>
                <c:pt idx="11">
                  <c:v>0.65</c:v>
                </c:pt>
                <c:pt idx="12">
                  <c:v>0.69199999999999995</c:v>
                </c:pt>
                <c:pt idx="13">
                  <c:v>0.69399999999999995</c:v>
                </c:pt>
                <c:pt idx="14">
                  <c:v>0.62</c:v>
                </c:pt>
                <c:pt idx="15">
                  <c:v>0.62</c:v>
                </c:pt>
                <c:pt idx="16">
                  <c:v>0.49</c:v>
                </c:pt>
                <c:pt idx="17">
                  <c:v>0.49</c:v>
                </c:pt>
                <c:pt idx="22">
                  <c:v>0.55000000000000004</c:v>
                </c:pt>
                <c:pt idx="23">
                  <c:v>0.55000000000000004</c:v>
                </c:pt>
              </c:numCache>
            </c:numRef>
          </c:yVal>
          <c:smooth val="0"/>
          <c:extLst>
            <c:ext xmlns:c16="http://schemas.microsoft.com/office/drawing/2014/chart" uri="{C3380CC4-5D6E-409C-BE32-E72D297353CC}">
              <c16:uniqueId val="{00000003-52AD-4D3A-8D07-36603A23CA11}"/>
            </c:ext>
          </c:extLst>
        </c:ser>
        <c:dLbls>
          <c:showLegendKey val="0"/>
          <c:showVal val="0"/>
          <c:showCatName val="0"/>
          <c:showSerName val="0"/>
          <c:showPercent val="0"/>
          <c:showBubbleSize val="0"/>
        </c:dLbls>
        <c:axId val="3"/>
        <c:axId val="4"/>
      </c:scatterChart>
      <c:valAx>
        <c:axId val="994769167"/>
        <c:scaling>
          <c:orientation val="minMax"/>
        </c:scaling>
        <c:delete val="0"/>
        <c:axPos val="b"/>
        <c:title>
          <c:tx>
            <c:rich>
              <a:bodyPr/>
              <a:lstStyle/>
              <a:p>
                <a:pPr>
                  <a:defRPr sz="900" b="0" i="0" u="none" strike="noStrike" baseline="0">
                    <a:solidFill>
                      <a:srgbClr val="000000"/>
                    </a:solidFill>
                    <a:latin typeface="MathSoftText"/>
                    <a:ea typeface="MathSoftText"/>
                    <a:cs typeface="MathSoftText"/>
                  </a:defRPr>
                </a:pPr>
                <a:r>
                  <a:rPr lang="en-GB"/>
                  <a:t>pot setting</a:t>
                </a:r>
              </a:p>
            </c:rich>
          </c:tx>
          <c:layout>
            <c:manualLayout>
              <c:xMode val="edge"/>
              <c:yMode val="edge"/>
              <c:x val="0.31241693777195589"/>
              <c:y val="0.82088106816793871"/>
            </c:manualLayout>
          </c:layout>
          <c:overlay val="0"/>
          <c:spPr>
            <a:noFill/>
            <a:ln w="25400">
              <a:noFill/>
            </a:ln>
          </c:spPr>
        </c:title>
        <c:numFmt formatCode="General" sourceLinked="1"/>
        <c:majorTickMark val="out"/>
        <c:minorTickMark val="none"/>
        <c:tickLblPos val="nextTo"/>
        <c:spPr>
          <a:ln w="3175">
            <a:solidFill>
              <a:srgbClr val="99CC00"/>
            </a:solidFill>
            <a:prstDash val="solid"/>
          </a:ln>
        </c:spPr>
        <c:txPr>
          <a:bodyPr rot="0" vert="horz"/>
          <a:lstStyle/>
          <a:p>
            <a:pPr>
              <a:defRPr sz="900" b="0" i="0" u="none" strike="noStrike" baseline="0">
                <a:solidFill>
                  <a:srgbClr val="000000"/>
                </a:solidFill>
                <a:latin typeface="MathSoftText"/>
                <a:ea typeface="MathSoftText"/>
                <a:cs typeface="MathSoftText"/>
              </a:defRPr>
            </a:pPr>
            <a:endParaRPr lang="en-US"/>
          </a:p>
        </c:txPr>
        <c:crossAx val="1"/>
        <c:crosses val="autoZero"/>
        <c:crossBetween val="midCat"/>
      </c:valAx>
      <c:valAx>
        <c:axId val="1"/>
        <c:scaling>
          <c:orientation val="minMax"/>
        </c:scaling>
        <c:delete val="0"/>
        <c:axPos val="l"/>
        <c:majorGridlines>
          <c:spPr>
            <a:ln w="3175">
              <a:solidFill>
                <a:srgbClr val="99CC00"/>
              </a:solidFill>
              <a:prstDash val="solid"/>
            </a:ln>
          </c:spPr>
        </c:majorGridlines>
        <c:title>
          <c:tx>
            <c:rich>
              <a:bodyPr/>
              <a:lstStyle/>
              <a:p>
                <a:pPr>
                  <a:defRPr sz="900" b="0" i="0" u="none" strike="noStrike" baseline="0">
                    <a:solidFill>
                      <a:srgbClr val="000000"/>
                    </a:solidFill>
                    <a:latin typeface="MathSoftText"/>
                    <a:ea typeface="MathSoftText"/>
                    <a:cs typeface="MathSoftText"/>
                  </a:defRPr>
                </a:pPr>
                <a:r>
                  <a:rPr lang="en-GB"/>
                  <a:t>bdot (volts)</a:t>
                </a:r>
              </a:p>
            </c:rich>
          </c:tx>
          <c:layout>
            <c:manualLayout>
              <c:xMode val="edge"/>
              <c:yMode val="edge"/>
              <c:x val="5.5308261710824723E-2"/>
              <c:y val="0.36899539872044151"/>
            </c:manualLayout>
          </c:layout>
          <c:overlay val="0"/>
          <c:spPr>
            <a:noFill/>
            <a:ln w="25400">
              <a:noFill/>
            </a:ln>
          </c:spPr>
        </c:title>
        <c:numFmt formatCode="0.00" sourceLinked="1"/>
        <c:majorTickMark val="out"/>
        <c:minorTickMark val="none"/>
        <c:tickLblPos val="nextTo"/>
        <c:spPr>
          <a:ln w="3175">
            <a:solidFill>
              <a:srgbClr val="99CC00"/>
            </a:solidFill>
            <a:prstDash val="solid"/>
          </a:ln>
        </c:spPr>
        <c:txPr>
          <a:bodyPr rot="0" vert="horz"/>
          <a:lstStyle/>
          <a:p>
            <a:pPr>
              <a:defRPr sz="900" b="0" i="0" u="none" strike="noStrike" baseline="0">
                <a:solidFill>
                  <a:srgbClr val="000000"/>
                </a:solidFill>
                <a:latin typeface="MathSoftText"/>
                <a:ea typeface="MathSoftText"/>
                <a:cs typeface="MathSoftText"/>
              </a:defRPr>
            </a:pPr>
            <a:endParaRPr lang="en-US"/>
          </a:p>
        </c:txPr>
        <c:crossAx val="994769167"/>
        <c:crosses val="autoZero"/>
        <c:crossBetween val="midCat"/>
      </c:valAx>
      <c:valAx>
        <c:axId val="3"/>
        <c:scaling>
          <c:orientation val="minMax"/>
        </c:scaling>
        <c:delete val="1"/>
        <c:axPos val="b"/>
        <c:numFmt formatCode="General" sourceLinked="1"/>
        <c:majorTickMark val="out"/>
        <c:minorTickMark val="none"/>
        <c:tickLblPos val="nextTo"/>
        <c:crossAx val="4"/>
        <c:crosses val="autoZero"/>
        <c:crossBetween val="midCat"/>
      </c:valAx>
      <c:valAx>
        <c:axId val="4"/>
        <c:scaling>
          <c:orientation val="minMax"/>
        </c:scaling>
        <c:delete val="0"/>
        <c:axPos val="r"/>
        <c:numFmt formatCode="0.00" sourceLinked="1"/>
        <c:majorTickMark val="out"/>
        <c:minorTickMark val="none"/>
        <c:tickLblPos val="nextTo"/>
        <c:spPr>
          <a:ln w="3175">
            <a:solidFill>
              <a:srgbClr val="99CC00"/>
            </a:solidFill>
            <a:prstDash val="solid"/>
          </a:ln>
        </c:spPr>
        <c:txPr>
          <a:bodyPr rot="0" vert="horz"/>
          <a:lstStyle/>
          <a:p>
            <a:pPr>
              <a:defRPr sz="900" b="0" i="0" u="none" strike="noStrike" baseline="0">
                <a:solidFill>
                  <a:srgbClr val="000000"/>
                </a:solidFill>
                <a:latin typeface="MathSoftText"/>
                <a:ea typeface="MathSoftText"/>
                <a:cs typeface="MathSoftText"/>
              </a:defRPr>
            </a:pPr>
            <a:endParaRPr lang="en-US"/>
          </a:p>
        </c:txPr>
        <c:crossAx val="3"/>
        <c:crosses val="max"/>
        <c:crossBetween val="midCat"/>
      </c:valAx>
      <c:spPr>
        <a:noFill/>
        <a:ln w="12700">
          <a:solidFill>
            <a:srgbClr val="99CC00"/>
          </a:solidFill>
          <a:prstDash val="solid"/>
        </a:ln>
      </c:spPr>
    </c:plotArea>
    <c:legend>
      <c:legendPos val="r"/>
      <c:layout>
        <c:manualLayout>
          <c:xMode val="edge"/>
          <c:yMode val="edge"/>
          <c:x val="0.66668877629804935"/>
          <c:y val="0.21391037606982116"/>
          <c:w val="0.31391175565603224"/>
          <c:h val="0.29145288739513131"/>
        </c:manualLayout>
      </c:layout>
      <c:overlay val="0"/>
      <c:spPr>
        <a:solidFill>
          <a:srgbClr val="FFFFFF"/>
        </a:solidFill>
        <a:ln w="3175">
          <a:solidFill>
            <a:srgbClr val="000000"/>
          </a:solidFill>
          <a:prstDash val="solid"/>
        </a:ln>
      </c:spPr>
      <c:txPr>
        <a:bodyPr/>
        <a:lstStyle/>
        <a:p>
          <a:pPr>
            <a:defRPr sz="825" b="0" i="0" u="none" strike="noStrike" baseline="0">
              <a:solidFill>
                <a:srgbClr val="000000"/>
              </a:solidFill>
              <a:latin typeface="MathSoftText"/>
              <a:ea typeface="MathSoftText"/>
              <a:cs typeface="MathSoftText"/>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900" b="0" i="0" u="none" strike="noStrike" baseline="0">
          <a:solidFill>
            <a:srgbClr val="000000"/>
          </a:solidFill>
          <a:latin typeface="MathSoftText"/>
          <a:ea typeface="MathSoftText"/>
          <a:cs typeface="MathSoftText"/>
        </a:defRPr>
      </a:pPr>
      <a:endParaRPr lang="en-US"/>
    </a:p>
  </c:txPr>
  <c:printSettings>
    <c:headerFooter alignWithMargins="0"/>
    <c:pageMargins b="1" l="0.75" r="0.75" t="1" header="0.5" footer="0.5"/>
    <c:pageSetup orientation="landscape" horizontalDpi="355" verticalDpi="355"/>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0" i="0" u="none" strike="noStrike" baseline="0">
                <a:solidFill>
                  <a:srgbClr val="000000"/>
                </a:solidFill>
                <a:latin typeface="MathSoftText"/>
                <a:ea typeface="MathSoftText"/>
                <a:cs typeface="MathSoftText"/>
              </a:defRPr>
            </a:pPr>
            <a:r>
              <a:rPr lang="en-GB"/>
              <a:t>Lens 16 Rogowski vs Bdot</a:t>
            </a:r>
          </a:p>
        </c:rich>
      </c:tx>
      <c:layout>
        <c:manualLayout>
          <c:xMode val="edge"/>
          <c:yMode val="edge"/>
          <c:x val="0.30999457125267255"/>
          <c:y val="4.1784136377871685E-2"/>
        </c:manualLayout>
      </c:layout>
      <c:overlay val="0"/>
      <c:spPr>
        <a:noFill/>
        <a:ln w="25400">
          <a:noFill/>
        </a:ln>
      </c:spPr>
    </c:title>
    <c:autoTitleDeleted val="0"/>
    <c:plotArea>
      <c:layout>
        <c:manualLayout>
          <c:layoutTarget val="inner"/>
          <c:xMode val="edge"/>
          <c:yMode val="edge"/>
          <c:x val="0.15797800265761197"/>
          <c:y val="0.24234799099165574"/>
          <c:w val="0.78243822070987057"/>
          <c:h val="0.49305280925888584"/>
        </c:manualLayout>
      </c:layout>
      <c:scatterChart>
        <c:scatterStyle val="lineMarker"/>
        <c:varyColors val="0"/>
        <c:ser>
          <c:idx val="0"/>
          <c:order val="0"/>
          <c:spPr>
            <a:ln w="19050">
              <a:noFill/>
            </a:ln>
          </c:spPr>
          <c:marker>
            <c:symbol val="diamond"/>
            <c:size val="5"/>
            <c:spPr>
              <a:solidFill>
                <a:srgbClr val="FF0000"/>
              </a:solidFill>
              <a:ln>
                <a:solidFill>
                  <a:srgbClr val="FF0000"/>
                </a:solidFill>
                <a:prstDash val="solid"/>
              </a:ln>
            </c:spPr>
          </c:marker>
          <c:trendline>
            <c:spPr>
              <a:ln w="3175">
                <a:solidFill>
                  <a:srgbClr val="FF0000"/>
                </a:solidFill>
                <a:prstDash val="solid"/>
              </a:ln>
            </c:spPr>
            <c:trendlineType val="linear"/>
            <c:dispRSqr val="1"/>
            <c:dispEq val="1"/>
            <c:trendlineLbl>
              <c:layout>
                <c:manualLayout>
                  <c:xMode val="edge"/>
                  <c:yMode val="edge"/>
                  <c:x val="0.71239137047489165"/>
                  <c:y val="2.2284872734864895E-2"/>
                </c:manualLayout>
              </c:layout>
              <c:numFmt formatCode="General" sourceLinked="0"/>
              <c:spPr>
                <a:noFill/>
                <a:ln w="25400">
                  <a:noFill/>
                </a:ln>
              </c:spPr>
              <c:txPr>
                <a:bodyPr/>
                <a:lstStyle/>
                <a:p>
                  <a:pPr>
                    <a:defRPr sz="875" b="0" i="0" u="none" strike="noStrike" baseline="0">
                      <a:solidFill>
                        <a:srgbClr val="FF0000"/>
                      </a:solidFill>
                      <a:latin typeface="MathSoftText"/>
                      <a:ea typeface="MathSoftText"/>
                      <a:cs typeface="MathSoftText"/>
                    </a:defRPr>
                  </a:pPr>
                  <a:endParaRPr lang="en-US"/>
                </a:p>
              </c:txPr>
            </c:trendlineLbl>
          </c:trendline>
          <c:xVal>
            <c:numRef>
              <c:f>'Lens 16'!$D$7:$D$30</c:f>
              <c:numCache>
                <c:formatCode>0.00</c:formatCode>
                <c:ptCount val="24"/>
                <c:pt idx="0">
                  <c:v>5.6</c:v>
                </c:pt>
                <c:pt idx="1">
                  <c:v>5.6</c:v>
                </c:pt>
                <c:pt idx="2">
                  <c:v>4.0999999999999996</c:v>
                </c:pt>
                <c:pt idx="3">
                  <c:v>4.0999999999999996</c:v>
                </c:pt>
                <c:pt idx="4">
                  <c:v>4.1500000000000004</c:v>
                </c:pt>
                <c:pt idx="5">
                  <c:v>4.1500000000000004</c:v>
                </c:pt>
                <c:pt idx="6" formatCode="General">
                  <c:v>4.4800000000000004</c:v>
                </c:pt>
                <c:pt idx="7" formatCode="General">
                  <c:v>4.4800000000000004</c:v>
                </c:pt>
                <c:pt idx="8" formatCode="General">
                  <c:v>4.8499999999999996</c:v>
                </c:pt>
                <c:pt idx="9" formatCode="General">
                  <c:v>4.8499999999999996</c:v>
                </c:pt>
                <c:pt idx="10" formatCode="General">
                  <c:v>5.25</c:v>
                </c:pt>
                <c:pt idx="11" formatCode="General">
                  <c:v>5.25</c:v>
                </c:pt>
                <c:pt idx="12" formatCode="0.0">
                  <c:v>5.59</c:v>
                </c:pt>
                <c:pt idx="13" formatCode="0.0">
                  <c:v>5.59</c:v>
                </c:pt>
                <c:pt idx="14" formatCode="0.0">
                  <c:v>5.03</c:v>
                </c:pt>
                <c:pt idx="15" formatCode="0.0">
                  <c:v>5.03</c:v>
                </c:pt>
                <c:pt idx="16" formatCode="0.0">
                  <c:v>4.5999999999999996</c:v>
                </c:pt>
                <c:pt idx="17" formatCode="0.0">
                  <c:v>4.5999999999999996</c:v>
                </c:pt>
                <c:pt idx="22" formatCode="0.0">
                  <c:v>4.2</c:v>
                </c:pt>
                <c:pt idx="23" formatCode="0.0">
                  <c:v>4.2</c:v>
                </c:pt>
              </c:numCache>
            </c:numRef>
          </c:xVal>
          <c:yVal>
            <c:numRef>
              <c:f>'Lens 16'!$C$7:$C$30</c:f>
              <c:numCache>
                <c:formatCode>0.00</c:formatCode>
                <c:ptCount val="24"/>
                <c:pt idx="0">
                  <c:v>0.68</c:v>
                </c:pt>
                <c:pt idx="1">
                  <c:v>0.68</c:v>
                </c:pt>
                <c:pt idx="2">
                  <c:v>0.501</c:v>
                </c:pt>
                <c:pt idx="3">
                  <c:v>0.501</c:v>
                </c:pt>
                <c:pt idx="4">
                  <c:v>0.504</c:v>
                </c:pt>
                <c:pt idx="5">
                  <c:v>0.504</c:v>
                </c:pt>
                <c:pt idx="6">
                  <c:v>0.55000000000000004</c:v>
                </c:pt>
                <c:pt idx="7">
                  <c:v>0.55000000000000004</c:v>
                </c:pt>
                <c:pt idx="8">
                  <c:v>0.6</c:v>
                </c:pt>
                <c:pt idx="9">
                  <c:v>0.6</c:v>
                </c:pt>
                <c:pt idx="10">
                  <c:v>0.65</c:v>
                </c:pt>
                <c:pt idx="11">
                  <c:v>0.65</c:v>
                </c:pt>
                <c:pt idx="12">
                  <c:v>0.69199999999999995</c:v>
                </c:pt>
                <c:pt idx="13">
                  <c:v>0.69399999999999995</c:v>
                </c:pt>
                <c:pt idx="14">
                  <c:v>0.62</c:v>
                </c:pt>
                <c:pt idx="15">
                  <c:v>0.62</c:v>
                </c:pt>
                <c:pt idx="16">
                  <c:v>0.49</c:v>
                </c:pt>
                <c:pt idx="17">
                  <c:v>0.49</c:v>
                </c:pt>
                <c:pt idx="22">
                  <c:v>0.55000000000000004</c:v>
                </c:pt>
                <c:pt idx="23">
                  <c:v>0.55000000000000004</c:v>
                </c:pt>
              </c:numCache>
            </c:numRef>
          </c:yVal>
          <c:smooth val="0"/>
          <c:extLst>
            <c:ext xmlns:c16="http://schemas.microsoft.com/office/drawing/2014/chart" uri="{C3380CC4-5D6E-409C-BE32-E72D297353CC}">
              <c16:uniqueId val="{00000001-D42C-4130-8D83-E61482256A80}"/>
            </c:ext>
          </c:extLst>
        </c:ser>
        <c:dLbls>
          <c:showLegendKey val="0"/>
          <c:showVal val="0"/>
          <c:showCatName val="0"/>
          <c:showSerName val="0"/>
          <c:showPercent val="0"/>
          <c:showBubbleSize val="0"/>
        </c:dLbls>
        <c:axId val="1062910543"/>
        <c:axId val="1"/>
      </c:scatterChart>
      <c:valAx>
        <c:axId val="1062910543"/>
        <c:scaling>
          <c:orientation val="minMax"/>
          <c:min val="4"/>
        </c:scaling>
        <c:delete val="0"/>
        <c:axPos val="b"/>
        <c:title>
          <c:tx>
            <c:rich>
              <a:bodyPr/>
              <a:lstStyle/>
              <a:p>
                <a:pPr>
                  <a:defRPr sz="875" b="0" i="0" u="none" strike="noStrike" baseline="0">
                    <a:solidFill>
                      <a:srgbClr val="000000"/>
                    </a:solidFill>
                    <a:latin typeface="MathSoftText"/>
                    <a:ea typeface="MathSoftText"/>
                    <a:cs typeface="MathSoftText"/>
                  </a:defRPr>
                </a:pPr>
                <a:r>
                  <a:rPr lang="en-GB"/>
                  <a:t>Bdot (volts)</a:t>
                </a:r>
              </a:p>
            </c:rich>
          </c:tx>
          <c:layout>
            <c:manualLayout>
              <c:xMode val="edge"/>
              <c:yMode val="edge"/>
              <c:x val="0.47691472500411158"/>
              <c:y val="0.85518199120044047"/>
            </c:manualLayout>
          </c:layout>
          <c:overlay val="0"/>
          <c:spPr>
            <a:noFill/>
            <a:ln w="25400">
              <a:noFill/>
            </a:ln>
          </c:spPr>
        </c:title>
        <c:numFmt formatCode="0.00" sourceLinked="1"/>
        <c:majorTickMark val="out"/>
        <c:minorTickMark val="none"/>
        <c:tickLblPos val="nextTo"/>
        <c:spPr>
          <a:ln w="3175">
            <a:solidFill>
              <a:srgbClr val="99CC00"/>
            </a:solidFill>
            <a:prstDash val="solid"/>
          </a:ln>
        </c:spPr>
        <c:txPr>
          <a:bodyPr rot="0" vert="horz"/>
          <a:lstStyle/>
          <a:p>
            <a:pPr>
              <a:defRPr sz="875" b="0" i="0" u="none" strike="noStrike" baseline="0">
                <a:solidFill>
                  <a:srgbClr val="000000"/>
                </a:solidFill>
                <a:latin typeface="MathSoftText"/>
                <a:ea typeface="MathSoftText"/>
                <a:cs typeface="MathSoftText"/>
              </a:defRPr>
            </a:pPr>
            <a:endParaRPr lang="en-US"/>
          </a:p>
        </c:txPr>
        <c:crossAx val="1"/>
        <c:crosses val="autoZero"/>
        <c:crossBetween val="midCat"/>
        <c:minorUnit val="0.1"/>
      </c:valAx>
      <c:valAx>
        <c:axId val="1"/>
        <c:scaling>
          <c:orientation val="minMax"/>
        </c:scaling>
        <c:delete val="0"/>
        <c:axPos val="l"/>
        <c:majorGridlines>
          <c:spPr>
            <a:ln w="3175">
              <a:solidFill>
                <a:srgbClr val="99CC00"/>
              </a:solidFill>
              <a:prstDash val="solid"/>
            </a:ln>
          </c:spPr>
        </c:majorGridlines>
        <c:title>
          <c:tx>
            <c:rich>
              <a:bodyPr/>
              <a:lstStyle/>
              <a:p>
                <a:pPr>
                  <a:defRPr sz="875" b="0" i="0" u="none" strike="noStrike" baseline="0">
                    <a:solidFill>
                      <a:srgbClr val="000000"/>
                    </a:solidFill>
                    <a:latin typeface="MathSoftText"/>
                    <a:ea typeface="MathSoftText"/>
                    <a:cs typeface="MathSoftText"/>
                  </a:defRPr>
                </a:pPr>
                <a:r>
                  <a:rPr lang="en-GB"/>
                  <a:t>Rogowski (volts)</a:t>
                </a:r>
              </a:p>
            </c:rich>
          </c:tx>
          <c:layout>
            <c:manualLayout>
              <c:xMode val="edge"/>
              <c:yMode val="edge"/>
              <c:x val="3.2787887344032672E-2"/>
              <c:y val="0.29527456373695987"/>
            </c:manualLayout>
          </c:layout>
          <c:overlay val="0"/>
          <c:spPr>
            <a:noFill/>
            <a:ln w="25400">
              <a:noFill/>
            </a:ln>
          </c:spPr>
        </c:title>
        <c:numFmt formatCode="0.00" sourceLinked="1"/>
        <c:majorTickMark val="out"/>
        <c:minorTickMark val="none"/>
        <c:tickLblPos val="nextTo"/>
        <c:spPr>
          <a:ln w="3175">
            <a:solidFill>
              <a:srgbClr val="99CC00"/>
            </a:solidFill>
            <a:prstDash val="solid"/>
          </a:ln>
        </c:spPr>
        <c:txPr>
          <a:bodyPr rot="0" vert="horz"/>
          <a:lstStyle/>
          <a:p>
            <a:pPr>
              <a:defRPr sz="875" b="0" i="0" u="none" strike="noStrike" baseline="0">
                <a:solidFill>
                  <a:srgbClr val="000000"/>
                </a:solidFill>
                <a:latin typeface="MathSoftText"/>
                <a:ea typeface="MathSoftText"/>
                <a:cs typeface="MathSoftText"/>
              </a:defRPr>
            </a:pPr>
            <a:endParaRPr lang="en-US"/>
          </a:p>
        </c:txPr>
        <c:crossAx val="1062910543"/>
        <c:crosses val="autoZero"/>
        <c:crossBetween val="midCat"/>
      </c:valAx>
      <c:spPr>
        <a:noFill/>
        <a:ln w="12700">
          <a:solidFill>
            <a:srgbClr val="99CC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75" b="0" i="0" u="none" strike="noStrike" baseline="0">
          <a:solidFill>
            <a:srgbClr val="000000"/>
          </a:solidFill>
          <a:latin typeface="MathSoftText"/>
          <a:ea typeface="MathSoftText"/>
          <a:cs typeface="MathSoftText"/>
        </a:defRPr>
      </a:pPr>
      <a:endParaRPr lang="en-US"/>
    </a:p>
  </c:txPr>
  <c:printSettings>
    <c:headerFooter alignWithMargins="0"/>
    <c:pageMargins b="1" l="0.75" r="0.75" t="1" header="0.5" footer="0.5"/>
    <c:pageSetup orientation="landscape"/>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0" i="0" u="none" strike="noStrike" baseline="0">
                <a:solidFill>
                  <a:srgbClr val="000000"/>
                </a:solidFill>
                <a:latin typeface="MathSoftText"/>
                <a:ea typeface="MathSoftText"/>
                <a:cs typeface="MathSoftText"/>
              </a:defRPr>
            </a:pPr>
            <a:r>
              <a:rPr lang="en-GB"/>
              <a:t>lens 16  pulse count vs gradient</a:t>
            </a:r>
          </a:p>
        </c:rich>
      </c:tx>
      <c:layout>
        <c:manualLayout>
          <c:xMode val="edge"/>
          <c:yMode val="edge"/>
          <c:x val="0.28746358821486895"/>
          <c:y val="3.7281951787704042E-2"/>
        </c:manualLayout>
      </c:layout>
      <c:overlay val="0"/>
      <c:spPr>
        <a:noFill/>
        <a:ln w="25400">
          <a:noFill/>
        </a:ln>
      </c:spPr>
    </c:title>
    <c:autoTitleDeleted val="0"/>
    <c:plotArea>
      <c:layout>
        <c:manualLayout>
          <c:layoutTarget val="inner"/>
          <c:xMode val="edge"/>
          <c:yMode val="edge"/>
          <c:x val="0.21194349300587798"/>
          <c:y val="0.26535977448895232"/>
          <c:w val="0.76129128234869958"/>
          <c:h val="0.48247231725264056"/>
        </c:manualLayout>
      </c:layout>
      <c:barChart>
        <c:barDir val="col"/>
        <c:grouping val="clustered"/>
        <c:varyColors val="0"/>
        <c:ser>
          <c:idx val="0"/>
          <c:order val="0"/>
          <c:spPr>
            <a:solidFill>
              <a:srgbClr val="9999FF"/>
            </a:solidFill>
            <a:ln w="12700">
              <a:solidFill>
                <a:srgbClr val="000000"/>
              </a:solidFill>
              <a:prstDash val="solid"/>
            </a:ln>
          </c:spPr>
          <c:invertIfNegative val="0"/>
          <c:dLbls>
            <c:dLbl>
              <c:idx val="0"/>
              <c:layout>
                <c:manualLayout>
                  <c:xMode val="edge"/>
                  <c:yMode val="edge"/>
                  <c:x val="0.22534221957521508"/>
                  <c:y val="0.53729871694044062"/>
                </c:manualLayout>
              </c:layout>
              <c:spPr>
                <a:noFill/>
                <a:ln w="25400">
                  <a:noFill/>
                </a:ln>
              </c:spPr>
              <c:txPr>
                <a:bodyPr rot="-5400000" vert="horz"/>
                <a:lstStyle/>
                <a:p>
                  <a:pPr algn="ctr">
                    <a:defRPr sz="1125"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96C-40A2-B229-DA991B92F715}"/>
                </c:ext>
              </c:extLst>
            </c:dLbl>
            <c:dLbl>
              <c:idx val="1"/>
              <c:layout>
                <c:manualLayout>
                  <c:xMode val="edge"/>
                  <c:yMode val="edge"/>
                  <c:x val="0.31426104135354321"/>
                  <c:y val="0.51975426904034461"/>
                </c:manualLayout>
              </c:layout>
              <c:spPr>
                <a:noFill/>
                <a:ln w="25400">
                  <a:noFill/>
                </a:ln>
              </c:spPr>
              <c:txPr>
                <a:bodyPr rot="-5400000" vert="horz"/>
                <a:lstStyle/>
                <a:p>
                  <a:pPr algn="ctr">
                    <a:defRPr sz="1125"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96C-40A2-B229-DA991B92F715}"/>
                </c:ext>
              </c:extLst>
            </c:dLbl>
            <c:dLbl>
              <c:idx val="2"/>
              <c:layout>
                <c:manualLayout>
                  <c:xMode val="edge"/>
                  <c:yMode val="edge"/>
                  <c:x val="0.39952566497659753"/>
                  <c:y val="0.46931398132756852"/>
                </c:manualLayout>
              </c:layout>
              <c:spPr>
                <a:noFill/>
                <a:ln w="25400">
                  <a:noFill/>
                </a:ln>
              </c:spPr>
              <c:txPr>
                <a:bodyPr rot="-5400000" vert="horz"/>
                <a:lstStyle/>
                <a:p>
                  <a:pPr algn="ctr">
                    <a:defRPr sz="1125"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96C-40A2-B229-DA991B92F715}"/>
                </c:ext>
              </c:extLst>
            </c:dLbl>
            <c:dLbl>
              <c:idx val="3"/>
              <c:layout>
                <c:manualLayout>
                  <c:xMode val="edge"/>
                  <c:yMode val="edge"/>
                  <c:x val="0.48357222254789395"/>
                  <c:y val="0.52852649299039256"/>
                </c:manualLayout>
              </c:layout>
              <c:spPr>
                <a:noFill/>
                <a:ln w="25400">
                  <a:noFill/>
                </a:ln>
              </c:spPr>
              <c:txPr>
                <a:bodyPr rot="-5400000" vert="horz"/>
                <a:lstStyle/>
                <a:p>
                  <a:pPr algn="ctr">
                    <a:defRPr sz="1125"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96C-40A2-B229-DA991B92F715}"/>
                </c:ext>
              </c:extLst>
            </c:dLbl>
            <c:dLbl>
              <c:idx val="4"/>
              <c:layout>
                <c:manualLayout>
                  <c:xMode val="edge"/>
                  <c:yMode val="edge"/>
                  <c:x val="0.56883684617094832"/>
                  <c:y val="0.49782370916522456"/>
                </c:manualLayout>
              </c:layout>
              <c:spPr>
                <a:noFill/>
                <a:ln w="25400">
                  <a:noFill/>
                </a:ln>
              </c:spPr>
              <c:txPr>
                <a:bodyPr rot="-5400000" vert="horz"/>
                <a:lstStyle/>
                <a:p>
                  <a:pPr algn="ctr">
                    <a:defRPr sz="1125"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96C-40A2-B229-DA991B92F715}"/>
                </c:ext>
              </c:extLst>
            </c:dLbl>
            <c:dLbl>
              <c:idx val="5"/>
              <c:layout>
                <c:manualLayout>
                  <c:xMode val="edge"/>
                  <c:yMode val="edge"/>
                  <c:x val="0.64801113953521305"/>
                  <c:y val="0.51756121305283254"/>
                </c:manualLayout>
              </c:layout>
              <c:spPr>
                <a:noFill/>
                <a:ln w="25400">
                  <a:noFill/>
                </a:ln>
              </c:spPr>
              <c:txPr>
                <a:bodyPr rot="-5400000" vert="horz"/>
                <a:lstStyle/>
                <a:p>
                  <a:pPr algn="ctr">
                    <a:defRPr sz="1125"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96C-40A2-B229-DA991B92F715}"/>
                </c:ext>
              </c:extLst>
            </c:dLbl>
            <c:dLbl>
              <c:idx val="6"/>
              <c:layout>
                <c:manualLayout>
                  <c:xMode val="edge"/>
                  <c:yMode val="edge"/>
                  <c:x val="0.73814802736529916"/>
                  <c:y val="0.51756121305283254"/>
                </c:manualLayout>
              </c:layout>
              <c:spPr>
                <a:noFill/>
                <a:ln w="25400">
                  <a:noFill/>
                </a:ln>
              </c:spPr>
              <c:txPr>
                <a:bodyPr rot="-5400000" vert="horz"/>
                <a:lstStyle/>
                <a:p>
                  <a:pPr algn="ctr">
                    <a:defRPr sz="1125"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96C-40A2-B229-DA991B92F715}"/>
                </c:ext>
              </c:extLst>
            </c:dLbl>
            <c:dLbl>
              <c:idx val="7"/>
              <c:layout>
                <c:manualLayout>
                  <c:xMode val="edge"/>
                  <c:yMode val="edge"/>
                  <c:x val="0.82219458493659558"/>
                  <c:y val="0.49782370916522456"/>
                </c:manualLayout>
              </c:layout>
              <c:spPr>
                <a:noFill/>
                <a:ln w="25400">
                  <a:noFill/>
                </a:ln>
              </c:spPr>
              <c:txPr>
                <a:bodyPr rot="-5400000" vert="horz"/>
                <a:lstStyle/>
                <a:p>
                  <a:pPr algn="ctr">
                    <a:defRPr sz="1125"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96C-40A2-B229-DA991B92F715}"/>
                </c:ext>
              </c:extLst>
            </c:dLbl>
            <c:dLbl>
              <c:idx val="8"/>
              <c:layout>
                <c:manualLayout>
                  <c:xMode val="edge"/>
                  <c:yMode val="edge"/>
                  <c:x val="0.9074592085596499"/>
                  <c:y val="0.50220982114024859"/>
                </c:manualLayout>
              </c:layout>
              <c:spPr>
                <a:noFill/>
                <a:ln w="25400">
                  <a:noFill/>
                </a:ln>
              </c:spPr>
              <c:txPr>
                <a:bodyPr rot="-5400000" vert="horz"/>
                <a:lstStyle/>
                <a:p>
                  <a:pPr algn="ctr">
                    <a:defRPr sz="1125"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96C-40A2-B229-DA991B92F715}"/>
                </c:ext>
              </c:extLst>
            </c:dLbl>
            <c:spPr>
              <a:noFill/>
              <a:ln w="25400">
                <a:noFill/>
              </a:ln>
            </c:spPr>
            <c:txPr>
              <a:bodyPr rot="-5400000" vert="horz" wrap="square" lIns="38100" tIns="19050" rIns="38100" bIns="19050" anchor="ctr">
                <a:spAutoFit/>
              </a:bodyPr>
              <a:lstStyle/>
              <a:p>
                <a:pPr algn="ctr">
                  <a:defRPr sz="1125"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'Lens 16'!$E$39:$E$47</c:f>
              <c:numCache>
                <c:formatCode>0</c:formatCode>
                <c:ptCount val="9"/>
                <c:pt idx="0">
                  <c:v>614.31378144331245</c:v>
                </c:pt>
                <c:pt idx="1">
                  <c:v>618.19356036147212</c:v>
                </c:pt>
                <c:pt idx="2">
                  <c:v>645.35201278859029</c:v>
                </c:pt>
                <c:pt idx="3">
                  <c:v>688.02958088834748</c:v>
                </c:pt>
                <c:pt idx="4">
                  <c:v>734.58692790626401</c:v>
                </c:pt>
                <c:pt idx="5">
                  <c:v>742.34648574258381</c:v>
                </c:pt>
                <c:pt idx="6">
                  <c:v>812.18250626945894</c:v>
                </c:pt>
                <c:pt idx="7">
                  <c:v>878.13874787817451</c:v>
                </c:pt>
                <c:pt idx="8">
                  <c:v>936.3354316505704</c:v>
                </c:pt>
              </c:numCache>
            </c:numRef>
          </c:cat>
          <c:val>
            <c:numRef>
              <c:f>'Lens 16'!$A$39:$A$47</c:f>
              <c:numCache>
                <c:formatCode>General</c:formatCode>
                <c:ptCount val="9"/>
                <c:pt idx="0">
                  <c:v>298500</c:v>
                </c:pt>
                <c:pt idx="1">
                  <c:v>34500</c:v>
                </c:pt>
                <c:pt idx="2">
                  <c:v>121775</c:v>
                </c:pt>
                <c:pt idx="3">
                  <c:v>256086</c:v>
                </c:pt>
                <c:pt idx="4">
                  <c:v>125000</c:v>
                </c:pt>
                <c:pt idx="5">
                  <c:v>36300</c:v>
                </c:pt>
                <c:pt idx="6">
                  <c:v>78800</c:v>
                </c:pt>
                <c:pt idx="7">
                  <c:v>44445</c:v>
                </c:pt>
                <c:pt idx="8">
                  <c:v>471955</c:v>
                </c:pt>
              </c:numCache>
            </c:numRef>
          </c:val>
          <c:extLst>
            <c:ext xmlns:c16="http://schemas.microsoft.com/office/drawing/2014/chart" uri="{C3380CC4-5D6E-409C-BE32-E72D297353CC}">
              <c16:uniqueId val="{00000009-096C-40A2-B229-DA991B92F715}"/>
            </c:ext>
          </c:extLst>
        </c:ser>
        <c:dLbls>
          <c:showLegendKey val="0"/>
          <c:showVal val="1"/>
          <c:showCatName val="0"/>
          <c:showSerName val="0"/>
          <c:showPercent val="0"/>
          <c:showBubbleSize val="0"/>
        </c:dLbls>
        <c:gapWidth val="150"/>
        <c:axId val="765526511"/>
        <c:axId val="1"/>
      </c:barChart>
      <c:catAx>
        <c:axId val="765526511"/>
        <c:scaling>
          <c:orientation val="minMax"/>
        </c:scaling>
        <c:delete val="0"/>
        <c:axPos val="b"/>
        <c:title>
          <c:tx>
            <c:rich>
              <a:bodyPr/>
              <a:lstStyle/>
              <a:p>
                <a:pPr>
                  <a:defRPr sz="1125" b="0" i="0" u="none" strike="noStrike" baseline="0">
                    <a:solidFill>
                      <a:srgbClr val="000000"/>
                    </a:solidFill>
                    <a:latin typeface="MathSoftText"/>
                    <a:ea typeface="MathSoftText"/>
                    <a:cs typeface="MathSoftText"/>
                  </a:defRPr>
                </a:pPr>
                <a:r>
                  <a:rPr lang="en-GB"/>
                  <a:t>gradient (T/m)</a:t>
                </a:r>
              </a:p>
            </c:rich>
          </c:tx>
          <c:layout>
            <c:manualLayout>
              <c:xMode val="edge"/>
              <c:yMode val="edge"/>
              <c:x val="0.50306127937602063"/>
              <c:y val="0.85090572315465696"/>
            </c:manualLayout>
          </c:layout>
          <c:overlay val="0"/>
          <c:spPr>
            <a:noFill/>
            <a:ln w="25400">
              <a:noFill/>
            </a:ln>
          </c:spPr>
        </c:title>
        <c:numFmt formatCode="0" sourceLinked="0"/>
        <c:majorTickMark val="out"/>
        <c:minorTickMark val="none"/>
        <c:tickLblPos val="nextTo"/>
        <c:spPr>
          <a:ln w="3175">
            <a:solidFill>
              <a:srgbClr val="99CC00"/>
            </a:solidFill>
            <a:prstDash val="solid"/>
          </a:ln>
        </c:spPr>
        <c:txPr>
          <a:bodyPr rot="0" vert="horz"/>
          <a:lstStyle/>
          <a:p>
            <a:pPr>
              <a:defRPr sz="1125" b="0" i="0" u="none" strike="noStrike" baseline="0">
                <a:solidFill>
                  <a:srgbClr val="000000"/>
                </a:solidFill>
                <a:latin typeface="MathSoftText"/>
                <a:ea typeface="MathSoftText"/>
                <a:cs typeface="MathSoftText"/>
              </a:defRPr>
            </a:pPr>
            <a:endParaRPr lang="en-US"/>
          </a:p>
        </c:txPr>
        <c:crossAx val="1"/>
        <c:crosses val="autoZero"/>
        <c:auto val="1"/>
        <c:lblAlgn val="ctr"/>
        <c:lblOffset val="100"/>
        <c:tickLblSkip val="1"/>
        <c:tickMarkSkip val="1"/>
        <c:noMultiLvlLbl val="0"/>
      </c:catAx>
      <c:valAx>
        <c:axId val="1"/>
        <c:scaling>
          <c:logBase val="10"/>
          <c:orientation val="minMax"/>
          <c:min val="10"/>
        </c:scaling>
        <c:delete val="0"/>
        <c:axPos val="l"/>
        <c:majorGridlines>
          <c:spPr>
            <a:ln w="3175">
              <a:solidFill>
                <a:srgbClr val="99CC00"/>
              </a:solidFill>
              <a:prstDash val="solid"/>
            </a:ln>
          </c:spPr>
        </c:majorGridlines>
        <c:title>
          <c:tx>
            <c:rich>
              <a:bodyPr/>
              <a:lstStyle/>
              <a:p>
                <a:pPr>
                  <a:defRPr sz="1125" b="0" i="0" u="none" strike="noStrike" baseline="0">
                    <a:solidFill>
                      <a:srgbClr val="000000"/>
                    </a:solidFill>
                    <a:latin typeface="MathSoftText"/>
                    <a:ea typeface="MathSoftText"/>
                    <a:cs typeface="MathSoftText"/>
                  </a:defRPr>
                </a:pPr>
                <a:r>
                  <a:rPr lang="en-GB"/>
                  <a:t>number of pulses</a:t>
                </a:r>
              </a:p>
            </c:rich>
          </c:tx>
          <c:layout>
            <c:manualLayout>
              <c:xMode val="edge"/>
              <c:yMode val="edge"/>
              <c:x val="2.6797453138674224E-2"/>
              <c:y val="0.30922089423919236"/>
            </c:manualLayout>
          </c:layout>
          <c:overlay val="0"/>
          <c:spPr>
            <a:noFill/>
            <a:ln w="25400">
              <a:noFill/>
            </a:ln>
          </c:spPr>
        </c:title>
        <c:numFmt formatCode="General" sourceLinked="1"/>
        <c:majorTickMark val="out"/>
        <c:minorTickMark val="none"/>
        <c:tickLblPos val="nextTo"/>
        <c:spPr>
          <a:ln w="3175">
            <a:solidFill>
              <a:srgbClr val="99CC00"/>
            </a:solidFill>
            <a:prstDash val="solid"/>
          </a:ln>
        </c:spPr>
        <c:txPr>
          <a:bodyPr rot="0" vert="horz"/>
          <a:lstStyle/>
          <a:p>
            <a:pPr>
              <a:defRPr sz="1125" b="0" i="0" u="none" strike="noStrike" baseline="0">
                <a:solidFill>
                  <a:srgbClr val="000000"/>
                </a:solidFill>
                <a:latin typeface="MathSoftText"/>
                <a:ea typeface="MathSoftText"/>
                <a:cs typeface="MathSoftText"/>
              </a:defRPr>
            </a:pPr>
            <a:endParaRPr lang="en-US"/>
          </a:p>
        </c:txPr>
        <c:crossAx val="765526511"/>
        <c:crosses val="autoZero"/>
        <c:crossBetween val="between"/>
      </c:valAx>
      <c:spPr>
        <a:noFill/>
        <a:ln w="12700">
          <a:solidFill>
            <a:srgbClr val="99CC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125" b="0" i="0" u="none" strike="noStrike" baseline="0">
          <a:solidFill>
            <a:srgbClr val="000000"/>
          </a:solidFill>
          <a:latin typeface="MathSoftText"/>
          <a:ea typeface="MathSoftText"/>
          <a:cs typeface="MathSoftText"/>
        </a:defRPr>
      </a:pPr>
      <a:endParaRPr lang="en-US"/>
    </a:p>
  </c:txPr>
  <c:printSettings>
    <c:headerFooter alignWithMargins="0"/>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0" i="0" u="none" strike="noStrike" baseline="0">
                <a:solidFill>
                  <a:srgbClr val="000000"/>
                </a:solidFill>
                <a:latin typeface="MathSoftText"/>
                <a:ea typeface="MathSoftText"/>
                <a:cs typeface="MathSoftText"/>
              </a:defRPr>
            </a:pPr>
            <a:r>
              <a:rPr lang="en-GB"/>
              <a:t>lens 18 pulse count vs peak current</a:t>
            </a:r>
          </a:p>
        </c:rich>
      </c:tx>
      <c:layout>
        <c:manualLayout>
          <c:xMode val="edge"/>
          <c:yMode val="edge"/>
          <c:x val="0.27038932546263539"/>
          <c:y val="4.0001263060715136E-2"/>
        </c:manualLayout>
      </c:layout>
      <c:overlay val="0"/>
      <c:spPr>
        <a:noFill/>
        <a:ln w="25400">
          <a:noFill/>
        </a:ln>
      </c:spPr>
    </c:title>
    <c:autoTitleDeleted val="0"/>
    <c:plotArea>
      <c:layout>
        <c:manualLayout>
          <c:layoutTarget val="inner"/>
          <c:xMode val="edge"/>
          <c:yMode val="edge"/>
          <c:x val="0.20245230901473704"/>
          <c:y val="0.23734082749357646"/>
          <c:w val="0.77040576651916715"/>
          <c:h val="0.50401591456501071"/>
        </c:manualLayout>
      </c:layout>
      <c:barChart>
        <c:barDir val="col"/>
        <c:grouping val="clustered"/>
        <c:varyColors val="0"/>
        <c:ser>
          <c:idx val="0"/>
          <c:order val="0"/>
          <c:spPr>
            <a:solidFill>
              <a:srgbClr val="9999FF"/>
            </a:solidFill>
            <a:ln w="12700">
              <a:solidFill>
                <a:srgbClr val="000000"/>
              </a:solidFill>
              <a:prstDash val="solid"/>
            </a:ln>
          </c:spPr>
          <c:invertIfNegative val="0"/>
          <c:dLbls>
            <c:dLbl>
              <c:idx val="0"/>
              <c:layout>
                <c:manualLayout>
                  <c:xMode val="edge"/>
                  <c:yMode val="edge"/>
                  <c:x val="0.25000822052826588"/>
                  <c:y val="0.5813516898157266"/>
                </c:manualLayout>
              </c:layout>
              <c:spPr>
                <a:noFill/>
                <a:ln w="25400">
                  <a:noFill/>
                </a:ln>
              </c:spPr>
              <c:txPr>
                <a:bodyPr rot="-5400000" vert="horz"/>
                <a:lstStyle/>
                <a:p>
                  <a:pPr algn="ctr">
                    <a:defRPr sz="925"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49D-4287-9533-B3D911C66AB0}"/>
                </c:ext>
              </c:extLst>
            </c:dLbl>
            <c:dLbl>
              <c:idx val="1"/>
              <c:layout>
                <c:manualLayout>
                  <c:xMode val="edge"/>
                  <c:yMode val="edge"/>
                  <c:x val="0.37365359046344082"/>
                  <c:y val="0.56535118459144051"/>
                </c:manualLayout>
              </c:layout>
              <c:spPr>
                <a:noFill/>
                <a:ln w="25400">
                  <a:noFill/>
                </a:ln>
              </c:spPr>
              <c:txPr>
                <a:bodyPr rot="-5400000" vert="horz"/>
                <a:lstStyle/>
                <a:p>
                  <a:pPr algn="ctr">
                    <a:defRPr sz="925"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49D-4287-9533-B3D911C66AB0}"/>
                </c:ext>
              </c:extLst>
            </c:dLbl>
            <c:dLbl>
              <c:idx val="2"/>
              <c:layout>
                <c:manualLayout>
                  <c:xMode val="edge"/>
                  <c:yMode val="edge"/>
                  <c:x val="0.50681014270132152"/>
                  <c:y val="0.53868367588429711"/>
                </c:manualLayout>
              </c:layout>
              <c:spPr>
                <a:noFill/>
                <a:ln w="25400">
                  <a:noFill/>
                </a:ln>
              </c:spPr>
              <c:txPr>
                <a:bodyPr rot="-5400000" vert="horz"/>
                <a:lstStyle/>
                <a:p>
                  <a:pPr algn="ctr">
                    <a:defRPr sz="925"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49D-4287-9533-B3D911C66AB0}"/>
                </c:ext>
              </c:extLst>
            </c:dLbl>
            <c:dLbl>
              <c:idx val="3"/>
              <c:layout>
                <c:manualLayout>
                  <c:xMode val="edge"/>
                  <c:yMode val="edge"/>
                  <c:x val="0.63045551263649657"/>
                  <c:y val="0.52001641978929669"/>
                </c:manualLayout>
              </c:layout>
              <c:spPr>
                <a:noFill/>
                <a:ln w="25400">
                  <a:noFill/>
                </a:ln>
              </c:spPr>
              <c:txPr>
                <a:bodyPr rot="-5400000" vert="horz"/>
                <a:lstStyle/>
                <a:p>
                  <a:pPr algn="ctr">
                    <a:defRPr sz="925"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49D-4287-9533-B3D911C66AB0}"/>
                </c:ext>
              </c:extLst>
            </c:dLbl>
            <c:dLbl>
              <c:idx val="4"/>
              <c:layout>
                <c:manualLayout>
                  <c:xMode val="edge"/>
                  <c:yMode val="edge"/>
                  <c:x val="0.7581771035585454"/>
                  <c:y val="0.52001641978929669"/>
                </c:manualLayout>
              </c:layout>
              <c:spPr>
                <a:noFill/>
                <a:ln w="25400">
                  <a:noFill/>
                </a:ln>
              </c:spPr>
              <c:txPr>
                <a:bodyPr rot="-5400000" vert="horz"/>
                <a:lstStyle/>
                <a:p>
                  <a:pPr algn="ctr">
                    <a:defRPr sz="925"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49D-4287-9533-B3D911C66AB0}"/>
                </c:ext>
              </c:extLst>
            </c:dLbl>
            <c:dLbl>
              <c:idx val="5"/>
              <c:layout>
                <c:manualLayout>
                  <c:xMode val="edge"/>
                  <c:yMode val="edge"/>
                  <c:x val="0.88861617513851021"/>
                  <c:y val="0.50934941630643937"/>
                </c:manualLayout>
              </c:layout>
              <c:spPr>
                <a:noFill/>
                <a:ln w="25400">
                  <a:noFill/>
                </a:ln>
              </c:spPr>
              <c:txPr>
                <a:bodyPr rot="-5400000" vert="horz"/>
                <a:lstStyle/>
                <a:p>
                  <a:pPr algn="ctr">
                    <a:defRPr sz="925"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49D-4287-9533-B3D911C66AB0}"/>
                </c:ext>
              </c:extLst>
            </c:dLbl>
            <c:spPr>
              <a:noFill/>
              <a:ln w="25400">
                <a:noFill/>
              </a:ln>
            </c:spPr>
            <c:txPr>
              <a:bodyPr rot="-5400000" vert="horz" wrap="square" lIns="38100" tIns="19050" rIns="38100" bIns="19050" anchor="ctr">
                <a:spAutoFit/>
              </a:bodyPr>
              <a:lstStyle/>
              <a:p>
                <a:pPr algn="ctr">
                  <a:defRPr sz="925"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'Lens 18'!$F$23:$F$28</c:f>
              <c:numCache>
                <c:formatCode>0</c:formatCode>
                <c:ptCount val="6"/>
                <c:pt idx="0">
                  <c:v>295.85677884028894</c:v>
                </c:pt>
                <c:pt idx="1">
                  <c:v>295.85677884028894</c:v>
                </c:pt>
                <c:pt idx="2">
                  <c:v>482.4085283350833</c:v>
                </c:pt>
                <c:pt idx="3">
                  <c:v>524.69359155390316</c:v>
                </c:pt>
                <c:pt idx="4">
                  <c:v>527.18094821383397</c:v>
                </c:pt>
                <c:pt idx="5">
                  <c:v>606.77636133161297</c:v>
                </c:pt>
              </c:numCache>
            </c:numRef>
          </c:cat>
          <c:val>
            <c:numRef>
              <c:f>'Lens 18'!$A$23:$A$28</c:f>
              <c:numCache>
                <c:formatCode>General</c:formatCode>
                <c:ptCount val="6"/>
                <c:pt idx="0">
                  <c:v>1292</c:v>
                </c:pt>
                <c:pt idx="1">
                  <c:v>1851</c:v>
                </c:pt>
                <c:pt idx="2">
                  <c:v>86308</c:v>
                </c:pt>
                <c:pt idx="3">
                  <c:v>74549</c:v>
                </c:pt>
                <c:pt idx="4">
                  <c:v>74000</c:v>
                </c:pt>
                <c:pt idx="5">
                  <c:v>169300</c:v>
                </c:pt>
              </c:numCache>
            </c:numRef>
          </c:val>
          <c:extLst>
            <c:ext xmlns:c16="http://schemas.microsoft.com/office/drawing/2014/chart" uri="{C3380CC4-5D6E-409C-BE32-E72D297353CC}">
              <c16:uniqueId val="{00000006-149D-4287-9533-B3D911C66AB0}"/>
            </c:ext>
          </c:extLst>
        </c:ser>
        <c:dLbls>
          <c:showLegendKey val="0"/>
          <c:showVal val="1"/>
          <c:showCatName val="0"/>
          <c:showSerName val="0"/>
          <c:showPercent val="0"/>
          <c:showBubbleSize val="0"/>
        </c:dLbls>
        <c:gapWidth val="150"/>
        <c:axId val="765527711"/>
        <c:axId val="1"/>
      </c:barChart>
      <c:catAx>
        <c:axId val="765527711"/>
        <c:scaling>
          <c:orientation val="minMax"/>
        </c:scaling>
        <c:delete val="0"/>
        <c:axPos val="b"/>
        <c:title>
          <c:tx>
            <c:rich>
              <a:bodyPr/>
              <a:lstStyle/>
              <a:p>
                <a:pPr>
                  <a:defRPr sz="925" b="0" i="0" u="none" strike="noStrike" baseline="0">
                    <a:solidFill>
                      <a:srgbClr val="000000"/>
                    </a:solidFill>
                    <a:latin typeface="MathSoftText"/>
                    <a:ea typeface="MathSoftText"/>
                    <a:cs typeface="MathSoftText"/>
                  </a:defRPr>
                </a:pPr>
                <a:r>
                  <a:rPr lang="en-GB"/>
                  <a:t>kiloamps</a:t>
                </a:r>
              </a:p>
            </c:rich>
          </c:tx>
          <c:layout>
            <c:manualLayout>
              <c:xMode val="edge"/>
              <c:yMode val="edge"/>
              <c:x val="0.53262620895152291"/>
              <c:y val="0.8586937803700182"/>
            </c:manualLayout>
          </c:layout>
          <c:overlay val="0"/>
          <c:spPr>
            <a:noFill/>
            <a:ln w="25400">
              <a:noFill/>
            </a:ln>
          </c:spPr>
        </c:title>
        <c:numFmt formatCode="0" sourceLinked="0"/>
        <c:majorTickMark val="out"/>
        <c:minorTickMark val="none"/>
        <c:tickLblPos val="nextTo"/>
        <c:spPr>
          <a:ln w="3175">
            <a:solidFill>
              <a:srgbClr val="99CC00"/>
            </a:solidFill>
            <a:prstDash val="solid"/>
          </a:ln>
        </c:spPr>
        <c:txPr>
          <a:bodyPr rot="0" vert="horz"/>
          <a:lstStyle/>
          <a:p>
            <a:pPr>
              <a:defRPr sz="925" b="0" i="0" u="none" strike="noStrike" baseline="0">
                <a:solidFill>
                  <a:srgbClr val="000000"/>
                </a:solidFill>
                <a:latin typeface="MathSoftText"/>
                <a:ea typeface="MathSoftText"/>
                <a:cs typeface="MathSoftText"/>
              </a:defRPr>
            </a:pPr>
            <a:endParaRPr lang="en-US"/>
          </a:p>
        </c:txPr>
        <c:crossAx val="1"/>
        <c:crosses val="autoZero"/>
        <c:auto val="1"/>
        <c:lblAlgn val="ctr"/>
        <c:lblOffset val="100"/>
        <c:tickLblSkip val="1"/>
        <c:tickMarkSkip val="1"/>
        <c:noMultiLvlLbl val="0"/>
      </c:catAx>
      <c:valAx>
        <c:axId val="1"/>
        <c:scaling>
          <c:logBase val="10"/>
          <c:orientation val="minMax"/>
          <c:min val="10"/>
        </c:scaling>
        <c:delete val="0"/>
        <c:axPos val="l"/>
        <c:majorGridlines>
          <c:spPr>
            <a:ln w="3175">
              <a:solidFill>
                <a:srgbClr val="99CC00"/>
              </a:solidFill>
              <a:prstDash val="solid"/>
            </a:ln>
          </c:spPr>
        </c:majorGridlines>
        <c:title>
          <c:tx>
            <c:rich>
              <a:bodyPr/>
              <a:lstStyle/>
              <a:p>
                <a:pPr>
                  <a:defRPr sz="925" b="0" i="0" u="none" strike="noStrike" baseline="0">
                    <a:solidFill>
                      <a:srgbClr val="000000"/>
                    </a:solidFill>
                    <a:latin typeface="MathSoftText"/>
                    <a:ea typeface="MathSoftText"/>
                    <a:cs typeface="MathSoftText"/>
                  </a:defRPr>
                </a:pPr>
                <a:r>
                  <a:rPr lang="en-GB"/>
                  <a:t>number of pulses</a:t>
                </a:r>
              </a:p>
            </c:rich>
          </c:tx>
          <c:layout>
            <c:manualLayout>
              <c:xMode val="edge"/>
              <c:yMode val="edge"/>
              <c:x val="2.9892287237075266E-2"/>
              <c:y val="0.28534234316643464"/>
            </c:manualLayout>
          </c:layout>
          <c:overlay val="0"/>
          <c:spPr>
            <a:noFill/>
            <a:ln w="25400">
              <a:noFill/>
            </a:ln>
          </c:spPr>
        </c:title>
        <c:numFmt formatCode="General" sourceLinked="1"/>
        <c:majorTickMark val="out"/>
        <c:minorTickMark val="none"/>
        <c:tickLblPos val="nextTo"/>
        <c:spPr>
          <a:ln w="3175">
            <a:solidFill>
              <a:srgbClr val="99CC00"/>
            </a:solidFill>
            <a:prstDash val="solid"/>
          </a:ln>
        </c:spPr>
        <c:txPr>
          <a:bodyPr rot="0" vert="horz"/>
          <a:lstStyle/>
          <a:p>
            <a:pPr>
              <a:defRPr sz="925" b="0" i="0" u="none" strike="noStrike" baseline="0">
                <a:solidFill>
                  <a:srgbClr val="000000"/>
                </a:solidFill>
                <a:latin typeface="MathSoftText"/>
                <a:ea typeface="MathSoftText"/>
                <a:cs typeface="MathSoftText"/>
              </a:defRPr>
            </a:pPr>
            <a:endParaRPr lang="en-US"/>
          </a:p>
        </c:txPr>
        <c:crossAx val="765527711"/>
        <c:crosses val="autoZero"/>
        <c:crossBetween val="between"/>
      </c:valAx>
      <c:spPr>
        <a:noFill/>
        <a:ln w="12700">
          <a:solidFill>
            <a:srgbClr val="99CC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925" b="0" i="0" u="none" strike="noStrike" baseline="0">
          <a:solidFill>
            <a:srgbClr val="000000"/>
          </a:solidFill>
          <a:latin typeface="MathSoftText"/>
          <a:ea typeface="MathSoftText"/>
          <a:cs typeface="MathSoftText"/>
        </a:defRPr>
      </a:pPr>
      <a:endParaRPr lang="en-US"/>
    </a:p>
  </c:txPr>
  <c:printSettings>
    <c:headerFooter alignWithMargins="0"/>
    <c:pageMargins b="1" l="0.75" r="0.75" t="1" header="0.5" footer="0.5"/>
    <c:pageSetup orientation="landscape"/>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75" b="0" i="0" u="none" strike="noStrike" baseline="0">
                <a:solidFill>
                  <a:srgbClr val="000000"/>
                </a:solidFill>
                <a:latin typeface="MathSoftText"/>
                <a:ea typeface="MathSoftText"/>
                <a:cs typeface="MathSoftText"/>
              </a:defRPr>
            </a:pPr>
            <a:r>
              <a:rPr lang="en-GB"/>
              <a:t>lens 18 pulse count vs peak current</a:t>
            </a:r>
          </a:p>
        </c:rich>
      </c:tx>
      <c:layout>
        <c:manualLayout>
          <c:xMode val="edge"/>
          <c:yMode val="edge"/>
          <c:x val="0.30056349399245491"/>
          <c:y val="4.6359227421664109E-2"/>
        </c:manualLayout>
      </c:layout>
      <c:overlay val="0"/>
      <c:spPr>
        <a:noFill/>
        <a:ln w="25400">
          <a:noFill/>
        </a:ln>
      </c:spPr>
    </c:title>
    <c:autoTitleDeleted val="0"/>
    <c:plotArea>
      <c:layout>
        <c:manualLayout>
          <c:layoutTarget val="inner"/>
          <c:xMode val="edge"/>
          <c:yMode val="edge"/>
          <c:x val="0.12604275554522301"/>
          <c:y val="0.25166437743189091"/>
          <c:w val="0.84628707294649741"/>
          <c:h val="0.56293347583449282"/>
        </c:manualLayout>
      </c:layout>
      <c:barChart>
        <c:barDir val="col"/>
        <c:grouping val="clustered"/>
        <c:varyColors val="0"/>
        <c:ser>
          <c:idx val="0"/>
          <c:order val="0"/>
          <c:spPr>
            <a:solidFill>
              <a:srgbClr val="9999FF"/>
            </a:solidFill>
            <a:ln w="12700">
              <a:solidFill>
                <a:srgbClr val="000000"/>
              </a:solidFill>
              <a:prstDash val="solid"/>
            </a:ln>
          </c:spPr>
          <c:invertIfNegative val="0"/>
          <c:cat>
            <c:numRef>
              <c:f>'Lens 18'!$D$23:$D$28</c:f>
              <c:numCache>
                <c:formatCode>0.00E+00</c:formatCode>
                <c:ptCount val="6"/>
                <c:pt idx="0">
                  <c:v>295856.77884028893</c:v>
                </c:pt>
                <c:pt idx="1">
                  <c:v>295856.77884028893</c:v>
                </c:pt>
                <c:pt idx="2">
                  <c:v>482408.52833508328</c:v>
                </c:pt>
                <c:pt idx="3">
                  <c:v>524693.59155390318</c:v>
                </c:pt>
                <c:pt idx="4">
                  <c:v>527180.94821383397</c:v>
                </c:pt>
                <c:pt idx="5">
                  <c:v>606776.36133161292</c:v>
                </c:pt>
              </c:numCache>
            </c:numRef>
          </c:cat>
          <c:val>
            <c:numRef>
              <c:f>'Lens 18'!$A$23:$A$28</c:f>
              <c:numCache>
                <c:formatCode>General</c:formatCode>
                <c:ptCount val="6"/>
                <c:pt idx="0">
                  <c:v>1292</c:v>
                </c:pt>
                <c:pt idx="1">
                  <c:v>1851</c:v>
                </c:pt>
                <c:pt idx="2">
                  <c:v>86308</c:v>
                </c:pt>
                <c:pt idx="3">
                  <c:v>74549</c:v>
                </c:pt>
                <c:pt idx="4">
                  <c:v>74000</c:v>
                </c:pt>
                <c:pt idx="5">
                  <c:v>169300</c:v>
                </c:pt>
              </c:numCache>
            </c:numRef>
          </c:val>
          <c:extLst>
            <c:ext xmlns:c16="http://schemas.microsoft.com/office/drawing/2014/chart" uri="{C3380CC4-5D6E-409C-BE32-E72D297353CC}">
              <c16:uniqueId val="{00000000-701D-4EEF-9B02-684137F33606}"/>
            </c:ext>
          </c:extLst>
        </c:ser>
        <c:dLbls>
          <c:showLegendKey val="0"/>
          <c:showVal val="0"/>
          <c:showCatName val="0"/>
          <c:showSerName val="0"/>
          <c:showPercent val="0"/>
          <c:showBubbleSize val="0"/>
        </c:dLbls>
        <c:gapWidth val="150"/>
        <c:axId val="765526911"/>
        <c:axId val="1"/>
      </c:barChart>
      <c:catAx>
        <c:axId val="765526911"/>
        <c:scaling>
          <c:orientation val="minMax"/>
        </c:scaling>
        <c:delete val="0"/>
        <c:axPos val="b"/>
        <c:numFmt formatCode="0" sourceLinked="0"/>
        <c:majorTickMark val="out"/>
        <c:minorTickMark val="none"/>
        <c:tickLblPos val="nextTo"/>
        <c:spPr>
          <a:ln w="3175">
            <a:solidFill>
              <a:srgbClr val="99CC00"/>
            </a:solidFill>
            <a:prstDash val="solid"/>
          </a:ln>
        </c:spPr>
        <c:txPr>
          <a:bodyPr rot="0" vert="horz"/>
          <a:lstStyle/>
          <a:p>
            <a:pPr>
              <a:defRPr sz="800" b="0" i="0" u="none" strike="noStrike" baseline="0">
                <a:solidFill>
                  <a:srgbClr val="000000"/>
                </a:solidFill>
                <a:latin typeface="MathSoftText"/>
                <a:ea typeface="MathSoftText"/>
                <a:cs typeface="MathSoftText"/>
              </a:defRPr>
            </a:pPr>
            <a:endParaRPr lang="en-US"/>
          </a:p>
        </c:txPr>
        <c:crossAx val="1"/>
        <c:crosses val="autoZero"/>
        <c:auto val="1"/>
        <c:lblAlgn val="ctr"/>
        <c:lblOffset val="100"/>
        <c:tickLblSkip val="1"/>
        <c:tickMarkSkip val="1"/>
        <c:noMultiLvlLbl val="0"/>
      </c:catAx>
      <c:valAx>
        <c:axId val="1"/>
        <c:scaling>
          <c:orientation val="minMax"/>
          <c:max val="200000"/>
          <c:min val="0"/>
        </c:scaling>
        <c:delete val="0"/>
        <c:axPos val="l"/>
        <c:majorGridlines>
          <c:spPr>
            <a:ln w="3175">
              <a:solidFill>
                <a:srgbClr val="99CC00"/>
              </a:solidFill>
              <a:prstDash val="solid"/>
            </a:ln>
          </c:spPr>
        </c:majorGridlines>
        <c:numFmt formatCode="General" sourceLinked="1"/>
        <c:majorTickMark val="out"/>
        <c:minorTickMark val="none"/>
        <c:tickLblPos val="nextTo"/>
        <c:spPr>
          <a:ln w="3175">
            <a:solidFill>
              <a:srgbClr val="99CC00"/>
            </a:solidFill>
            <a:prstDash val="solid"/>
          </a:ln>
        </c:spPr>
        <c:txPr>
          <a:bodyPr rot="0" vert="horz"/>
          <a:lstStyle/>
          <a:p>
            <a:pPr>
              <a:defRPr sz="800" b="0" i="0" u="none" strike="noStrike" baseline="0">
                <a:solidFill>
                  <a:srgbClr val="000000"/>
                </a:solidFill>
                <a:latin typeface="MathSoftText"/>
                <a:ea typeface="MathSoftText"/>
                <a:cs typeface="MathSoftText"/>
              </a:defRPr>
            </a:pPr>
            <a:endParaRPr lang="en-US"/>
          </a:p>
        </c:txPr>
        <c:crossAx val="765526911"/>
        <c:crosses val="autoZero"/>
        <c:crossBetween val="between"/>
        <c:majorUnit val="40000"/>
        <c:minorUnit val="5000"/>
      </c:valAx>
      <c:spPr>
        <a:noFill/>
        <a:ln w="12700">
          <a:solidFill>
            <a:srgbClr val="99CC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MathSoftText"/>
          <a:ea typeface="MathSoftText"/>
          <a:cs typeface="MathSoftText"/>
        </a:defRPr>
      </a:pPr>
      <a:endParaRPr lang="en-US"/>
    </a:p>
  </c:txPr>
  <c:printSettings>
    <c:headerFooter alignWithMargins="0"/>
    <c:pageMargins b="1" l="0.75" r="0.75" t="1" header="0.5" footer="0.5"/>
    <c:pageSetup orientation="landscape" horizontalDpi="355" verticalDpi="355"/>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450" b="0" i="0" u="none" strike="noStrike" baseline="0">
                <a:solidFill>
                  <a:srgbClr val="000000"/>
                </a:solidFill>
                <a:latin typeface="MathSoftText"/>
                <a:ea typeface="MathSoftText"/>
                <a:cs typeface="MathSoftText"/>
              </a:defRPr>
            </a:pPr>
            <a:r>
              <a:rPr lang="en-GB"/>
              <a:t>lens 18 pulse count vs peak current</a:t>
            </a:r>
          </a:p>
        </c:rich>
      </c:tx>
      <c:layout>
        <c:manualLayout>
          <c:xMode val="edge"/>
          <c:yMode val="edge"/>
          <c:x val="0.40293836823398765"/>
          <c:y val="6.5870719064804212E-2"/>
        </c:manualLayout>
      </c:layout>
      <c:overlay val="0"/>
      <c:spPr>
        <a:noFill/>
        <a:ln w="25400">
          <a:noFill/>
        </a:ln>
      </c:spPr>
    </c:title>
    <c:autoTitleDeleted val="0"/>
    <c:plotArea>
      <c:layout>
        <c:manualLayout>
          <c:layoutTarget val="inner"/>
          <c:xMode val="edge"/>
          <c:yMode val="edge"/>
          <c:x val="7.8459946289786378E-2"/>
          <c:y val="0.29941235938547367"/>
          <c:w val="0.87236821637457396"/>
          <c:h val="0.46708328064133892"/>
        </c:manualLayout>
      </c:layout>
      <c:scatterChart>
        <c:scatterStyle val="lineMarker"/>
        <c:varyColors val="0"/>
        <c:ser>
          <c:idx val="0"/>
          <c:order val="0"/>
          <c:spPr>
            <a:ln w="19050">
              <a:noFill/>
            </a:ln>
          </c:spPr>
          <c:marker>
            <c:symbol val="diamond"/>
            <c:size val="5"/>
            <c:spPr>
              <a:solidFill>
                <a:srgbClr val="000080"/>
              </a:solidFill>
              <a:ln>
                <a:solidFill>
                  <a:srgbClr val="000080"/>
                </a:solidFill>
                <a:prstDash val="solid"/>
              </a:ln>
            </c:spPr>
          </c:marker>
          <c:xVal>
            <c:numRef>
              <c:f>'Lens 18'!$D$23:$D$28</c:f>
              <c:numCache>
                <c:formatCode>0.00E+00</c:formatCode>
                <c:ptCount val="6"/>
                <c:pt idx="0">
                  <c:v>295856.77884028893</c:v>
                </c:pt>
                <c:pt idx="1">
                  <c:v>295856.77884028893</c:v>
                </c:pt>
                <c:pt idx="2">
                  <c:v>482408.52833508328</c:v>
                </c:pt>
                <c:pt idx="3">
                  <c:v>524693.59155390318</c:v>
                </c:pt>
                <c:pt idx="4">
                  <c:v>527180.94821383397</c:v>
                </c:pt>
                <c:pt idx="5">
                  <c:v>606776.36133161292</c:v>
                </c:pt>
              </c:numCache>
            </c:numRef>
          </c:xVal>
          <c:yVal>
            <c:numRef>
              <c:f>'Lens 18'!$A$23:$A$28</c:f>
              <c:numCache>
                <c:formatCode>General</c:formatCode>
                <c:ptCount val="6"/>
                <c:pt idx="0">
                  <c:v>1292</c:v>
                </c:pt>
                <c:pt idx="1">
                  <c:v>1851</c:v>
                </c:pt>
                <c:pt idx="2">
                  <c:v>86308</c:v>
                </c:pt>
                <c:pt idx="3">
                  <c:v>74549</c:v>
                </c:pt>
                <c:pt idx="4">
                  <c:v>74000</c:v>
                </c:pt>
                <c:pt idx="5">
                  <c:v>169300</c:v>
                </c:pt>
              </c:numCache>
            </c:numRef>
          </c:yVal>
          <c:smooth val="0"/>
          <c:extLst>
            <c:ext xmlns:c16="http://schemas.microsoft.com/office/drawing/2014/chart" uri="{C3380CC4-5D6E-409C-BE32-E72D297353CC}">
              <c16:uniqueId val="{00000000-551E-4C96-B2AD-A8CB7F9F69E9}"/>
            </c:ext>
          </c:extLst>
        </c:ser>
        <c:dLbls>
          <c:showLegendKey val="0"/>
          <c:showVal val="0"/>
          <c:showCatName val="0"/>
          <c:showSerName val="0"/>
          <c:showPercent val="0"/>
          <c:showBubbleSize val="0"/>
        </c:dLbls>
        <c:axId val="944325903"/>
        <c:axId val="1"/>
      </c:scatterChart>
      <c:valAx>
        <c:axId val="944325903"/>
        <c:scaling>
          <c:orientation val="minMax"/>
          <c:max val="700000"/>
          <c:min val="200000"/>
        </c:scaling>
        <c:delete val="0"/>
        <c:axPos val="b"/>
        <c:numFmt formatCode="0" sourceLinked="0"/>
        <c:majorTickMark val="out"/>
        <c:minorTickMark val="none"/>
        <c:tickLblPos val="nextTo"/>
        <c:spPr>
          <a:ln w="3175">
            <a:solidFill>
              <a:srgbClr val="99CC00"/>
            </a:solidFill>
            <a:prstDash val="solid"/>
          </a:ln>
        </c:spPr>
        <c:txPr>
          <a:bodyPr rot="0" vert="horz"/>
          <a:lstStyle/>
          <a:p>
            <a:pPr>
              <a:defRPr sz="375" b="0" i="0" u="none" strike="noStrike" baseline="0">
                <a:solidFill>
                  <a:srgbClr val="000000"/>
                </a:solidFill>
                <a:latin typeface="MathSoftText"/>
                <a:ea typeface="MathSoftText"/>
                <a:cs typeface="MathSoftText"/>
              </a:defRPr>
            </a:pPr>
            <a:endParaRPr lang="en-US"/>
          </a:p>
        </c:txPr>
        <c:crossAx val="1"/>
        <c:crosses val="autoZero"/>
        <c:crossBetween val="midCat"/>
        <c:majorUnit val="100000"/>
        <c:minorUnit val="20000"/>
      </c:valAx>
      <c:valAx>
        <c:axId val="1"/>
        <c:scaling>
          <c:orientation val="minMax"/>
          <c:max val="200000"/>
          <c:min val="0"/>
        </c:scaling>
        <c:delete val="0"/>
        <c:axPos val="l"/>
        <c:majorGridlines>
          <c:spPr>
            <a:ln w="3175">
              <a:solidFill>
                <a:srgbClr val="99CC00"/>
              </a:solidFill>
              <a:prstDash val="solid"/>
            </a:ln>
          </c:spPr>
        </c:majorGridlines>
        <c:numFmt formatCode="General" sourceLinked="1"/>
        <c:majorTickMark val="out"/>
        <c:minorTickMark val="none"/>
        <c:tickLblPos val="nextTo"/>
        <c:spPr>
          <a:ln w="3175">
            <a:solidFill>
              <a:srgbClr val="99CC00"/>
            </a:solidFill>
            <a:prstDash val="solid"/>
          </a:ln>
        </c:spPr>
        <c:txPr>
          <a:bodyPr rot="0" vert="horz"/>
          <a:lstStyle/>
          <a:p>
            <a:pPr>
              <a:defRPr sz="375" b="0" i="0" u="none" strike="noStrike" baseline="0">
                <a:solidFill>
                  <a:srgbClr val="000000"/>
                </a:solidFill>
                <a:latin typeface="MathSoftText"/>
                <a:ea typeface="MathSoftText"/>
                <a:cs typeface="MathSoftText"/>
              </a:defRPr>
            </a:pPr>
            <a:endParaRPr lang="en-US"/>
          </a:p>
        </c:txPr>
        <c:crossAx val="944325903"/>
        <c:crosses val="autoZero"/>
        <c:crossBetween val="midCat"/>
        <c:majorUnit val="40000"/>
        <c:minorUnit val="5000"/>
      </c:valAx>
      <c:spPr>
        <a:noFill/>
        <a:ln w="12700">
          <a:solidFill>
            <a:srgbClr val="99CC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375" b="0" i="0" u="none" strike="noStrike" baseline="0">
          <a:solidFill>
            <a:srgbClr val="000000"/>
          </a:solidFill>
          <a:latin typeface="MathSoftText"/>
          <a:ea typeface="MathSoftText"/>
          <a:cs typeface="MathSoftText"/>
        </a:defRPr>
      </a:pPr>
      <a:endParaRPr lang="en-US"/>
    </a:p>
  </c:txPr>
  <c:printSettings>
    <c:headerFooter alignWithMargins="0"/>
    <c:pageMargins b="1" l="0.75" r="0.75" t="1" header="0.5" footer="0.5"/>
    <c:pageSetup orientation="landscape" horizontalDpi="355" verticalDpi="355"/>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0" i="0" u="none" strike="noStrike" baseline="0">
                <a:solidFill>
                  <a:srgbClr val="000000"/>
                </a:solidFill>
                <a:latin typeface="MathSoftText"/>
                <a:ea typeface="MathSoftText"/>
                <a:cs typeface="MathSoftText"/>
              </a:defRPr>
            </a:pPr>
            <a:r>
              <a:rPr lang="en-GB"/>
              <a:t>Lens 18 Rogowski and Bdot vs Pot</a:t>
            </a:r>
          </a:p>
        </c:rich>
      </c:tx>
      <c:layout>
        <c:manualLayout>
          <c:xMode val="edge"/>
          <c:yMode val="edge"/>
          <c:x val="0.2432917381500371"/>
          <c:y val="4.0215934827799754E-2"/>
        </c:manualLayout>
      </c:layout>
      <c:overlay val="0"/>
      <c:spPr>
        <a:noFill/>
        <a:ln w="25400">
          <a:noFill/>
        </a:ln>
      </c:spPr>
    </c:title>
    <c:autoTitleDeleted val="0"/>
    <c:plotArea>
      <c:layout>
        <c:manualLayout>
          <c:layoutTarget val="inner"/>
          <c:xMode val="edge"/>
          <c:yMode val="edge"/>
          <c:x val="0.18060306942426066"/>
          <c:y val="0.28151154379459831"/>
          <c:w val="0.39702823526325071"/>
          <c:h val="0.4236078468528241"/>
        </c:manualLayout>
      </c:layout>
      <c:scatterChart>
        <c:scatterStyle val="lineMarker"/>
        <c:varyColors val="0"/>
        <c:ser>
          <c:idx val="1"/>
          <c:order val="1"/>
          <c:tx>
            <c:v>bdot vs pot</c:v>
          </c:tx>
          <c:spPr>
            <a:ln w="19050">
              <a:noFill/>
            </a:ln>
          </c:spPr>
          <c:marker>
            <c:symbol val="square"/>
            <c:size val="5"/>
            <c:spPr>
              <a:solidFill>
                <a:srgbClr val="339966"/>
              </a:solidFill>
              <a:ln>
                <a:solidFill>
                  <a:srgbClr val="339966"/>
                </a:solidFill>
                <a:prstDash val="solid"/>
              </a:ln>
            </c:spPr>
          </c:marker>
          <c:trendline>
            <c:spPr>
              <a:ln w="12700">
                <a:solidFill>
                  <a:srgbClr val="339966"/>
                </a:solidFill>
                <a:prstDash val="solid"/>
              </a:ln>
            </c:spPr>
            <c:trendlineType val="linear"/>
            <c:dispRSqr val="1"/>
            <c:dispEq val="1"/>
            <c:trendlineLbl>
              <c:layout>
                <c:manualLayout>
                  <c:xMode val="edge"/>
                  <c:yMode val="edge"/>
                  <c:x val="0.67464948247740353"/>
                  <c:y val="0.56034202526734322"/>
                </c:manualLayout>
              </c:layout>
              <c:numFmt formatCode="General" sourceLinked="0"/>
              <c:spPr>
                <a:noFill/>
                <a:ln w="25400">
                  <a:noFill/>
                </a:ln>
              </c:spPr>
              <c:txPr>
                <a:bodyPr/>
                <a:lstStyle/>
                <a:p>
                  <a:pPr>
                    <a:defRPr sz="900" b="0" i="0" u="none" strike="noStrike" baseline="0">
                      <a:solidFill>
                        <a:srgbClr val="339966"/>
                      </a:solidFill>
                      <a:latin typeface="MathSoftText"/>
                      <a:ea typeface="MathSoftText"/>
                      <a:cs typeface="MathSoftText"/>
                    </a:defRPr>
                  </a:pPr>
                  <a:endParaRPr lang="en-US"/>
                </a:p>
              </c:txPr>
            </c:trendlineLbl>
          </c:trendline>
          <c:xVal>
            <c:numRef>
              <c:f>'Lens 18'!$A$9:$A$18</c:f>
              <c:numCache>
                <c:formatCode>General</c:formatCode>
                <c:ptCount val="10"/>
                <c:pt idx="0">
                  <c:v>3.75</c:v>
                </c:pt>
                <c:pt idx="1">
                  <c:v>3.75</c:v>
                </c:pt>
                <c:pt idx="2">
                  <c:v>0</c:v>
                </c:pt>
                <c:pt idx="3">
                  <c:v>0</c:v>
                </c:pt>
                <c:pt idx="4">
                  <c:v>4.5999999999999996</c:v>
                </c:pt>
                <c:pt idx="5">
                  <c:v>4.5999999999999996</c:v>
                </c:pt>
                <c:pt idx="6">
                  <c:v>6.25</c:v>
                </c:pt>
                <c:pt idx="7">
                  <c:v>6.25</c:v>
                </c:pt>
                <c:pt idx="8">
                  <c:v>4.6500000000000004</c:v>
                </c:pt>
                <c:pt idx="9">
                  <c:v>4.6500000000000004</c:v>
                </c:pt>
              </c:numCache>
            </c:numRef>
          </c:xVal>
          <c:yVal>
            <c:numRef>
              <c:f>'Lens 18'!$D$9:$D$18</c:f>
              <c:numCache>
                <c:formatCode>0.00</c:formatCode>
                <c:ptCount val="10"/>
                <c:pt idx="0">
                  <c:v>4.5999999999999996</c:v>
                </c:pt>
                <c:pt idx="1">
                  <c:v>4.5999999999999996</c:v>
                </c:pt>
                <c:pt idx="4" formatCode="General">
                  <c:v>5</c:v>
                </c:pt>
                <c:pt idx="5" formatCode="General">
                  <c:v>5</c:v>
                </c:pt>
                <c:pt idx="6" formatCode="General">
                  <c:v>5.7</c:v>
                </c:pt>
                <c:pt idx="7" formatCode="General">
                  <c:v>5.7</c:v>
                </c:pt>
                <c:pt idx="8" formatCode="General">
                  <c:v>5</c:v>
                </c:pt>
                <c:pt idx="9" formatCode="General">
                  <c:v>5</c:v>
                </c:pt>
              </c:numCache>
            </c:numRef>
          </c:yVal>
          <c:smooth val="0"/>
          <c:extLst>
            <c:ext xmlns:c16="http://schemas.microsoft.com/office/drawing/2014/chart" uri="{C3380CC4-5D6E-409C-BE32-E72D297353CC}">
              <c16:uniqueId val="{00000001-8FB9-4FDE-94AC-C772BDFC0377}"/>
            </c:ext>
          </c:extLst>
        </c:ser>
        <c:dLbls>
          <c:showLegendKey val="0"/>
          <c:showVal val="0"/>
          <c:showCatName val="0"/>
          <c:showSerName val="0"/>
          <c:showPercent val="0"/>
          <c:showBubbleSize val="0"/>
        </c:dLbls>
        <c:axId val="875666383"/>
        <c:axId val="1"/>
      </c:scatterChart>
      <c:scatterChart>
        <c:scatterStyle val="lineMarker"/>
        <c:varyColors val="0"/>
        <c:ser>
          <c:idx val="0"/>
          <c:order val="0"/>
          <c:tx>
            <c:v>rog vs pot</c:v>
          </c:tx>
          <c:spPr>
            <a:ln w="19050">
              <a:noFill/>
            </a:ln>
          </c:spPr>
          <c:marker>
            <c:symbol val="diamond"/>
            <c:size val="5"/>
            <c:spPr>
              <a:solidFill>
                <a:srgbClr val="FF0000"/>
              </a:solidFill>
              <a:ln>
                <a:solidFill>
                  <a:srgbClr val="FF0000"/>
                </a:solidFill>
                <a:prstDash val="solid"/>
              </a:ln>
            </c:spPr>
          </c:marker>
          <c:trendline>
            <c:spPr>
              <a:ln w="12700">
                <a:solidFill>
                  <a:srgbClr val="FF0000"/>
                </a:solidFill>
                <a:prstDash val="solid"/>
              </a:ln>
            </c:spPr>
            <c:trendlineType val="linear"/>
            <c:dispRSqr val="1"/>
            <c:dispEq val="1"/>
            <c:trendlineLbl>
              <c:layout>
                <c:manualLayout>
                  <c:xMode val="edge"/>
                  <c:yMode val="edge"/>
                  <c:x val="0.66867913307494853"/>
                  <c:y val="0.76142169940634208"/>
                </c:manualLayout>
              </c:layout>
              <c:numFmt formatCode="General" sourceLinked="0"/>
              <c:spPr>
                <a:noFill/>
                <a:ln w="25400">
                  <a:noFill/>
                </a:ln>
              </c:spPr>
              <c:txPr>
                <a:bodyPr/>
                <a:lstStyle/>
                <a:p>
                  <a:pPr>
                    <a:defRPr sz="900" b="0" i="0" u="none" strike="noStrike" baseline="0">
                      <a:solidFill>
                        <a:srgbClr val="FF0000"/>
                      </a:solidFill>
                      <a:latin typeface="MathSoftText"/>
                      <a:ea typeface="MathSoftText"/>
                      <a:cs typeface="MathSoftText"/>
                    </a:defRPr>
                  </a:pPr>
                  <a:endParaRPr lang="en-US"/>
                </a:p>
              </c:txPr>
            </c:trendlineLbl>
          </c:trendline>
          <c:xVal>
            <c:numRef>
              <c:f>'Lens 18'!$A$9:$A$18</c:f>
              <c:numCache>
                <c:formatCode>General</c:formatCode>
                <c:ptCount val="10"/>
                <c:pt idx="0">
                  <c:v>3.75</c:v>
                </c:pt>
                <c:pt idx="1">
                  <c:v>3.75</c:v>
                </c:pt>
                <c:pt idx="2">
                  <c:v>0</c:v>
                </c:pt>
                <c:pt idx="3">
                  <c:v>0</c:v>
                </c:pt>
                <c:pt idx="4">
                  <c:v>4.5999999999999996</c:v>
                </c:pt>
                <c:pt idx="5">
                  <c:v>4.5999999999999996</c:v>
                </c:pt>
                <c:pt idx="6">
                  <c:v>6.25</c:v>
                </c:pt>
                <c:pt idx="7">
                  <c:v>6.25</c:v>
                </c:pt>
                <c:pt idx="8">
                  <c:v>4.6500000000000004</c:v>
                </c:pt>
                <c:pt idx="9">
                  <c:v>4.6500000000000004</c:v>
                </c:pt>
              </c:numCache>
            </c:numRef>
          </c:xVal>
          <c:yVal>
            <c:numRef>
              <c:f>'Lens 18'!$C$9:$C$18</c:f>
              <c:numCache>
                <c:formatCode>0.00</c:formatCode>
                <c:ptCount val="10"/>
                <c:pt idx="0">
                  <c:v>0.5</c:v>
                </c:pt>
                <c:pt idx="1">
                  <c:v>0.5</c:v>
                </c:pt>
                <c:pt idx="4">
                  <c:v>0.55000000000000004</c:v>
                </c:pt>
                <c:pt idx="5">
                  <c:v>0.55000000000000004</c:v>
                </c:pt>
                <c:pt idx="6">
                  <c:v>0.64</c:v>
                </c:pt>
                <c:pt idx="7">
                  <c:v>0.64</c:v>
                </c:pt>
                <c:pt idx="8">
                  <c:v>0.55000000000000004</c:v>
                </c:pt>
                <c:pt idx="9">
                  <c:v>0.55000000000000004</c:v>
                </c:pt>
              </c:numCache>
            </c:numRef>
          </c:yVal>
          <c:smooth val="0"/>
          <c:extLst>
            <c:ext xmlns:c16="http://schemas.microsoft.com/office/drawing/2014/chart" uri="{C3380CC4-5D6E-409C-BE32-E72D297353CC}">
              <c16:uniqueId val="{00000003-8FB9-4FDE-94AC-C772BDFC0377}"/>
            </c:ext>
          </c:extLst>
        </c:ser>
        <c:dLbls>
          <c:showLegendKey val="0"/>
          <c:showVal val="0"/>
          <c:showCatName val="0"/>
          <c:showSerName val="0"/>
          <c:showPercent val="0"/>
          <c:showBubbleSize val="0"/>
        </c:dLbls>
        <c:axId val="3"/>
        <c:axId val="4"/>
      </c:scatterChart>
      <c:valAx>
        <c:axId val="875666383"/>
        <c:scaling>
          <c:orientation val="minMax"/>
        </c:scaling>
        <c:delete val="0"/>
        <c:axPos val="b"/>
        <c:title>
          <c:tx>
            <c:rich>
              <a:bodyPr/>
              <a:lstStyle/>
              <a:p>
                <a:pPr>
                  <a:defRPr sz="900" b="0" i="0" u="none" strike="noStrike" baseline="0">
                    <a:solidFill>
                      <a:srgbClr val="000000"/>
                    </a:solidFill>
                    <a:latin typeface="MathSoftText"/>
                    <a:ea typeface="MathSoftText"/>
                    <a:cs typeface="MathSoftText"/>
                  </a:defRPr>
                </a:pPr>
                <a:r>
                  <a:rPr lang="en-GB"/>
                  <a:t>pot setting</a:t>
                </a:r>
              </a:p>
            </c:rich>
          </c:tx>
          <c:layout>
            <c:manualLayout>
              <c:xMode val="edge"/>
              <c:yMode val="edge"/>
              <c:x val="0.31344334362888215"/>
              <c:y val="0.82040507048711497"/>
            </c:manualLayout>
          </c:layout>
          <c:overlay val="0"/>
          <c:spPr>
            <a:noFill/>
            <a:ln w="25400">
              <a:noFill/>
            </a:ln>
          </c:spPr>
        </c:title>
        <c:numFmt formatCode="General" sourceLinked="1"/>
        <c:majorTickMark val="out"/>
        <c:minorTickMark val="none"/>
        <c:tickLblPos val="nextTo"/>
        <c:spPr>
          <a:ln w="3175">
            <a:solidFill>
              <a:srgbClr val="99CC00"/>
            </a:solidFill>
            <a:prstDash val="solid"/>
          </a:ln>
        </c:spPr>
        <c:txPr>
          <a:bodyPr rot="0" vert="horz"/>
          <a:lstStyle/>
          <a:p>
            <a:pPr>
              <a:defRPr sz="900" b="0" i="0" u="none" strike="noStrike" baseline="0">
                <a:solidFill>
                  <a:srgbClr val="000000"/>
                </a:solidFill>
                <a:latin typeface="MathSoftText"/>
                <a:ea typeface="MathSoftText"/>
                <a:cs typeface="MathSoftText"/>
              </a:defRPr>
            </a:pPr>
            <a:endParaRPr lang="en-US"/>
          </a:p>
        </c:txPr>
        <c:crossAx val="1"/>
        <c:crosses val="autoZero"/>
        <c:crossBetween val="midCat"/>
      </c:valAx>
      <c:valAx>
        <c:axId val="1"/>
        <c:scaling>
          <c:orientation val="minMax"/>
        </c:scaling>
        <c:delete val="0"/>
        <c:axPos val="l"/>
        <c:majorGridlines>
          <c:spPr>
            <a:ln w="3175">
              <a:solidFill>
                <a:srgbClr val="99CC00"/>
              </a:solidFill>
              <a:prstDash val="solid"/>
            </a:ln>
          </c:spPr>
        </c:majorGridlines>
        <c:title>
          <c:tx>
            <c:rich>
              <a:bodyPr/>
              <a:lstStyle/>
              <a:p>
                <a:pPr>
                  <a:defRPr sz="900" b="0" i="0" u="none" strike="noStrike" baseline="0">
                    <a:solidFill>
                      <a:srgbClr val="000000"/>
                    </a:solidFill>
                    <a:latin typeface="MathSoftText"/>
                    <a:ea typeface="MathSoftText"/>
                    <a:cs typeface="MathSoftText"/>
                  </a:defRPr>
                </a:pPr>
                <a:r>
                  <a:rPr lang="en-GB"/>
                  <a:t>bdot (volts)</a:t>
                </a:r>
              </a:p>
            </c:rich>
          </c:tx>
          <c:layout>
            <c:manualLayout>
              <c:xMode val="edge"/>
              <c:yMode val="edge"/>
              <c:x val="5.522573197270781E-2"/>
              <c:y val="0.36730553809390443"/>
            </c:manualLayout>
          </c:layout>
          <c:overlay val="0"/>
          <c:spPr>
            <a:noFill/>
            <a:ln w="25400">
              <a:noFill/>
            </a:ln>
          </c:spPr>
        </c:title>
        <c:numFmt formatCode="0.00" sourceLinked="1"/>
        <c:majorTickMark val="out"/>
        <c:minorTickMark val="none"/>
        <c:tickLblPos val="nextTo"/>
        <c:spPr>
          <a:ln w="3175">
            <a:solidFill>
              <a:srgbClr val="99CC00"/>
            </a:solidFill>
            <a:prstDash val="solid"/>
          </a:ln>
        </c:spPr>
        <c:txPr>
          <a:bodyPr rot="0" vert="horz"/>
          <a:lstStyle/>
          <a:p>
            <a:pPr>
              <a:defRPr sz="900" b="0" i="0" u="none" strike="noStrike" baseline="0">
                <a:solidFill>
                  <a:srgbClr val="000000"/>
                </a:solidFill>
                <a:latin typeface="MathSoftText"/>
                <a:ea typeface="MathSoftText"/>
                <a:cs typeface="MathSoftText"/>
              </a:defRPr>
            </a:pPr>
            <a:endParaRPr lang="en-US"/>
          </a:p>
        </c:txPr>
        <c:crossAx val="875666383"/>
        <c:crosses val="autoZero"/>
        <c:crossBetween val="midCat"/>
      </c:valAx>
      <c:valAx>
        <c:axId val="3"/>
        <c:scaling>
          <c:orientation val="minMax"/>
        </c:scaling>
        <c:delete val="1"/>
        <c:axPos val="b"/>
        <c:numFmt formatCode="General" sourceLinked="1"/>
        <c:majorTickMark val="out"/>
        <c:minorTickMark val="none"/>
        <c:tickLblPos val="nextTo"/>
        <c:crossAx val="4"/>
        <c:crosses val="autoZero"/>
        <c:crossBetween val="midCat"/>
      </c:valAx>
      <c:valAx>
        <c:axId val="4"/>
        <c:scaling>
          <c:orientation val="minMax"/>
        </c:scaling>
        <c:delete val="0"/>
        <c:axPos val="r"/>
        <c:numFmt formatCode="0.00" sourceLinked="1"/>
        <c:majorTickMark val="out"/>
        <c:minorTickMark val="none"/>
        <c:tickLblPos val="nextTo"/>
        <c:spPr>
          <a:ln w="3175">
            <a:solidFill>
              <a:srgbClr val="99CC00"/>
            </a:solidFill>
            <a:prstDash val="solid"/>
          </a:ln>
        </c:spPr>
        <c:txPr>
          <a:bodyPr rot="0" vert="horz"/>
          <a:lstStyle/>
          <a:p>
            <a:pPr>
              <a:defRPr sz="900" b="0" i="0" u="none" strike="noStrike" baseline="0">
                <a:solidFill>
                  <a:srgbClr val="000000"/>
                </a:solidFill>
                <a:latin typeface="MathSoftText"/>
                <a:ea typeface="MathSoftText"/>
                <a:cs typeface="MathSoftText"/>
              </a:defRPr>
            </a:pPr>
            <a:endParaRPr lang="en-US"/>
          </a:p>
        </c:txPr>
        <c:crossAx val="3"/>
        <c:crosses val="max"/>
        <c:crossBetween val="midCat"/>
      </c:valAx>
      <c:spPr>
        <a:noFill/>
        <a:ln w="12700">
          <a:solidFill>
            <a:srgbClr val="99CC00"/>
          </a:solidFill>
          <a:prstDash val="solid"/>
        </a:ln>
      </c:spPr>
    </c:plotArea>
    <c:legend>
      <c:legendPos val="r"/>
      <c:layout>
        <c:manualLayout>
          <c:xMode val="edge"/>
          <c:yMode val="edge"/>
          <c:x val="0.66867913307494853"/>
          <c:y val="0.20912286110455874"/>
          <c:w val="0.31344334362888215"/>
          <c:h val="0.29223579308201159"/>
        </c:manualLayout>
      </c:layout>
      <c:overlay val="0"/>
      <c:spPr>
        <a:solidFill>
          <a:srgbClr val="FFFFFF"/>
        </a:solidFill>
        <a:ln w="3175">
          <a:solidFill>
            <a:srgbClr val="000000"/>
          </a:solidFill>
          <a:prstDash val="solid"/>
        </a:ln>
      </c:spPr>
      <c:txPr>
        <a:bodyPr/>
        <a:lstStyle/>
        <a:p>
          <a:pPr>
            <a:defRPr sz="825" b="0" i="0" u="none" strike="noStrike" baseline="0">
              <a:solidFill>
                <a:srgbClr val="000000"/>
              </a:solidFill>
              <a:latin typeface="MathSoftText"/>
              <a:ea typeface="MathSoftText"/>
              <a:cs typeface="MathSoftText"/>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900" b="0" i="0" u="none" strike="noStrike" baseline="0">
          <a:solidFill>
            <a:srgbClr val="000000"/>
          </a:solidFill>
          <a:latin typeface="MathSoftText"/>
          <a:ea typeface="MathSoftText"/>
          <a:cs typeface="MathSoftText"/>
        </a:defRPr>
      </a:pPr>
      <a:endParaRPr lang="en-US"/>
    </a:p>
  </c:txPr>
  <c:printSettings>
    <c:headerFooter alignWithMargins="0"/>
    <c:pageMargins b="1" l="0.75" r="0.75" t="1" header="0.5" footer="0.5"/>
    <c:pageSetup orientation="landscape" horizontalDpi="355" verticalDpi="355"/>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0" i="0" u="none" strike="noStrike" baseline="0">
                <a:solidFill>
                  <a:srgbClr val="000000"/>
                </a:solidFill>
                <a:latin typeface="MathSoftText"/>
                <a:ea typeface="MathSoftText"/>
                <a:cs typeface="MathSoftText"/>
              </a:defRPr>
            </a:pPr>
            <a:r>
              <a:rPr lang="en-GB"/>
              <a:t>Lens 18 Rogowski vs Bdot</a:t>
            </a:r>
          </a:p>
        </c:rich>
      </c:tx>
      <c:layout>
        <c:manualLayout>
          <c:xMode val="edge"/>
          <c:yMode val="edge"/>
          <c:x val="0.30896558157704096"/>
          <c:y val="4.1323807917605281E-2"/>
        </c:manualLayout>
      </c:layout>
      <c:overlay val="0"/>
      <c:spPr>
        <a:noFill/>
        <a:ln w="25400">
          <a:noFill/>
        </a:ln>
      </c:spPr>
    </c:title>
    <c:autoTitleDeleted val="0"/>
    <c:plotArea>
      <c:layout>
        <c:manualLayout>
          <c:layoutTarget val="inner"/>
          <c:xMode val="edge"/>
          <c:yMode val="edge"/>
          <c:x val="0.1582142591650548"/>
          <c:y val="0.2396780859221106"/>
          <c:w val="0.78211577172159163"/>
          <c:h val="0.49864061553910366"/>
        </c:manualLayout>
      </c:layout>
      <c:scatterChart>
        <c:scatterStyle val="lineMarker"/>
        <c:varyColors val="0"/>
        <c:ser>
          <c:idx val="0"/>
          <c:order val="0"/>
          <c:spPr>
            <a:ln w="19050">
              <a:noFill/>
            </a:ln>
          </c:spPr>
          <c:marker>
            <c:symbol val="diamond"/>
            <c:size val="5"/>
            <c:spPr>
              <a:solidFill>
                <a:srgbClr val="FF0000"/>
              </a:solidFill>
              <a:ln>
                <a:solidFill>
                  <a:srgbClr val="FF0000"/>
                </a:solidFill>
                <a:prstDash val="solid"/>
              </a:ln>
            </c:spPr>
          </c:marker>
          <c:trendline>
            <c:spPr>
              <a:ln w="3175">
                <a:solidFill>
                  <a:srgbClr val="FF0000"/>
                </a:solidFill>
                <a:prstDash val="solid"/>
              </a:ln>
            </c:spPr>
            <c:trendlineType val="linear"/>
            <c:dispRSqr val="1"/>
            <c:dispEq val="1"/>
            <c:trendlineLbl>
              <c:layout>
                <c:manualLayout>
                  <c:xMode val="edge"/>
                  <c:yMode val="edge"/>
                  <c:x val="0.75077143735870344"/>
                  <c:y val="2.2039364222722815E-2"/>
                </c:manualLayout>
              </c:layout>
              <c:numFmt formatCode="General" sourceLinked="0"/>
              <c:spPr>
                <a:noFill/>
                <a:ln w="25400">
                  <a:noFill/>
                </a:ln>
              </c:spPr>
              <c:txPr>
                <a:bodyPr/>
                <a:lstStyle/>
                <a:p>
                  <a:pPr>
                    <a:defRPr sz="875" b="0" i="0" u="none" strike="noStrike" baseline="0">
                      <a:solidFill>
                        <a:srgbClr val="FF0000"/>
                      </a:solidFill>
                      <a:latin typeface="MathSoftText"/>
                      <a:ea typeface="MathSoftText"/>
                      <a:cs typeface="MathSoftText"/>
                    </a:defRPr>
                  </a:pPr>
                  <a:endParaRPr lang="en-US"/>
                </a:p>
              </c:txPr>
            </c:trendlineLbl>
          </c:trendline>
          <c:xVal>
            <c:numRef>
              <c:f>'Lens 18'!$D$9:$D$18</c:f>
              <c:numCache>
                <c:formatCode>0.00</c:formatCode>
                <c:ptCount val="10"/>
                <c:pt idx="0">
                  <c:v>4.5999999999999996</c:v>
                </c:pt>
                <c:pt idx="1">
                  <c:v>4.5999999999999996</c:v>
                </c:pt>
                <c:pt idx="4" formatCode="General">
                  <c:v>5</c:v>
                </c:pt>
                <c:pt idx="5" formatCode="General">
                  <c:v>5</c:v>
                </c:pt>
                <c:pt idx="6" formatCode="General">
                  <c:v>5.7</c:v>
                </c:pt>
                <c:pt idx="7" formatCode="General">
                  <c:v>5.7</c:v>
                </c:pt>
                <c:pt idx="8" formatCode="General">
                  <c:v>5</c:v>
                </c:pt>
                <c:pt idx="9" formatCode="General">
                  <c:v>5</c:v>
                </c:pt>
              </c:numCache>
            </c:numRef>
          </c:xVal>
          <c:yVal>
            <c:numRef>
              <c:f>'Lens 18'!$C$9:$C$18</c:f>
              <c:numCache>
                <c:formatCode>0.00</c:formatCode>
                <c:ptCount val="10"/>
                <c:pt idx="0">
                  <c:v>0.5</c:v>
                </c:pt>
                <c:pt idx="1">
                  <c:v>0.5</c:v>
                </c:pt>
                <c:pt idx="4">
                  <c:v>0.55000000000000004</c:v>
                </c:pt>
                <c:pt idx="5">
                  <c:v>0.55000000000000004</c:v>
                </c:pt>
                <c:pt idx="6">
                  <c:v>0.64</c:v>
                </c:pt>
                <c:pt idx="7">
                  <c:v>0.64</c:v>
                </c:pt>
                <c:pt idx="8">
                  <c:v>0.55000000000000004</c:v>
                </c:pt>
                <c:pt idx="9">
                  <c:v>0.55000000000000004</c:v>
                </c:pt>
              </c:numCache>
            </c:numRef>
          </c:yVal>
          <c:smooth val="0"/>
          <c:extLst>
            <c:ext xmlns:c16="http://schemas.microsoft.com/office/drawing/2014/chart" uri="{C3380CC4-5D6E-409C-BE32-E72D297353CC}">
              <c16:uniqueId val="{00000001-6A20-42C3-B186-6DE86AFB1B8A}"/>
            </c:ext>
          </c:extLst>
        </c:ser>
        <c:dLbls>
          <c:showLegendKey val="0"/>
          <c:showVal val="0"/>
          <c:showCatName val="0"/>
          <c:showSerName val="0"/>
          <c:showPercent val="0"/>
          <c:showBubbleSize val="0"/>
        </c:dLbls>
        <c:axId val="875664303"/>
        <c:axId val="1"/>
      </c:scatterChart>
      <c:valAx>
        <c:axId val="875664303"/>
        <c:scaling>
          <c:orientation val="minMax"/>
          <c:min val="4"/>
        </c:scaling>
        <c:delete val="0"/>
        <c:axPos val="b"/>
        <c:title>
          <c:tx>
            <c:rich>
              <a:bodyPr/>
              <a:lstStyle/>
              <a:p>
                <a:pPr>
                  <a:defRPr sz="875" b="0" i="0" u="none" strike="noStrike" baseline="0">
                    <a:solidFill>
                      <a:srgbClr val="000000"/>
                    </a:solidFill>
                    <a:latin typeface="MathSoftText"/>
                    <a:ea typeface="MathSoftText"/>
                    <a:cs typeface="MathSoftText"/>
                  </a:defRPr>
                </a:pPr>
                <a:r>
                  <a:rPr lang="en-GB"/>
                  <a:t>Bdot (volts)</a:t>
                </a:r>
              </a:p>
            </c:rich>
          </c:tx>
          <c:layout>
            <c:manualLayout>
              <c:xMode val="edge"/>
              <c:yMode val="edge"/>
              <c:x val="0.47762795219639187"/>
              <c:y val="0.85678028415834939"/>
            </c:manualLayout>
          </c:layout>
          <c:overlay val="0"/>
          <c:spPr>
            <a:noFill/>
            <a:ln w="25400">
              <a:noFill/>
            </a:ln>
          </c:spPr>
        </c:title>
        <c:numFmt formatCode="0.00" sourceLinked="1"/>
        <c:majorTickMark val="out"/>
        <c:minorTickMark val="none"/>
        <c:tickLblPos val="nextTo"/>
        <c:spPr>
          <a:ln w="3175">
            <a:solidFill>
              <a:srgbClr val="99CC00"/>
            </a:solidFill>
            <a:prstDash val="solid"/>
          </a:ln>
        </c:spPr>
        <c:txPr>
          <a:bodyPr rot="0" vert="horz"/>
          <a:lstStyle/>
          <a:p>
            <a:pPr>
              <a:defRPr sz="875" b="0" i="0" u="none" strike="noStrike" baseline="0">
                <a:solidFill>
                  <a:srgbClr val="000000"/>
                </a:solidFill>
                <a:latin typeface="MathSoftText"/>
                <a:ea typeface="MathSoftText"/>
                <a:cs typeface="MathSoftText"/>
              </a:defRPr>
            </a:pPr>
            <a:endParaRPr lang="en-US"/>
          </a:p>
        </c:txPr>
        <c:crossAx val="1"/>
        <c:crosses val="autoZero"/>
        <c:crossBetween val="midCat"/>
        <c:minorUnit val="0.1"/>
      </c:valAx>
      <c:valAx>
        <c:axId val="1"/>
        <c:scaling>
          <c:orientation val="minMax"/>
        </c:scaling>
        <c:delete val="0"/>
        <c:axPos val="l"/>
        <c:majorGridlines>
          <c:spPr>
            <a:ln w="3175">
              <a:solidFill>
                <a:srgbClr val="99CC00"/>
              </a:solidFill>
              <a:prstDash val="solid"/>
            </a:ln>
          </c:spPr>
        </c:majorGridlines>
        <c:title>
          <c:tx>
            <c:rich>
              <a:bodyPr/>
              <a:lstStyle/>
              <a:p>
                <a:pPr>
                  <a:defRPr sz="875" b="0" i="0" u="none" strike="noStrike" baseline="0">
                    <a:solidFill>
                      <a:srgbClr val="000000"/>
                    </a:solidFill>
                    <a:latin typeface="MathSoftText"/>
                    <a:ea typeface="MathSoftText"/>
                    <a:cs typeface="MathSoftText"/>
                  </a:defRPr>
                </a:pPr>
                <a:r>
                  <a:rPr lang="en-GB"/>
                  <a:t>Rogowski (volts)</a:t>
                </a:r>
              </a:p>
            </c:rich>
          </c:tx>
          <c:layout>
            <c:manualLayout>
              <c:xMode val="edge"/>
              <c:yMode val="edge"/>
              <c:x val="3.2836921713501936E-2"/>
              <c:y val="0.297531417006758"/>
            </c:manualLayout>
          </c:layout>
          <c:overlay val="0"/>
          <c:spPr>
            <a:noFill/>
            <a:ln w="25400">
              <a:noFill/>
            </a:ln>
          </c:spPr>
        </c:title>
        <c:numFmt formatCode="0.00" sourceLinked="1"/>
        <c:majorTickMark val="out"/>
        <c:minorTickMark val="none"/>
        <c:tickLblPos val="nextTo"/>
        <c:spPr>
          <a:ln w="3175">
            <a:solidFill>
              <a:srgbClr val="99CC00"/>
            </a:solidFill>
            <a:prstDash val="solid"/>
          </a:ln>
        </c:spPr>
        <c:txPr>
          <a:bodyPr rot="0" vert="horz"/>
          <a:lstStyle/>
          <a:p>
            <a:pPr>
              <a:defRPr sz="875" b="0" i="0" u="none" strike="noStrike" baseline="0">
                <a:solidFill>
                  <a:srgbClr val="000000"/>
                </a:solidFill>
                <a:latin typeface="MathSoftText"/>
                <a:ea typeface="MathSoftText"/>
                <a:cs typeface="MathSoftText"/>
              </a:defRPr>
            </a:pPr>
            <a:endParaRPr lang="en-US"/>
          </a:p>
        </c:txPr>
        <c:crossAx val="875664303"/>
        <c:crosses val="autoZero"/>
        <c:crossBetween val="midCat"/>
      </c:valAx>
      <c:spPr>
        <a:noFill/>
        <a:ln w="12700">
          <a:solidFill>
            <a:srgbClr val="99CC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75" b="0" i="0" u="none" strike="noStrike" baseline="0">
          <a:solidFill>
            <a:srgbClr val="000000"/>
          </a:solidFill>
          <a:latin typeface="MathSoftText"/>
          <a:ea typeface="MathSoftText"/>
          <a:cs typeface="MathSoftText"/>
        </a:defRPr>
      </a:pPr>
      <a:endParaRPr lang="en-US"/>
    </a:p>
  </c:txPr>
  <c:printSettings>
    <c:headerFooter alignWithMargins="0"/>
    <c:pageMargins b="1" l="0.75" r="0.75" t="1" header="0.5" footer="0.5"/>
    <c:pageSetup orientation="landscape"/>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0" i="0" u="none" strike="noStrike" baseline="0">
                <a:solidFill>
                  <a:srgbClr val="000000"/>
                </a:solidFill>
                <a:latin typeface="MathSoftText"/>
                <a:ea typeface="MathSoftText"/>
                <a:cs typeface="MathSoftText"/>
              </a:defRPr>
            </a:pPr>
            <a:r>
              <a:rPr lang="en-GB"/>
              <a:t>lens 18 pulse count vs gradient</a:t>
            </a:r>
          </a:p>
        </c:rich>
      </c:tx>
      <c:layout>
        <c:manualLayout>
          <c:xMode val="edge"/>
          <c:yMode val="edge"/>
          <c:x val="0.29811296629464573"/>
          <c:y val="3.9894902515516778E-2"/>
        </c:manualLayout>
      </c:layout>
      <c:overlay val="0"/>
      <c:spPr>
        <a:noFill/>
        <a:ln w="25400">
          <a:noFill/>
        </a:ln>
      </c:spPr>
    </c:title>
    <c:autoTitleDeleted val="0"/>
    <c:plotArea>
      <c:layout>
        <c:manualLayout>
          <c:layoutTarget val="inner"/>
          <c:xMode val="edge"/>
          <c:yMode val="edge"/>
          <c:x val="0.20190378171773735"/>
          <c:y val="0.23670975492539956"/>
          <c:w val="0.77102853555297013"/>
          <c:h val="0.50533543186321261"/>
        </c:manualLayout>
      </c:layout>
      <c:barChart>
        <c:barDir val="col"/>
        <c:grouping val="clustered"/>
        <c:varyColors val="0"/>
        <c:ser>
          <c:idx val="0"/>
          <c:order val="0"/>
          <c:spPr>
            <a:solidFill>
              <a:srgbClr val="9999FF"/>
            </a:solidFill>
            <a:ln w="12700">
              <a:solidFill>
                <a:srgbClr val="000000"/>
              </a:solidFill>
              <a:prstDash val="solid"/>
            </a:ln>
          </c:spPr>
          <c:invertIfNegative val="0"/>
          <c:dLbls>
            <c:dLbl>
              <c:idx val="0"/>
              <c:layout>
                <c:manualLayout>
                  <c:xMode val="edge"/>
                  <c:yMode val="edge"/>
                  <c:x val="0.24933084453734009"/>
                  <c:y val="0.58246557672654498"/>
                </c:manualLayout>
              </c:layout>
              <c:spPr>
                <a:noFill/>
                <a:ln w="25400">
                  <a:noFill/>
                </a:ln>
              </c:spPr>
              <c:txPr>
                <a:bodyPr rot="-5400000" vert="horz"/>
                <a:lstStyle/>
                <a:p>
                  <a:pPr algn="ctr">
                    <a:defRPr sz="925"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105-4DD0-AFE9-D0699C7D996D}"/>
                </c:ext>
              </c:extLst>
            </c:dLbl>
            <c:dLbl>
              <c:idx val="1"/>
              <c:layout>
                <c:manualLayout>
                  <c:xMode val="edge"/>
                  <c:yMode val="edge"/>
                  <c:x val="0.37264120786830718"/>
                  <c:y val="0.56650761572033825"/>
                </c:manualLayout>
              </c:layout>
              <c:spPr>
                <a:noFill/>
                <a:ln w="25400">
                  <a:noFill/>
                </a:ln>
              </c:spPr>
              <c:txPr>
                <a:bodyPr rot="-5400000" vert="horz"/>
                <a:lstStyle/>
                <a:p>
                  <a:pPr algn="ctr">
                    <a:defRPr sz="925"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105-4DD0-AFE9-D0699C7D996D}"/>
                </c:ext>
              </c:extLst>
            </c:dLbl>
            <c:dLbl>
              <c:idx val="2"/>
              <c:layout>
                <c:manualLayout>
                  <c:xMode val="edge"/>
                  <c:yMode val="edge"/>
                  <c:x val="0.50679204270089784"/>
                  <c:y val="0.53991101404332709"/>
                </c:manualLayout>
              </c:layout>
              <c:spPr>
                <a:noFill/>
                <a:ln w="25400">
                  <a:noFill/>
                </a:ln>
              </c:spPr>
              <c:txPr>
                <a:bodyPr rot="-5400000" vert="horz"/>
                <a:lstStyle/>
                <a:p>
                  <a:pPr algn="ctr">
                    <a:defRPr sz="925"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105-4DD0-AFE9-D0699C7D996D}"/>
                </c:ext>
              </c:extLst>
            </c:dLbl>
            <c:dLbl>
              <c:idx val="3"/>
              <c:layout>
                <c:manualLayout>
                  <c:xMode val="edge"/>
                  <c:yMode val="edge"/>
                  <c:x val="0.63010240603186485"/>
                  <c:y val="0.52129339286941923"/>
                </c:manualLayout>
              </c:layout>
              <c:spPr>
                <a:noFill/>
                <a:ln w="25400">
                  <a:noFill/>
                </a:ln>
              </c:spPr>
              <c:txPr>
                <a:bodyPr rot="-5400000" vert="horz"/>
                <a:lstStyle/>
                <a:p>
                  <a:pPr algn="ctr">
                    <a:defRPr sz="925"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105-4DD0-AFE9-D0699C7D996D}"/>
                </c:ext>
              </c:extLst>
            </c:dLbl>
            <c:dLbl>
              <c:idx val="4"/>
              <c:layout>
                <c:manualLayout>
                  <c:xMode val="edge"/>
                  <c:yMode val="edge"/>
                  <c:x val="0.75747794617594078"/>
                  <c:y val="0.52129339286941923"/>
                </c:manualLayout>
              </c:layout>
              <c:spPr>
                <a:noFill/>
                <a:ln w="25400">
                  <a:noFill/>
                </a:ln>
              </c:spPr>
              <c:txPr>
                <a:bodyPr rot="-5400000" vert="horz"/>
                <a:lstStyle/>
                <a:p>
                  <a:pPr algn="ctr">
                    <a:defRPr sz="925"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105-4DD0-AFE9-D0699C7D996D}"/>
                </c:ext>
              </c:extLst>
            </c:dLbl>
            <c:dLbl>
              <c:idx val="5"/>
              <c:layout>
                <c:manualLayout>
                  <c:xMode val="edge"/>
                  <c:yMode val="edge"/>
                  <c:x val="0.88756360419542257"/>
                  <c:y val="0.51065475219861478"/>
                </c:manualLayout>
              </c:layout>
              <c:spPr>
                <a:noFill/>
                <a:ln w="25400">
                  <a:noFill/>
                </a:ln>
              </c:spPr>
              <c:txPr>
                <a:bodyPr rot="-5400000" vert="horz"/>
                <a:lstStyle/>
                <a:p>
                  <a:pPr algn="ctr">
                    <a:defRPr sz="925"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105-4DD0-AFE9-D0699C7D996D}"/>
                </c:ext>
              </c:extLst>
            </c:dLbl>
            <c:spPr>
              <a:noFill/>
              <a:ln w="25400">
                <a:noFill/>
              </a:ln>
            </c:spPr>
            <c:txPr>
              <a:bodyPr rot="-5400000" vert="horz" wrap="square" lIns="38100" tIns="19050" rIns="38100" bIns="19050" anchor="ctr">
                <a:spAutoFit/>
              </a:bodyPr>
              <a:lstStyle/>
              <a:p>
                <a:pPr algn="ctr">
                  <a:defRPr sz="925"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'Lens 18'!$E$23:$E$28</c:f>
              <c:numCache>
                <c:formatCode>0</c:formatCode>
                <c:ptCount val="6"/>
                <c:pt idx="0">
                  <c:v>463.00240363508271</c:v>
                </c:pt>
                <c:pt idx="1">
                  <c:v>463.00240363508271</c:v>
                </c:pt>
                <c:pt idx="2">
                  <c:v>753.98582249706294</c:v>
                </c:pt>
                <c:pt idx="3">
                  <c:v>819.94206410577817</c:v>
                </c:pt>
                <c:pt idx="4">
                  <c:v>823.8218430239383</c:v>
                </c:pt>
                <c:pt idx="5">
                  <c:v>947.97476840504999</c:v>
                </c:pt>
              </c:numCache>
            </c:numRef>
          </c:cat>
          <c:val>
            <c:numRef>
              <c:f>'Lens 18'!$A$23:$A$28</c:f>
              <c:numCache>
                <c:formatCode>General</c:formatCode>
                <c:ptCount val="6"/>
                <c:pt idx="0">
                  <c:v>1292</c:v>
                </c:pt>
                <c:pt idx="1">
                  <c:v>1851</c:v>
                </c:pt>
                <c:pt idx="2">
                  <c:v>86308</c:v>
                </c:pt>
                <c:pt idx="3">
                  <c:v>74549</c:v>
                </c:pt>
                <c:pt idx="4">
                  <c:v>74000</c:v>
                </c:pt>
                <c:pt idx="5">
                  <c:v>169300</c:v>
                </c:pt>
              </c:numCache>
            </c:numRef>
          </c:val>
          <c:extLst>
            <c:ext xmlns:c16="http://schemas.microsoft.com/office/drawing/2014/chart" uri="{C3380CC4-5D6E-409C-BE32-E72D297353CC}">
              <c16:uniqueId val="{00000006-8105-4DD0-AFE9-D0699C7D996D}"/>
            </c:ext>
          </c:extLst>
        </c:ser>
        <c:dLbls>
          <c:showLegendKey val="0"/>
          <c:showVal val="1"/>
          <c:showCatName val="0"/>
          <c:showSerName val="0"/>
          <c:showPercent val="0"/>
          <c:showBubbleSize val="0"/>
        </c:dLbls>
        <c:gapWidth val="150"/>
        <c:axId val="885877327"/>
        <c:axId val="1"/>
      </c:barChart>
      <c:catAx>
        <c:axId val="885877327"/>
        <c:scaling>
          <c:orientation val="minMax"/>
        </c:scaling>
        <c:delete val="0"/>
        <c:axPos val="b"/>
        <c:title>
          <c:tx>
            <c:rich>
              <a:bodyPr/>
              <a:lstStyle/>
              <a:p>
                <a:pPr>
                  <a:defRPr sz="925" b="0" i="0" u="none" strike="noStrike" baseline="0">
                    <a:solidFill>
                      <a:srgbClr val="000000"/>
                    </a:solidFill>
                    <a:latin typeface="MathSoftText"/>
                    <a:ea typeface="MathSoftText"/>
                    <a:cs typeface="MathSoftText"/>
                  </a:defRPr>
                </a:pPr>
                <a:r>
                  <a:rPr lang="en-GB"/>
                  <a:t>gradient (T/m)</a:t>
                </a:r>
              </a:p>
            </c:rich>
          </c:tx>
          <c:layout>
            <c:manualLayout>
              <c:xMode val="edge"/>
              <c:yMode val="edge"/>
              <c:x val="0.50272686588778903"/>
              <c:y val="0.85907023416746131"/>
            </c:manualLayout>
          </c:layout>
          <c:overlay val="0"/>
          <c:spPr>
            <a:noFill/>
            <a:ln w="25400">
              <a:noFill/>
            </a:ln>
          </c:spPr>
        </c:title>
        <c:numFmt formatCode="0" sourceLinked="0"/>
        <c:majorTickMark val="out"/>
        <c:minorTickMark val="none"/>
        <c:tickLblPos val="nextTo"/>
        <c:spPr>
          <a:ln w="3175">
            <a:solidFill>
              <a:srgbClr val="99CC00"/>
            </a:solidFill>
            <a:prstDash val="solid"/>
          </a:ln>
        </c:spPr>
        <c:txPr>
          <a:bodyPr rot="0" vert="horz"/>
          <a:lstStyle/>
          <a:p>
            <a:pPr>
              <a:defRPr sz="925" b="0" i="0" u="none" strike="noStrike" baseline="0">
                <a:solidFill>
                  <a:srgbClr val="000000"/>
                </a:solidFill>
                <a:latin typeface="MathSoftText"/>
                <a:ea typeface="MathSoftText"/>
                <a:cs typeface="MathSoftText"/>
              </a:defRPr>
            </a:pPr>
            <a:endParaRPr lang="en-US"/>
          </a:p>
        </c:txPr>
        <c:crossAx val="1"/>
        <c:crosses val="autoZero"/>
        <c:auto val="1"/>
        <c:lblAlgn val="ctr"/>
        <c:lblOffset val="100"/>
        <c:tickLblSkip val="1"/>
        <c:tickMarkSkip val="1"/>
        <c:noMultiLvlLbl val="0"/>
      </c:catAx>
      <c:valAx>
        <c:axId val="1"/>
        <c:scaling>
          <c:logBase val="10"/>
          <c:orientation val="minMax"/>
          <c:min val="10"/>
        </c:scaling>
        <c:delete val="0"/>
        <c:axPos val="l"/>
        <c:majorGridlines>
          <c:spPr>
            <a:ln w="3175">
              <a:solidFill>
                <a:srgbClr val="99CC00"/>
              </a:solidFill>
              <a:prstDash val="solid"/>
            </a:ln>
          </c:spPr>
        </c:majorGridlines>
        <c:title>
          <c:tx>
            <c:rich>
              <a:bodyPr/>
              <a:lstStyle/>
              <a:p>
                <a:pPr>
                  <a:defRPr sz="925" b="0" i="0" u="none" strike="noStrike" baseline="0">
                    <a:solidFill>
                      <a:srgbClr val="000000"/>
                    </a:solidFill>
                    <a:latin typeface="MathSoftText"/>
                    <a:ea typeface="MathSoftText"/>
                    <a:cs typeface="MathSoftText"/>
                  </a:defRPr>
                </a:pPr>
                <a:r>
                  <a:rPr lang="en-GB"/>
                  <a:t>number of pulses</a:t>
                </a:r>
              </a:p>
            </c:rich>
          </c:tx>
          <c:layout>
            <c:manualLayout>
              <c:xMode val="edge"/>
              <c:yMode val="edge"/>
              <c:x val="2.9811296629464575E-2"/>
              <c:y val="0.28724329811172084"/>
            </c:manualLayout>
          </c:layout>
          <c:overlay val="0"/>
          <c:spPr>
            <a:noFill/>
            <a:ln w="25400">
              <a:noFill/>
            </a:ln>
          </c:spPr>
        </c:title>
        <c:numFmt formatCode="General" sourceLinked="1"/>
        <c:majorTickMark val="out"/>
        <c:minorTickMark val="none"/>
        <c:tickLblPos val="nextTo"/>
        <c:spPr>
          <a:ln w="3175">
            <a:solidFill>
              <a:srgbClr val="99CC00"/>
            </a:solidFill>
            <a:prstDash val="solid"/>
          </a:ln>
        </c:spPr>
        <c:txPr>
          <a:bodyPr rot="0" vert="horz"/>
          <a:lstStyle/>
          <a:p>
            <a:pPr>
              <a:defRPr sz="925" b="0" i="0" u="none" strike="noStrike" baseline="0">
                <a:solidFill>
                  <a:srgbClr val="000000"/>
                </a:solidFill>
                <a:latin typeface="MathSoftText"/>
                <a:ea typeface="MathSoftText"/>
                <a:cs typeface="MathSoftText"/>
              </a:defRPr>
            </a:pPr>
            <a:endParaRPr lang="en-US"/>
          </a:p>
        </c:txPr>
        <c:crossAx val="885877327"/>
        <c:crosses val="autoZero"/>
        <c:crossBetween val="between"/>
      </c:valAx>
      <c:spPr>
        <a:noFill/>
        <a:ln w="12700">
          <a:solidFill>
            <a:srgbClr val="99CC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925" b="0" i="0" u="none" strike="noStrike" baseline="0">
          <a:solidFill>
            <a:srgbClr val="000000"/>
          </a:solidFill>
          <a:latin typeface="MathSoftText"/>
          <a:ea typeface="MathSoftText"/>
          <a:cs typeface="MathSoftText"/>
        </a:defRPr>
      </a:pPr>
      <a:endParaRPr lang="en-US"/>
    </a:p>
  </c:txPr>
  <c:printSettings>
    <c:headerFooter alignWithMargins="0"/>
    <c:pageMargins b="1" l="0.75" r="0.75" t="1" header="0.5" footer="0.5"/>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50" b="0" i="0" u="none" strike="noStrike" baseline="0">
                <a:solidFill>
                  <a:srgbClr val="000000"/>
                </a:solidFill>
                <a:latin typeface="MathSoftText"/>
                <a:ea typeface="MathSoftText"/>
                <a:cs typeface="MathSoftText"/>
              </a:defRPr>
            </a:pPr>
            <a:r>
              <a:rPr lang="en-GB"/>
              <a:t>lens 17 pulse count vs peak current</a:t>
            </a:r>
          </a:p>
        </c:rich>
      </c:tx>
      <c:layout>
        <c:manualLayout>
          <c:xMode val="edge"/>
          <c:yMode val="edge"/>
          <c:x val="0.29595516085842022"/>
          <c:y val="4.2946120009331554E-2"/>
        </c:manualLayout>
      </c:layout>
      <c:overlay val="0"/>
      <c:spPr>
        <a:noFill/>
        <a:ln w="25400">
          <a:noFill/>
        </a:ln>
      </c:spPr>
    </c:title>
    <c:autoTitleDeleted val="0"/>
    <c:plotArea>
      <c:layout>
        <c:manualLayout>
          <c:layoutTarget val="inner"/>
          <c:xMode val="edge"/>
          <c:yMode val="edge"/>
          <c:x val="0.17162696542931219"/>
          <c:y val="0.23927124005199008"/>
          <c:w val="0.80137630314631592"/>
          <c:h val="0.50615070010997898"/>
        </c:manualLayout>
      </c:layout>
      <c:barChart>
        <c:barDir val="col"/>
        <c:grouping val="clustered"/>
        <c:varyColors val="0"/>
        <c:ser>
          <c:idx val="0"/>
          <c:order val="0"/>
          <c:spPr>
            <a:solidFill>
              <a:srgbClr val="9999FF"/>
            </a:solidFill>
            <a:ln w="12700">
              <a:solidFill>
                <a:srgbClr val="000000"/>
              </a:solidFill>
              <a:prstDash val="solid"/>
            </a:ln>
          </c:spPr>
          <c:invertIfNegative val="0"/>
          <c:dLbls>
            <c:dLbl>
              <c:idx val="0"/>
              <c:layout>
                <c:manualLayout>
                  <c:xMode val="edge"/>
                  <c:yMode val="edge"/>
                  <c:x val="0.21081737485805277"/>
                  <c:y val="0.53375892011597792"/>
                </c:manualLayout>
              </c:layout>
              <c:numFmt formatCode="0" sourceLinked="0"/>
              <c:spPr>
                <a:noFill/>
                <a:ln w="25400">
                  <a:noFill/>
                </a:ln>
              </c:spPr>
              <c:txPr>
                <a:bodyPr rot="-5400000" vert="horz"/>
                <a:lstStyle/>
                <a:p>
                  <a:pPr algn="ctr">
                    <a:defRPr sz="800"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45C-47BC-A565-2BFEE7F04FCB}"/>
                </c:ext>
              </c:extLst>
            </c:dLbl>
            <c:dLbl>
              <c:idx val="1"/>
              <c:layout>
                <c:manualLayout>
                  <c:xMode val="edge"/>
                  <c:yMode val="edge"/>
                  <c:x val="0.32568581628711996"/>
                  <c:y val="0.55829956012131021"/>
                </c:manualLayout>
              </c:layout>
              <c:numFmt formatCode="0" sourceLinked="0"/>
              <c:spPr>
                <a:noFill/>
                <a:ln w="25400">
                  <a:noFill/>
                </a:ln>
              </c:spPr>
              <c:txPr>
                <a:bodyPr rot="-5400000" vert="horz"/>
                <a:lstStyle/>
                <a:p>
                  <a:pPr algn="ctr">
                    <a:defRPr sz="800"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45C-47BC-A565-2BFEE7F04FCB}"/>
                </c:ext>
              </c:extLst>
            </c:dLbl>
            <c:dLbl>
              <c:idx val="2"/>
              <c:layout>
                <c:manualLayout>
                  <c:xMode val="edge"/>
                  <c:yMode val="edge"/>
                  <c:x val="0.43920286428760991"/>
                  <c:y val="0.53069134011531138"/>
                </c:manualLayout>
              </c:layout>
              <c:numFmt formatCode="0" sourceLinked="0"/>
              <c:spPr>
                <a:noFill/>
                <a:ln w="25400">
                  <a:noFill/>
                </a:ln>
              </c:spPr>
              <c:txPr>
                <a:bodyPr rot="-5400000" vert="horz"/>
                <a:lstStyle/>
                <a:p>
                  <a:pPr algn="ctr">
                    <a:defRPr sz="800"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45C-47BC-A565-2BFEE7F04FCB}"/>
                </c:ext>
              </c:extLst>
            </c:dLbl>
            <c:dLbl>
              <c:idx val="3"/>
              <c:layout>
                <c:manualLayout>
                  <c:xMode val="edge"/>
                  <c:yMode val="edge"/>
                  <c:x val="0.55407130571667706"/>
                  <c:y val="0.52148860011331177"/>
                </c:manualLayout>
              </c:layout>
              <c:numFmt formatCode="0" sourceLinked="0"/>
              <c:spPr>
                <a:noFill/>
                <a:ln w="25400">
                  <a:noFill/>
                </a:ln>
              </c:spPr>
              <c:txPr>
                <a:bodyPr rot="-5400000" vert="horz"/>
                <a:lstStyle/>
                <a:p>
                  <a:pPr algn="ctr">
                    <a:defRPr sz="800"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45C-47BC-A565-2BFEE7F04FCB}"/>
                </c:ext>
              </c:extLst>
            </c:dLbl>
            <c:dLbl>
              <c:idx val="4"/>
              <c:layout>
                <c:manualLayout>
                  <c:xMode val="edge"/>
                  <c:yMode val="edge"/>
                  <c:x val="0.66893974714574433"/>
                  <c:y val="0.53989408011731099"/>
                </c:manualLayout>
              </c:layout>
              <c:numFmt formatCode="0" sourceLinked="0"/>
              <c:spPr>
                <a:noFill/>
                <a:ln w="25400">
                  <a:noFill/>
                </a:ln>
              </c:spPr>
              <c:txPr>
                <a:bodyPr rot="-5400000" vert="horz"/>
                <a:lstStyle/>
                <a:p>
                  <a:pPr algn="ctr">
                    <a:defRPr sz="800"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45C-47BC-A565-2BFEE7F04FCB}"/>
                </c:ext>
              </c:extLst>
            </c:dLbl>
            <c:dLbl>
              <c:idx val="5"/>
              <c:layout>
                <c:manualLayout>
                  <c:xMode val="edge"/>
                  <c:yMode val="edge"/>
                  <c:x val="0.78380818857481149"/>
                  <c:y val="0.59511052012930865"/>
                </c:manualLayout>
              </c:layout>
              <c:numFmt formatCode="0" sourceLinked="0"/>
              <c:spPr>
                <a:noFill/>
                <a:ln w="25400">
                  <a:noFill/>
                </a:ln>
              </c:spPr>
              <c:txPr>
                <a:bodyPr rot="-5400000" vert="horz"/>
                <a:lstStyle/>
                <a:p>
                  <a:pPr algn="ctr">
                    <a:defRPr sz="800"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45C-47BC-A565-2BFEE7F04FCB}"/>
                </c:ext>
              </c:extLst>
            </c:dLbl>
            <c:dLbl>
              <c:idx val="6"/>
              <c:layout>
                <c:manualLayout>
                  <c:xMode val="edge"/>
                  <c:yMode val="edge"/>
                  <c:x val="0.8973252365753015"/>
                  <c:y val="0.51228586011131216"/>
                </c:manualLayout>
              </c:layout>
              <c:numFmt formatCode="0" sourceLinked="0"/>
              <c:spPr>
                <a:noFill/>
                <a:ln w="25400">
                  <a:noFill/>
                </a:ln>
              </c:spPr>
              <c:txPr>
                <a:bodyPr rot="-5400000" vert="horz"/>
                <a:lstStyle/>
                <a:p>
                  <a:pPr algn="ctr">
                    <a:defRPr sz="800"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45C-47BC-A565-2BFEE7F04FCB}"/>
                </c:ext>
              </c:extLst>
            </c:dLbl>
            <c:numFmt formatCode="0" sourceLinked="0"/>
            <c:spPr>
              <a:noFill/>
              <a:ln w="25400">
                <a:noFill/>
              </a:ln>
            </c:spPr>
            <c:txPr>
              <a:bodyPr rot="-5400000" vert="horz" wrap="square" lIns="38100" tIns="19050" rIns="38100" bIns="19050" anchor="ctr">
                <a:spAutoFit/>
              </a:bodyPr>
              <a:lstStyle/>
              <a:p>
                <a:pPr algn="ctr">
                  <a:defRPr sz="800"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'Lens 17'!$F$35:$F$41</c:f>
              <c:numCache>
                <c:formatCode>0</c:formatCode>
                <c:ptCount val="7"/>
                <c:pt idx="0">
                  <c:v>390.37633191765133</c:v>
                </c:pt>
                <c:pt idx="1">
                  <c:v>432.66139513647153</c:v>
                </c:pt>
                <c:pt idx="2">
                  <c:v>469.97174503543022</c:v>
                </c:pt>
                <c:pt idx="3">
                  <c:v>482.4085283350833</c:v>
                </c:pt>
                <c:pt idx="4">
                  <c:v>519.71887823404211</c:v>
                </c:pt>
                <c:pt idx="5">
                  <c:v>569.466011432654</c:v>
                </c:pt>
                <c:pt idx="6">
                  <c:v>609.26371799154356</c:v>
                </c:pt>
              </c:numCache>
            </c:numRef>
          </c:cat>
          <c:val>
            <c:numRef>
              <c:f>'Lens 17'!$A$35:$A$41</c:f>
              <c:numCache>
                <c:formatCode>General</c:formatCode>
                <c:ptCount val="7"/>
                <c:pt idx="0">
                  <c:v>280000</c:v>
                </c:pt>
                <c:pt idx="1">
                  <c:v>95500</c:v>
                </c:pt>
                <c:pt idx="2">
                  <c:v>156400</c:v>
                </c:pt>
                <c:pt idx="3">
                  <c:v>114350</c:v>
                </c:pt>
                <c:pt idx="4">
                  <c:v>23789</c:v>
                </c:pt>
                <c:pt idx="5">
                  <c:v>1311</c:v>
                </c:pt>
                <c:pt idx="6">
                  <c:v>459850</c:v>
                </c:pt>
              </c:numCache>
            </c:numRef>
          </c:val>
          <c:extLst>
            <c:ext xmlns:c16="http://schemas.microsoft.com/office/drawing/2014/chart" uri="{C3380CC4-5D6E-409C-BE32-E72D297353CC}">
              <c16:uniqueId val="{00000007-D45C-47BC-A565-2BFEE7F04FCB}"/>
            </c:ext>
          </c:extLst>
        </c:ser>
        <c:dLbls>
          <c:showLegendKey val="0"/>
          <c:showVal val="1"/>
          <c:showCatName val="0"/>
          <c:showSerName val="0"/>
          <c:showPercent val="0"/>
          <c:showBubbleSize val="0"/>
        </c:dLbls>
        <c:gapWidth val="150"/>
        <c:axId val="765528911"/>
        <c:axId val="1"/>
      </c:barChart>
      <c:catAx>
        <c:axId val="765528911"/>
        <c:scaling>
          <c:orientation val="minMax"/>
        </c:scaling>
        <c:delete val="0"/>
        <c:axPos val="b"/>
        <c:title>
          <c:tx>
            <c:rich>
              <a:bodyPr/>
              <a:lstStyle/>
              <a:p>
                <a:pPr>
                  <a:defRPr sz="800" b="0" i="0" u="none" strike="noStrike" baseline="0">
                    <a:solidFill>
                      <a:srgbClr val="000000"/>
                    </a:solidFill>
                    <a:latin typeface="MathSoftText"/>
                    <a:ea typeface="MathSoftText"/>
                    <a:cs typeface="MathSoftText"/>
                  </a:defRPr>
                </a:pPr>
                <a:r>
                  <a:rPr lang="en-GB"/>
                  <a:t>kiloamps</a:t>
                </a:r>
              </a:p>
            </c:rich>
          </c:tx>
          <c:layout>
            <c:manualLayout>
              <c:xMode val="edge"/>
              <c:yMode val="edge"/>
              <c:x val="0.52569204371655465"/>
              <c:y val="0.85585482018596459"/>
            </c:manualLayout>
          </c:layout>
          <c:overlay val="0"/>
          <c:spPr>
            <a:noFill/>
            <a:ln w="25400">
              <a:noFill/>
            </a:ln>
          </c:spPr>
        </c:title>
        <c:numFmt formatCode="0" sourceLinked="0"/>
        <c:majorTickMark val="out"/>
        <c:minorTickMark val="none"/>
        <c:tickLblPos val="nextTo"/>
        <c:spPr>
          <a:ln w="3175">
            <a:solidFill>
              <a:srgbClr val="99CC00"/>
            </a:solidFill>
            <a:prstDash val="solid"/>
          </a:ln>
        </c:spPr>
        <c:txPr>
          <a:bodyPr rot="0" vert="horz"/>
          <a:lstStyle/>
          <a:p>
            <a:pPr>
              <a:defRPr sz="800" b="0" i="0" u="none" strike="noStrike" baseline="0">
                <a:solidFill>
                  <a:srgbClr val="000000"/>
                </a:solidFill>
                <a:latin typeface="MathSoftText"/>
                <a:ea typeface="MathSoftText"/>
                <a:cs typeface="MathSoftText"/>
              </a:defRPr>
            </a:pPr>
            <a:endParaRPr lang="en-US"/>
          </a:p>
        </c:txPr>
        <c:crossAx val="1"/>
        <c:crosses val="autoZero"/>
        <c:auto val="1"/>
        <c:lblAlgn val="ctr"/>
        <c:lblOffset val="100"/>
        <c:tickLblSkip val="1"/>
        <c:tickMarkSkip val="1"/>
        <c:noMultiLvlLbl val="0"/>
      </c:catAx>
      <c:valAx>
        <c:axId val="1"/>
        <c:scaling>
          <c:logBase val="10"/>
          <c:orientation val="minMax"/>
          <c:min val="10"/>
        </c:scaling>
        <c:delete val="0"/>
        <c:axPos val="l"/>
        <c:majorGridlines>
          <c:spPr>
            <a:ln w="3175">
              <a:solidFill>
                <a:srgbClr val="99CC00"/>
              </a:solidFill>
              <a:prstDash val="solid"/>
            </a:ln>
          </c:spPr>
        </c:majorGridlines>
        <c:title>
          <c:tx>
            <c:rich>
              <a:bodyPr/>
              <a:lstStyle/>
              <a:p>
                <a:pPr>
                  <a:defRPr sz="800" b="0" i="0" u="none" strike="noStrike" baseline="0">
                    <a:solidFill>
                      <a:srgbClr val="000000"/>
                    </a:solidFill>
                    <a:latin typeface="MathSoftText"/>
                    <a:ea typeface="MathSoftText"/>
                    <a:cs typeface="MathSoftText"/>
                  </a:defRPr>
                </a:pPr>
                <a:r>
                  <a:rPr lang="en-GB"/>
                  <a:t>number of pulses</a:t>
                </a:r>
              </a:p>
            </c:rich>
          </c:tx>
          <c:layout>
            <c:manualLayout>
              <c:xMode val="edge"/>
              <c:yMode val="edge"/>
              <c:x val="2.9730655428699748E-2"/>
              <c:y val="0.30062284006532086"/>
            </c:manualLayout>
          </c:layout>
          <c:overlay val="0"/>
          <c:spPr>
            <a:noFill/>
            <a:ln w="25400">
              <a:noFill/>
            </a:ln>
          </c:spPr>
        </c:title>
        <c:numFmt formatCode="General" sourceLinked="1"/>
        <c:majorTickMark val="out"/>
        <c:minorTickMark val="none"/>
        <c:tickLblPos val="nextTo"/>
        <c:spPr>
          <a:ln w="3175">
            <a:solidFill>
              <a:srgbClr val="99CC00"/>
            </a:solidFill>
            <a:prstDash val="solid"/>
          </a:ln>
        </c:spPr>
        <c:txPr>
          <a:bodyPr rot="0" vert="horz"/>
          <a:lstStyle/>
          <a:p>
            <a:pPr>
              <a:defRPr sz="800" b="0" i="0" u="none" strike="noStrike" baseline="0">
                <a:solidFill>
                  <a:srgbClr val="000000"/>
                </a:solidFill>
                <a:latin typeface="MathSoftText"/>
                <a:ea typeface="MathSoftText"/>
                <a:cs typeface="MathSoftText"/>
              </a:defRPr>
            </a:pPr>
            <a:endParaRPr lang="en-US"/>
          </a:p>
        </c:txPr>
        <c:crossAx val="765528911"/>
        <c:crosses val="autoZero"/>
        <c:crossBetween val="between"/>
      </c:valAx>
      <c:spPr>
        <a:noFill/>
        <a:ln w="12700">
          <a:solidFill>
            <a:srgbClr val="99CC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MathSoftText"/>
          <a:ea typeface="MathSoftText"/>
          <a:cs typeface="MathSoftText"/>
        </a:defRPr>
      </a:pPr>
      <a:endParaRPr lang="en-US"/>
    </a:p>
  </c:txPr>
  <c:printSettings>
    <c:headerFooter alignWithMargins="0"/>
    <c:pageMargins b="1" l="0.75" r="0.75" t="1" header="0.5" footer="0.5"/>
    <c:pageSetup orientation="landscape"/>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25" b="0" i="0" u="none" strike="noStrike" baseline="0">
                <a:solidFill>
                  <a:srgbClr val="000000"/>
                </a:solidFill>
                <a:latin typeface="MathSoftText"/>
                <a:ea typeface="MathSoftText"/>
                <a:cs typeface="MathSoftText"/>
              </a:defRPr>
            </a:pPr>
            <a:r>
              <a:rPr lang="en-GB"/>
              <a:t>lens 17 pulse count vs peak current</a:t>
            </a:r>
          </a:p>
        </c:rich>
      </c:tx>
      <c:layout>
        <c:manualLayout>
          <c:xMode val="edge"/>
          <c:yMode val="edge"/>
          <c:x val="0.31856960192748679"/>
          <c:y val="4.5140309510964795E-2"/>
        </c:manualLayout>
      </c:layout>
      <c:overlay val="0"/>
      <c:spPr>
        <a:noFill/>
        <a:ln w="25400">
          <a:noFill/>
        </a:ln>
      </c:spPr>
    </c:title>
    <c:autoTitleDeleted val="0"/>
    <c:plotArea>
      <c:layout>
        <c:manualLayout>
          <c:layoutTarget val="inner"/>
          <c:xMode val="edge"/>
          <c:yMode val="edge"/>
          <c:x val="0.12604275554522301"/>
          <c:y val="0.26042486256325842"/>
          <c:w val="0.84628707294649741"/>
          <c:h val="0.54515604563242093"/>
        </c:manualLayout>
      </c:layout>
      <c:barChart>
        <c:barDir val="col"/>
        <c:grouping val="clustered"/>
        <c:varyColors val="0"/>
        <c:ser>
          <c:idx val="0"/>
          <c:order val="0"/>
          <c:spPr>
            <a:solidFill>
              <a:srgbClr val="9999FF"/>
            </a:solidFill>
            <a:ln w="12700">
              <a:solidFill>
                <a:srgbClr val="000000"/>
              </a:solidFill>
              <a:prstDash val="solid"/>
            </a:ln>
          </c:spPr>
          <c:invertIfNegative val="0"/>
          <c:cat>
            <c:numRef>
              <c:f>'Lens 17'!$D$35:$D$41</c:f>
              <c:numCache>
                <c:formatCode>General</c:formatCode>
                <c:ptCount val="7"/>
                <c:pt idx="0">
                  <c:v>390376.33191765135</c:v>
                </c:pt>
                <c:pt idx="1">
                  <c:v>432661.39513647155</c:v>
                </c:pt>
                <c:pt idx="2">
                  <c:v>469971.74503543024</c:v>
                </c:pt>
                <c:pt idx="3">
                  <c:v>482408.52833508328</c:v>
                </c:pt>
                <c:pt idx="4">
                  <c:v>519718.87823404215</c:v>
                </c:pt>
                <c:pt idx="5">
                  <c:v>569466.01143265399</c:v>
                </c:pt>
                <c:pt idx="6">
                  <c:v>609263.71799154358</c:v>
                </c:pt>
              </c:numCache>
            </c:numRef>
          </c:cat>
          <c:val>
            <c:numRef>
              <c:f>'Lens 17'!$A$35:$A$41</c:f>
              <c:numCache>
                <c:formatCode>General</c:formatCode>
                <c:ptCount val="7"/>
                <c:pt idx="0">
                  <c:v>280000</c:v>
                </c:pt>
                <c:pt idx="1">
                  <c:v>95500</c:v>
                </c:pt>
                <c:pt idx="2">
                  <c:v>156400</c:v>
                </c:pt>
                <c:pt idx="3">
                  <c:v>114350</c:v>
                </c:pt>
                <c:pt idx="4">
                  <c:v>23789</c:v>
                </c:pt>
                <c:pt idx="5">
                  <c:v>1311</c:v>
                </c:pt>
                <c:pt idx="6">
                  <c:v>459850</c:v>
                </c:pt>
              </c:numCache>
            </c:numRef>
          </c:val>
          <c:extLst>
            <c:ext xmlns:c16="http://schemas.microsoft.com/office/drawing/2014/chart" uri="{C3380CC4-5D6E-409C-BE32-E72D297353CC}">
              <c16:uniqueId val="{00000000-93E5-48B3-981D-981C36EF13A7}"/>
            </c:ext>
          </c:extLst>
        </c:ser>
        <c:dLbls>
          <c:showLegendKey val="0"/>
          <c:showVal val="0"/>
          <c:showCatName val="0"/>
          <c:showSerName val="0"/>
          <c:showPercent val="0"/>
          <c:showBubbleSize val="0"/>
        </c:dLbls>
        <c:gapWidth val="150"/>
        <c:axId val="765529311"/>
        <c:axId val="1"/>
      </c:barChart>
      <c:catAx>
        <c:axId val="765529311"/>
        <c:scaling>
          <c:orientation val="minMax"/>
        </c:scaling>
        <c:delete val="0"/>
        <c:axPos val="b"/>
        <c:numFmt formatCode="0" sourceLinked="0"/>
        <c:majorTickMark val="out"/>
        <c:minorTickMark val="none"/>
        <c:tickLblPos val="nextTo"/>
        <c:spPr>
          <a:ln w="3175">
            <a:solidFill>
              <a:srgbClr val="99CC00"/>
            </a:solidFill>
            <a:prstDash val="solid"/>
          </a:ln>
        </c:spPr>
        <c:txPr>
          <a:bodyPr rot="0" vert="horz"/>
          <a:lstStyle/>
          <a:p>
            <a:pPr>
              <a:defRPr sz="800" b="0" i="0" u="none" strike="noStrike" baseline="0">
                <a:solidFill>
                  <a:srgbClr val="000000"/>
                </a:solidFill>
                <a:latin typeface="MathSoftText"/>
                <a:ea typeface="MathSoftText"/>
                <a:cs typeface="MathSoftText"/>
              </a:defRPr>
            </a:pPr>
            <a:endParaRPr lang="en-US"/>
          </a:p>
        </c:txPr>
        <c:crossAx val="1"/>
        <c:crosses val="autoZero"/>
        <c:auto val="1"/>
        <c:lblAlgn val="ctr"/>
        <c:lblOffset val="100"/>
        <c:tickLblSkip val="1"/>
        <c:tickMarkSkip val="1"/>
        <c:noMultiLvlLbl val="0"/>
      </c:catAx>
      <c:valAx>
        <c:axId val="1"/>
        <c:scaling>
          <c:orientation val="minMax"/>
          <c:max val="500000"/>
          <c:min val="0"/>
        </c:scaling>
        <c:delete val="0"/>
        <c:axPos val="l"/>
        <c:majorGridlines>
          <c:spPr>
            <a:ln w="3175">
              <a:solidFill>
                <a:srgbClr val="99CC00"/>
              </a:solidFill>
              <a:prstDash val="solid"/>
            </a:ln>
          </c:spPr>
        </c:majorGridlines>
        <c:numFmt formatCode="General" sourceLinked="1"/>
        <c:majorTickMark val="out"/>
        <c:minorTickMark val="none"/>
        <c:tickLblPos val="nextTo"/>
        <c:spPr>
          <a:ln w="3175">
            <a:solidFill>
              <a:srgbClr val="99CC00"/>
            </a:solidFill>
            <a:prstDash val="solid"/>
          </a:ln>
        </c:spPr>
        <c:txPr>
          <a:bodyPr rot="0" vert="horz"/>
          <a:lstStyle/>
          <a:p>
            <a:pPr>
              <a:defRPr sz="800" b="0" i="0" u="none" strike="noStrike" baseline="0">
                <a:solidFill>
                  <a:srgbClr val="000000"/>
                </a:solidFill>
                <a:latin typeface="MathSoftText"/>
                <a:ea typeface="MathSoftText"/>
                <a:cs typeface="MathSoftText"/>
              </a:defRPr>
            </a:pPr>
            <a:endParaRPr lang="en-US"/>
          </a:p>
        </c:txPr>
        <c:crossAx val="765529311"/>
        <c:crosses val="autoZero"/>
        <c:crossBetween val="between"/>
        <c:majorUnit val="100000"/>
        <c:minorUnit val="50000"/>
      </c:valAx>
      <c:spPr>
        <a:noFill/>
        <a:ln w="12700">
          <a:solidFill>
            <a:srgbClr val="99CC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MathSoftText"/>
          <a:ea typeface="MathSoftText"/>
          <a:cs typeface="MathSoftText"/>
        </a:defRPr>
      </a:pPr>
      <a:endParaRPr lang="en-US"/>
    </a:p>
  </c:txPr>
  <c:printSettings>
    <c:headerFooter alignWithMargins="0"/>
    <c:pageMargins b="1" l="0.75" r="0.75" t="1" header="0.5" footer="0.5"/>
    <c:pageSetup orientation="landscape" horizontalDpi="355" verticalDpi="355"/>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50" b="0" i="0" u="none" strike="noStrike" baseline="0">
                <a:solidFill>
                  <a:srgbClr val="000000"/>
                </a:solidFill>
                <a:latin typeface="MathSoftText"/>
                <a:ea typeface="MathSoftText"/>
                <a:cs typeface="MathSoftText"/>
              </a:defRPr>
            </a:pPr>
            <a:r>
              <a:rPr lang="en-GB"/>
              <a:t>lens 17 pulse count vs peak current</a:t>
            </a:r>
          </a:p>
        </c:rich>
      </c:tx>
      <c:layout>
        <c:manualLayout>
          <c:xMode val="edge"/>
          <c:yMode val="edge"/>
          <c:x val="0.30829043009861856"/>
          <c:y val="4.2946120009331554E-2"/>
        </c:manualLayout>
      </c:layout>
      <c:overlay val="0"/>
      <c:spPr>
        <a:noFill/>
        <a:ln w="25400">
          <a:noFill/>
        </a:ln>
      </c:spPr>
    </c:title>
    <c:autoTitleDeleted val="0"/>
    <c:plotArea>
      <c:layout>
        <c:manualLayout>
          <c:layoutTarget val="inner"/>
          <c:xMode val="edge"/>
          <c:yMode val="edge"/>
          <c:x val="0.1159273931362574"/>
          <c:y val="0.23927124005199008"/>
          <c:w val="0.82040924373351387"/>
          <c:h val="0.58897536012797558"/>
        </c:manualLayout>
      </c:layout>
      <c:scatterChart>
        <c:scatterStyle val="lineMarker"/>
        <c:varyColors val="0"/>
        <c:ser>
          <c:idx val="0"/>
          <c:order val="0"/>
          <c:spPr>
            <a:ln w="19050">
              <a:noFill/>
            </a:ln>
          </c:spPr>
          <c:marker>
            <c:symbol val="diamond"/>
            <c:size val="5"/>
            <c:spPr>
              <a:solidFill>
                <a:srgbClr val="000080"/>
              </a:solidFill>
              <a:ln>
                <a:solidFill>
                  <a:srgbClr val="000080"/>
                </a:solidFill>
                <a:prstDash val="solid"/>
              </a:ln>
            </c:spPr>
          </c:marker>
          <c:xVal>
            <c:numRef>
              <c:f>'Lens 17'!$D$35:$D$41</c:f>
              <c:numCache>
                <c:formatCode>General</c:formatCode>
                <c:ptCount val="7"/>
                <c:pt idx="0">
                  <c:v>390376.33191765135</c:v>
                </c:pt>
                <c:pt idx="1">
                  <c:v>432661.39513647155</c:v>
                </c:pt>
                <c:pt idx="2">
                  <c:v>469971.74503543024</c:v>
                </c:pt>
                <c:pt idx="3">
                  <c:v>482408.52833508328</c:v>
                </c:pt>
                <c:pt idx="4">
                  <c:v>519718.87823404215</c:v>
                </c:pt>
                <c:pt idx="5">
                  <c:v>569466.01143265399</c:v>
                </c:pt>
                <c:pt idx="6">
                  <c:v>609263.71799154358</c:v>
                </c:pt>
              </c:numCache>
            </c:numRef>
          </c:xVal>
          <c:yVal>
            <c:numRef>
              <c:f>'Lens 17'!$A$35:$A$41</c:f>
              <c:numCache>
                <c:formatCode>General</c:formatCode>
                <c:ptCount val="7"/>
                <c:pt idx="0">
                  <c:v>280000</c:v>
                </c:pt>
                <c:pt idx="1">
                  <c:v>95500</c:v>
                </c:pt>
                <c:pt idx="2">
                  <c:v>156400</c:v>
                </c:pt>
                <c:pt idx="3">
                  <c:v>114350</c:v>
                </c:pt>
                <c:pt idx="4">
                  <c:v>23789</c:v>
                </c:pt>
                <c:pt idx="5">
                  <c:v>1311</c:v>
                </c:pt>
                <c:pt idx="6">
                  <c:v>459850</c:v>
                </c:pt>
              </c:numCache>
            </c:numRef>
          </c:yVal>
          <c:smooth val="0"/>
          <c:extLst>
            <c:ext xmlns:c16="http://schemas.microsoft.com/office/drawing/2014/chart" uri="{C3380CC4-5D6E-409C-BE32-E72D297353CC}">
              <c16:uniqueId val="{00000000-A560-4421-BF5B-6446E5F5FC13}"/>
            </c:ext>
          </c:extLst>
        </c:ser>
        <c:dLbls>
          <c:showLegendKey val="0"/>
          <c:showVal val="0"/>
          <c:showCatName val="0"/>
          <c:showSerName val="0"/>
          <c:showPercent val="0"/>
          <c:showBubbleSize val="0"/>
        </c:dLbls>
        <c:axId val="1062909711"/>
        <c:axId val="1"/>
      </c:scatterChart>
      <c:valAx>
        <c:axId val="1062909711"/>
        <c:scaling>
          <c:orientation val="minMax"/>
          <c:max val="700000"/>
          <c:min val="200000"/>
        </c:scaling>
        <c:delete val="0"/>
        <c:axPos val="b"/>
        <c:numFmt formatCode="0" sourceLinked="0"/>
        <c:majorTickMark val="out"/>
        <c:minorTickMark val="none"/>
        <c:tickLblPos val="nextTo"/>
        <c:spPr>
          <a:ln w="3175">
            <a:solidFill>
              <a:srgbClr val="99CC00"/>
            </a:solidFill>
            <a:prstDash val="solid"/>
          </a:ln>
        </c:spPr>
        <c:txPr>
          <a:bodyPr rot="0" vert="horz"/>
          <a:lstStyle/>
          <a:p>
            <a:pPr>
              <a:defRPr sz="800" b="0" i="0" u="none" strike="noStrike" baseline="0">
                <a:solidFill>
                  <a:srgbClr val="000000"/>
                </a:solidFill>
                <a:latin typeface="MathSoftText"/>
                <a:ea typeface="MathSoftText"/>
                <a:cs typeface="MathSoftText"/>
              </a:defRPr>
            </a:pPr>
            <a:endParaRPr lang="en-US"/>
          </a:p>
        </c:txPr>
        <c:crossAx val="1"/>
        <c:crosses val="autoZero"/>
        <c:crossBetween val="midCat"/>
        <c:majorUnit val="100000"/>
        <c:minorUnit val="20000"/>
      </c:valAx>
      <c:valAx>
        <c:axId val="1"/>
        <c:scaling>
          <c:orientation val="minMax"/>
          <c:max val="500000"/>
          <c:min val="0"/>
        </c:scaling>
        <c:delete val="0"/>
        <c:axPos val="l"/>
        <c:majorGridlines>
          <c:spPr>
            <a:ln w="3175">
              <a:solidFill>
                <a:srgbClr val="99CC00"/>
              </a:solidFill>
              <a:prstDash val="solid"/>
            </a:ln>
          </c:spPr>
        </c:majorGridlines>
        <c:numFmt formatCode="General" sourceLinked="1"/>
        <c:majorTickMark val="out"/>
        <c:minorTickMark val="none"/>
        <c:tickLblPos val="nextTo"/>
        <c:spPr>
          <a:ln w="3175">
            <a:solidFill>
              <a:srgbClr val="99CC00"/>
            </a:solidFill>
            <a:prstDash val="solid"/>
          </a:ln>
        </c:spPr>
        <c:txPr>
          <a:bodyPr rot="0" vert="horz"/>
          <a:lstStyle/>
          <a:p>
            <a:pPr>
              <a:defRPr sz="800" b="0" i="0" u="none" strike="noStrike" baseline="0">
                <a:solidFill>
                  <a:srgbClr val="000000"/>
                </a:solidFill>
                <a:latin typeface="MathSoftText"/>
                <a:ea typeface="MathSoftText"/>
                <a:cs typeface="MathSoftText"/>
              </a:defRPr>
            </a:pPr>
            <a:endParaRPr lang="en-US"/>
          </a:p>
        </c:txPr>
        <c:crossAx val="1062909711"/>
        <c:crosses val="autoZero"/>
        <c:crossBetween val="midCat"/>
        <c:majorUnit val="100000"/>
        <c:minorUnit val="50000"/>
      </c:valAx>
      <c:spPr>
        <a:noFill/>
        <a:ln w="12700">
          <a:solidFill>
            <a:srgbClr val="99CC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MathSoftText"/>
          <a:ea typeface="MathSoftText"/>
          <a:cs typeface="MathSoftText"/>
        </a:defRPr>
      </a:pPr>
      <a:endParaRPr lang="en-US"/>
    </a:p>
  </c:txPr>
  <c:printSettings>
    <c:headerFooter alignWithMargins="0"/>
    <c:pageMargins b="1" l="0.75" r="0.75" t="1" header="0.5" footer="0.5"/>
    <c:pageSetup orientation="landscape" horizontalDpi="355" verticalDpi="355"/>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0" i="0" u="none" strike="noStrike" baseline="0">
                <a:solidFill>
                  <a:srgbClr val="000000"/>
                </a:solidFill>
                <a:latin typeface="MathSoftText"/>
                <a:ea typeface="MathSoftText"/>
                <a:cs typeface="MathSoftText"/>
              </a:defRPr>
            </a:pPr>
            <a:r>
              <a:rPr lang="en-GB"/>
              <a:t>Lens 17 Rogowski and Bdot vs Pot</a:t>
            </a:r>
          </a:p>
        </c:rich>
      </c:tx>
      <c:layout>
        <c:manualLayout>
          <c:xMode val="edge"/>
          <c:yMode val="edge"/>
          <c:x val="0.24365531510444405"/>
          <c:y val="3.9268421133364352E-2"/>
        </c:manualLayout>
      </c:layout>
      <c:overlay val="0"/>
      <c:spPr>
        <a:noFill/>
        <a:ln w="25400">
          <a:noFill/>
        </a:ln>
      </c:spPr>
    </c:title>
    <c:autoTitleDeleted val="0"/>
    <c:plotArea>
      <c:layout>
        <c:manualLayout>
          <c:layoutTarget val="inner"/>
          <c:xMode val="edge"/>
          <c:yMode val="edge"/>
          <c:x val="0.18087296397323763"/>
          <c:y val="0.28011473741799903"/>
          <c:w val="0.39463192139615477"/>
          <c:h val="0.42933473772478359"/>
        </c:manualLayout>
      </c:layout>
      <c:scatterChart>
        <c:scatterStyle val="lineMarker"/>
        <c:varyColors val="0"/>
        <c:ser>
          <c:idx val="1"/>
          <c:order val="1"/>
          <c:tx>
            <c:v>bdot vs pot</c:v>
          </c:tx>
          <c:spPr>
            <a:ln w="19050">
              <a:noFill/>
            </a:ln>
          </c:spPr>
          <c:marker>
            <c:symbol val="square"/>
            <c:size val="5"/>
            <c:spPr>
              <a:solidFill>
                <a:srgbClr val="339966"/>
              </a:solidFill>
              <a:ln>
                <a:solidFill>
                  <a:srgbClr val="339966"/>
                </a:solidFill>
                <a:prstDash val="solid"/>
              </a:ln>
            </c:spPr>
          </c:marker>
          <c:trendline>
            <c:spPr>
              <a:ln w="12700">
                <a:solidFill>
                  <a:srgbClr val="339966"/>
                </a:solidFill>
                <a:prstDash val="solid"/>
              </a:ln>
            </c:spPr>
            <c:trendlineType val="linear"/>
            <c:dispRSqr val="1"/>
            <c:dispEq val="1"/>
            <c:trendlineLbl>
              <c:layout>
                <c:manualLayout>
                  <c:xMode val="edge"/>
                  <c:yMode val="edge"/>
                  <c:x val="0.67117322995027839"/>
                  <c:y val="0.62829473813382963"/>
                </c:manualLayout>
              </c:layout>
              <c:numFmt formatCode="General" sourceLinked="0"/>
              <c:spPr>
                <a:noFill/>
                <a:ln w="25400">
                  <a:noFill/>
                </a:ln>
              </c:spPr>
              <c:txPr>
                <a:bodyPr/>
                <a:lstStyle/>
                <a:p>
                  <a:pPr>
                    <a:defRPr sz="900" b="0" i="0" u="none" strike="noStrike" baseline="0">
                      <a:solidFill>
                        <a:srgbClr val="339966"/>
                      </a:solidFill>
                      <a:latin typeface="MathSoftText"/>
                      <a:ea typeface="MathSoftText"/>
                      <a:cs typeface="MathSoftText"/>
                    </a:defRPr>
                  </a:pPr>
                  <a:endParaRPr lang="en-US"/>
                </a:p>
              </c:txPr>
            </c:trendlineLbl>
          </c:trendline>
          <c:xVal>
            <c:numRef>
              <c:f>'Lens 17'!$A$7:$A$30</c:f>
              <c:numCache>
                <c:formatCode>General</c:formatCode>
                <c:ptCount val="24"/>
                <c:pt idx="0">
                  <c:v>2.75</c:v>
                </c:pt>
                <c:pt idx="1">
                  <c:v>2.75</c:v>
                </c:pt>
                <c:pt idx="2">
                  <c:v>3.75</c:v>
                </c:pt>
                <c:pt idx="3">
                  <c:v>3.75</c:v>
                </c:pt>
                <c:pt idx="4">
                  <c:v>4.5</c:v>
                </c:pt>
                <c:pt idx="5">
                  <c:v>4.5</c:v>
                </c:pt>
                <c:pt idx="6">
                  <c:v>3.75</c:v>
                </c:pt>
                <c:pt idx="7">
                  <c:v>3.75</c:v>
                </c:pt>
                <c:pt idx="8">
                  <c:v>1.9</c:v>
                </c:pt>
                <c:pt idx="9">
                  <c:v>1.9</c:v>
                </c:pt>
                <c:pt idx="10">
                  <c:v>2.75</c:v>
                </c:pt>
                <c:pt idx="11">
                  <c:v>2.75</c:v>
                </c:pt>
                <c:pt idx="12">
                  <c:v>3.5</c:v>
                </c:pt>
                <c:pt idx="13">
                  <c:v>3.5</c:v>
                </c:pt>
                <c:pt idx="14">
                  <c:v>3.75</c:v>
                </c:pt>
                <c:pt idx="15">
                  <c:v>3.75</c:v>
                </c:pt>
                <c:pt idx="16">
                  <c:v>4.5</c:v>
                </c:pt>
                <c:pt idx="17">
                  <c:v>4.5</c:v>
                </c:pt>
                <c:pt idx="18">
                  <c:v>5.5</c:v>
                </c:pt>
                <c:pt idx="19">
                  <c:v>5.5</c:v>
                </c:pt>
                <c:pt idx="20">
                  <c:v>6.3</c:v>
                </c:pt>
                <c:pt idx="21">
                  <c:v>6.3</c:v>
                </c:pt>
                <c:pt idx="22">
                  <c:v>6.3</c:v>
                </c:pt>
                <c:pt idx="23">
                  <c:v>6.3</c:v>
                </c:pt>
              </c:numCache>
            </c:numRef>
          </c:xVal>
          <c:yVal>
            <c:numRef>
              <c:f>'Lens 17'!$D$7:$D$30</c:f>
              <c:numCache>
                <c:formatCode>0.00</c:formatCode>
                <c:ptCount val="24"/>
                <c:pt idx="0">
                  <c:v>4.0199999999999996</c:v>
                </c:pt>
                <c:pt idx="1">
                  <c:v>3.99</c:v>
                </c:pt>
                <c:pt idx="2">
                  <c:v>4.4400000000000004</c:v>
                </c:pt>
                <c:pt idx="3">
                  <c:v>4.42</c:v>
                </c:pt>
                <c:pt idx="4">
                  <c:v>4.75</c:v>
                </c:pt>
                <c:pt idx="5">
                  <c:v>4.75</c:v>
                </c:pt>
                <c:pt idx="6">
                  <c:v>4.4400000000000004</c:v>
                </c:pt>
                <c:pt idx="7" formatCode="General">
                  <c:v>4.42</c:v>
                </c:pt>
                <c:pt idx="8" formatCode="General">
                  <c:v>4.2</c:v>
                </c:pt>
                <c:pt idx="9" formatCode="General">
                  <c:v>4.2</c:v>
                </c:pt>
                <c:pt idx="10" formatCode="General">
                  <c:v>4.57</c:v>
                </c:pt>
                <c:pt idx="11" formatCode="General">
                  <c:v>4.57</c:v>
                </c:pt>
                <c:pt idx="12" formatCode="General">
                  <c:v>5.04</c:v>
                </c:pt>
                <c:pt idx="13" formatCode="General">
                  <c:v>5.04</c:v>
                </c:pt>
                <c:pt idx="14" formatCode="General">
                  <c:v>4.57</c:v>
                </c:pt>
                <c:pt idx="15" formatCode="General">
                  <c:v>4.57</c:v>
                </c:pt>
                <c:pt idx="16" formatCode="General">
                  <c:v>5.0999999999999996</c:v>
                </c:pt>
                <c:pt idx="17" formatCode="General">
                  <c:v>5.0999999999999996</c:v>
                </c:pt>
                <c:pt idx="18" formatCode="General">
                  <c:v>5.34</c:v>
                </c:pt>
                <c:pt idx="19" formatCode="General">
                  <c:v>5.34</c:v>
                </c:pt>
                <c:pt idx="20" formatCode="General">
                  <c:v>5.72</c:v>
                </c:pt>
                <c:pt idx="21" formatCode="General">
                  <c:v>5.72</c:v>
                </c:pt>
                <c:pt idx="22" formatCode="General">
                  <c:v>5.72</c:v>
                </c:pt>
                <c:pt idx="23" formatCode="General">
                  <c:v>5.72</c:v>
                </c:pt>
              </c:numCache>
            </c:numRef>
          </c:yVal>
          <c:smooth val="0"/>
          <c:extLst>
            <c:ext xmlns:c16="http://schemas.microsoft.com/office/drawing/2014/chart" uri="{C3380CC4-5D6E-409C-BE32-E72D297353CC}">
              <c16:uniqueId val="{00000001-C753-43DF-950E-4BC169A1C0B7}"/>
            </c:ext>
          </c:extLst>
        </c:ser>
        <c:dLbls>
          <c:showLegendKey val="0"/>
          <c:showVal val="0"/>
          <c:showCatName val="0"/>
          <c:showSerName val="0"/>
          <c:showPercent val="0"/>
          <c:showBubbleSize val="0"/>
        </c:dLbls>
        <c:axId val="1062908879"/>
        <c:axId val="1"/>
      </c:scatterChart>
      <c:scatterChart>
        <c:scatterStyle val="lineMarker"/>
        <c:varyColors val="0"/>
        <c:ser>
          <c:idx val="0"/>
          <c:order val="0"/>
          <c:tx>
            <c:v>rog vs pot</c:v>
          </c:tx>
          <c:spPr>
            <a:ln w="19050">
              <a:noFill/>
            </a:ln>
          </c:spPr>
          <c:marker>
            <c:symbol val="diamond"/>
            <c:size val="5"/>
            <c:spPr>
              <a:solidFill>
                <a:srgbClr val="FF0000"/>
              </a:solidFill>
              <a:ln>
                <a:solidFill>
                  <a:srgbClr val="FF0000"/>
                </a:solidFill>
                <a:prstDash val="solid"/>
              </a:ln>
            </c:spPr>
          </c:marker>
          <c:trendline>
            <c:spPr>
              <a:ln w="12700">
                <a:solidFill>
                  <a:srgbClr val="FF0000"/>
                </a:solidFill>
                <a:prstDash val="solid"/>
              </a:ln>
            </c:spPr>
            <c:trendlineType val="linear"/>
            <c:dispRSqr val="1"/>
            <c:dispEq val="1"/>
            <c:trendlineLbl>
              <c:layout>
                <c:manualLayout>
                  <c:xMode val="edge"/>
                  <c:yMode val="edge"/>
                  <c:x val="0.68014213725473649"/>
                  <c:y val="0.80369368586285705"/>
                </c:manualLayout>
              </c:layout>
              <c:numFmt formatCode="General" sourceLinked="0"/>
              <c:spPr>
                <a:noFill/>
                <a:ln w="25400">
                  <a:noFill/>
                </a:ln>
              </c:spPr>
              <c:txPr>
                <a:bodyPr/>
                <a:lstStyle/>
                <a:p>
                  <a:pPr>
                    <a:defRPr sz="900" b="0" i="0" u="none" strike="noStrike" baseline="0">
                      <a:solidFill>
                        <a:srgbClr val="FF0000"/>
                      </a:solidFill>
                      <a:latin typeface="MathSoftText"/>
                      <a:ea typeface="MathSoftText"/>
                      <a:cs typeface="MathSoftText"/>
                    </a:defRPr>
                  </a:pPr>
                  <a:endParaRPr lang="en-US"/>
                </a:p>
              </c:txPr>
            </c:trendlineLbl>
          </c:trendline>
          <c:xVal>
            <c:numRef>
              <c:f>'Lens 17'!$A$7:$A$30</c:f>
              <c:numCache>
                <c:formatCode>General</c:formatCode>
                <c:ptCount val="24"/>
                <c:pt idx="0">
                  <c:v>2.75</c:v>
                </c:pt>
                <c:pt idx="1">
                  <c:v>2.75</c:v>
                </c:pt>
                <c:pt idx="2">
                  <c:v>3.75</c:v>
                </c:pt>
                <c:pt idx="3">
                  <c:v>3.75</c:v>
                </c:pt>
                <c:pt idx="4">
                  <c:v>4.5</c:v>
                </c:pt>
                <c:pt idx="5">
                  <c:v>4.5</c:v>
                </c:pt>
                <c:pt idx="6">
                  <c:v>3.75</c:v>
                </c:pt>
                <c:pt idx="7">
                  <c:v>3.75</c:v>
                </c:pt>
                <c:pt idx="8">
                  <c:v>1.9</c:v>
                </c:pt>
                <c:pt idx="9">
                  <c:v>1.9</c:v>
                </c:pt>
                <c:pt idx="10">
                  <c:v>2.75</c:v>
                </c:pt>
                <c:pt idx="11">
                  <c:v>2.75</c:v>
                </c:pt>
                <c:pt idx="12">
                  <c:v>3.5</c:v>
                </c:pt>
                <c:pt idx="13">
                  <c:v>3.5</c:v>
                </c:pt>
                <c:pt idx="14">
                  <c:v>3.75</c:v>
                </c:pt>
                <c:pt idx="15">
                  <c:v>3.75</c:v>
                </c:pt>
                <c:pt idx="16">
                  <c:v>4.5</c:v>
                </c:pt>
                <c:pt idx="17">
                  <c:v>4.5</c:v>
                </c:pt>
                <c:pt idx="18">
                  <c:v>5.5</c:v>
                </c:pt>
                <c:pt idx="19">
                  <c:v>5.5</c:v>
                </c:pt>
                <c:pt idx="20">
                  <c:v>6.3</c:v>
                </c:pt>
                <c:pt idx="21">
                  <c:v>6.3</c:v>
                </c:pt>
                <c:pt idx="22">
                  <c:v>6.3</c:v>
                </c:pt>
                <c:pt idx="23">
                  <c:v>6.3</c:v>
                </c:pt>
              </c:numCache>
            </c:numRef>
          </c:xVal>
          <c:yVal>
            <c:numRef>
              <c:f>'Lens 17'!$C$7:$C$30</c:f>
              <c:numCache>
                <c:formatCode>0.00</c:formatCode>
                <c:ptCount val="24"/>
                <c:pt idx="0">
                  <c:v>0.48</c:v>
                </c:pt>
                <c:pt idx="1">
                  <c:v>0.48399999999999999</c:v>
                </c:pt>
                <c:pt idx="2">
                  <c:v>0.54400000000000004</c:v>
                </c:pt>
                <c:pt idx="3">
                  <c:v>0.54400000000000004</c:v>
                </c:pt>
                <c:pt idx="4">
                  <c:v>0.57799999999999996</c:v>
                </c:pt>
                <c:pt idx="5">
                  <c:v>0.57799999999999996</c:v>
                </c:pt>
                <c:pt idx="6">
                  <c:v>0.54400000000000004</c:v>
                </c:pt>
                <c:pt idx="7">
                  <c:v>0.53600000000000003</c:v>
                </c:pt>
                <c:pt idx="8">
                  <c:v>0.52</c:v>
                </c:pt>
                <c:pt idx="9">
                  <c:v>0.52</c:v>
                </c:pt>
                <c:pt idx="10">
                  <c:v>0.56399999999999995</c:v>
                </c:pt>
                <c:pt idx="11">
                  <c:v>0.56399999999999995</c:v>
                </c:pt>
                <c:pt idx="12">
                  <c:v>0.61</c:v>
                </c:pt>
                <c:pt idx="13">
                  <c:v>0.61</c:v>
                </c:pt>
                <c:pt idx="14">
                  <c:v>0.54600000000000004</c:v>
                </c:pt>
                <c:pt idx="15">
                  <c:v>0.54600000000000004</c:v>
                </c:pt>
                <c:pt idx="16">
                  <c:v>0.6</c:v>
                </c:pt>
                <c:pt idx="17">
                  <c:v>0.6</c:v>
                </c:pt>
                <c:pt idx="18">
                  <c:v>0.63500000000000001</c:v>
                </c:pt>
                <c:pt idx="19">
                  <c:v>0.63500000000000001</c:v>
                </c:pt>
                <c:pt idx="20">
                  <c:v>0.67900000000000005</c:v>
                </c:pt>
                <c:pt idx="21">
                  <c:v>0.67900000000000005</c:v>
                </c:pt>
                <c:pt idx="22">
                  <c:v>0.67900000000000005</c:v>
                </c:pt>
                <c:pt idx="23">
                  <c:v>0.67900000000000005</c:v>
                </c:pt>
              </c:numCache>
            </c:numRef>
          </c:yVal>
          <c:smooth val="0"/>
          <c:extLst>
            <c:ext xmlns:c16="http://schemas.microsoft.com/office/drawing/2014/chart" uri="{C3380CC4-5D6E-409C-BE32-E72D297353CC}">
              <c16:uniqueId val="{00000003-C753-43DF-950E-4BC169A1C0B7}"/>
            </c:ext>
          </c:extLst>
        </c:ser>
        <c:dLbls>
          <c:showLegendKey val="0"/>
          <c:showVal val="0"/>
          <c:showCatName val="0"/>
          <c:showSerName val="0"/>
          <c:showPercent val="0"/>
          <c:showBubbleSize val="0"/>
        </c:dLbls>
        <c:axId val="3"/>
        <c:axId val="4"/>
      </c:scatterChart>
      <c:valAx>
        <c:axId val="1062908879"/>
        <c:scaling>
          <c:orientation val="minMax"/>
        </c:scaling>
        <c:delete val="0"/>
        <c:axPos val="b"/>
        <c:title>
          <c:tx>
            <c:rich>
              <a:bodyPr/>
              <a:lstStyle/>
              <a:p>
                <a:pPr>
                  <a:defRPr sz="900" b="0" i="0" u="none" strike="noStrike" baseline="0">
                    <a:solidFill>
                      <a:srgbClr val="000000"/>
                    </a:solidFill>
                    <a:latin typeface="MathSoftText"/>
                    <a:ea typeface="MathSoftText"/>
                    <a:cs typeface="MathSoftText"/>
                  </a:defRPr>
                </a:pPr>
                <a:r>
                  <a:rPr lang="en-GB"/>
                  <a:t>pot setting</a:t>
                </a:r>
              </a:p>
            </c:rich>
          </c:tx>
          <c:layout>
            <c:manualLayout>
              <c:xMode val="edge"/>
              <c:yMode val="edge"/>
              <c:x val="0.31241693777195589"/>
              <c:y val="0.8220189490584271"/>
            </c:manualLayout>
          </c:layout>
          <c:overlay val="0"/>
          <c:spPr>
            <a:noFill/>
            <a:ln w="25400">
              <a:noFill/>
            </a:ln>
          </c:spPr>
        </c:title>
        <c:numFmt formatCode="General" sourceLinked="1"/>
        <c:majorTickMark val="out"/>
        <c:minorTickMark val="none"/>
        <c:tickLblPos val="nextTo"/>
        <c:spPr>
          <a:ln w="3175">
            <a:solidFill>
              <a:srgbClr val="99CC00"/>
            </a:solidFill>
            <a:prstDash val="solid"/>
          </a:ln>
        </c:spPr>
        <c:txPr>
          <a:bodyPr rot="0" vert="horz"/>
          <a:lstStyle/>
          <a:p>
            <a:pPr>
              <a:defRPr sz="900" b="0" i="0" u="none" strike="noStrike" baseline="0">
                <a:solidFill>
                  <a:srgbClr val="000000"/>
                </a:solidFill>
                <a:latin typeface="MathSoftText"/>
                <a:ea typeface="MathSoftText"/>
                <a:cs typeface="MathSoftText"/>
              </a:defRPr>
            </a:pPr>
            <a:endParaRPr lang="en-US"/>
          </a:p>
        </c:txPr>
        <c:crossAx val="1"/>
        <c:crosses val="autoZero"/>
        <c:crossBetween val="midCat"/>
      </c:valAx>
      <c:valAx>
        <c:axId val="1"/>
        <c:scaling>
          <c:orientation val="minMax"/>
        </c:scaling>
        <c:delete val="0"/>
        <c:axPos val="l"/>
        <c:majorGridlines>
          <c:spPr>
            <a:ln w="3175">
              <a:solidFill>
                <a:srgbClr val="99CC00"/>
              </a:solidFill>
              <a:prstDash val="solid"/>
            </a:ln>
          </c:spPr>
        </c:majorGridlines>
        <c:title>
          <c:tx>
            <c:rich>
              <a:bodyPr/>
              <a:lstStyle/>
              <a:p>
                <a:pPr>
                  <a:defRPr sz="900" b="0" i="0" u="none" strike="noStrike" baseline="0">
                    <a:solidFill>
                      <a:srgbClr val="000000"/>
                    </a:solidFill>
                    <a:latin typeface="MathSoftText"/>
                    <a:ea typeface="MathSoftText"/>
                    <a:cs typeface="MathSoftText"/>
                  </a:defRPr>
                </a:pPr>
                <a:r>
                  <a:rPr lang="en-GB"/>
                  <a:t>bdot (volts)</a:t>
                </a:r>
              </a:p>
            </c:rich>
          </c:tx>
          <c:layout>
            <c:manualLayout>
              <c:xMode val="edge"/>
              <c:yMode val="edge"/>
              <c:x val="5.5308261710824723E-2"/>
              <c:y val="0.37174105339584923"/>
            </c:manualLayout>
          </c:layout>
          <c:overlay val="0"/>
          <c:spPr>
            <a:noFill/>
            <a:ln w="25400">
              <a:noFill/>
            </a:ln>
          </c:spPr>
        </c:title>
        <c:numFmt formatCode="0.00" sourceLinked="1"/>
        <c:majorTickMark val="out"/>
        <c:minorTickMark val="none"/>
        <c:tickLblPos val="nextTo"/>
        <c:spPr>
          <a:ln w="3175">
            <a:solidFill>
              <a:srgbClr val="99CC00"/>
            </a:solidFill>
            <a:prstDash val="solid"/>
          </a:ln>
        </c:spPr>
        <c:txPr>
          <a:bodyPr rot="0" vert="horz"/>
          <a:lstStyle/>
          <a:p>
            <a:pPr>
              <a:defRPr sz="900" b="0" i="0" u="none" strike="noStrike" baseline="0">
                <a:solidFill>
                  <a:srgbClr val="000000"/>
                </a:solidFill>
                <a:latin typeface="MathSoftText"/>
                <a:ea typeface="MathSoftText"/>
                <a:cs typeface="MathSoftText"/>
              </a:defRPr>
            </a:pPr>
            <a:endParaRPr lang="en-US"/>
          </a:p>
        </c:txPr>
        <c:crossAx val="1062908879"/>
        <c:crosses val="autoZero"/>
        <c:crossBetween val="midCat"/>
      </c:valAx>
      <c:valAx>
        <c:axId val="3"/>
        <c:scaling>
          <c:orientation val="minMax"/>
        </c:scaling>
        <c:delete val="1"/>
        <c:axPos val="b"/>
        <c:numFmt formatCode="General" sourceLinked="1"/>
        <c:majorTickMark val="out"/>
        <c:minorTickMark val="none"/>
        <c:tickLblPos val="nextTo"/>
        <c:crossAx val="4"/>
        <c:crosses val="autoZero"/>
        <c:crossBetween val="midCat"/>
      </c:valAx>
      <c:valAx>
        <c:axId val="4"/>
        <c:scaling>
          <c:orientation val="minMax"/>
        </c:scaling>
        <c:delete val="0"/>
        <c:axPos val="r"/>
        <c:numFmt formatCode="0.00" sourceLinked="1"/>
        <c:majorTickMark val="out"/>
        <c:minorTickMark val="none"/>
        <c:tickLblPos val="nextTo"/>
        <c:spPr>
          <a:ln w="3175">
            <a:solidFill>
              <a:srgbClr val="99CC00"/>
            </a:solidFill>
            <a:prstDash val="solid"/>
          </a:ln>
        </c:spPr>
        <c:txPr>
          <a:bodyPr rot="0" vert="horz"/>
          <a:lstStyle/>
          <a:p>
            <a:pPr>
              <a:defRPr sz="900" b="0" i="0" u="none" strike="noStrike" baseline="0">
                <a:solidFill>
                  <a:srgbClr val="000000"/>
                </a:solidFill>
                <a:latin typeface="MathSoftText"/>
                <a:ea typeface="MathSoftText"/>
                <a:cs typeface="MathSoftText"/>
              </a:defRPr>
            </a:pPr>
            <a:endParaRPr lang="en-US"/>
          </a:p>
        </c:txPr>
        <c:crossAx val="3"/>
        <c:crosses val="max"/>
        <c:crossBetween val="midCat"/>
      </c:valAx>
      <c:spPr>
        <a:noFill/>
        <a:ln w="12700">
          <a:solidFill>
            <a:srgbClr val="99CC00"/>
          </a:solidFill>
          <a:prstDash val="solid"/>
        </a:ln>
      </c:spPr>
    </c:plotArea>
    <c:legend>
      <c:legendPos val="r"/>
      <c:layout>
        <c:manualLayout>
          <c:xMode val="edge"/>
          <c:yMode val="edge"/>
          <c:x val="0.66668877629804935"/>
          <c:y val="0.20943157937794321"/>
          <c:w val="0.31391175565603224"/>
          <c:h val="0.28535052690244761"/>
        </c:manualLayout>
      </c:layout>
      <c:overlay val="0"/>
      <c:spPr>
        <a:solidFill>
          <a:srgbClr val="FFFFFF"/>
        </a:solidFill>
        <a:ln w="3175">
          <a:solidFill>
            <a:srgbClr val="000000"/>
          </a:solidFill>
          <a:prstDash val="solid"/>
        </a:ln>
      </c:spPr>
      <c:txPr>
        <a:bodyPr/>
        <a:lstStyle/>
        <a:p>
          <a:pPr>
            <a:defRPr sz="825" b="0" i="0" u="none" strike="noStrike" baseline="0">
              <a:solidFill>
                <a:srgbClr val="000000"/>
              </a:solidFill>
              <a:latin typeface="MathSoftText"/>
              <a:ea typeface="MathSoftText"/>
              <a:cs typeface="MathSoftText"/>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900" b="0" i="0" u="none" strike="noStrike" baseline="0">
          <a:solidFill>
            <a:srgbClr val="000000"/>
          </a:solidFill>
          <a:latin typeface="MathSoftText"/>
          <a:ea typeface="MathSoftText"/>
          <a:cs typeface="MathSoftText"/>
        </a:defRPr>
      </a:pPr>
      <a:endParaRPr lang="en-US"/>
    </a:p>
  </c:txPr>
  <c:printSettings>
    <c:headerFooter alignWithMargins="0"/>
    <c:pageMargins b="1" l="0.75" r="0.75" t="1" header="0.5" footer="0.5"/>
    <c:pageSetup orientation="landscape" horizontalDpi="355" verticalDpi="355"/>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0" i="0" u="none" strike="noStrike" baseline="0">
                <a:solidFill>
                  <a:srgbClr val="000000"/>
                </a:solidFill>
                <a:latin typeface="MathSoftText"/>
                <a:ea typeface="MathSoftText"/>
                <a:cs typeface="MathSoftText"/>
              </a:defRPr>
            </a:pPr>
            <a:r>
              <a:rPr lang="en-GB"/>
              <a:t>Lens 17 Rogowski vs Bdot</a:t>
            </a:r>
          </a:p>
        </c:rich>
      </c:tx>
      <c:layout>
        <c:manualLayout>
          <c:xMode val="edge"/>
          <c:yMode val="edge"/>
          <c:x val="0.3094273020038032"/>
          <c:y val="4.1900827207167333E-2"/>
        </c:manualLayout>
      </c:layout>
      <c:overlay val="0"/>
      <c:spPr>
        <a:noFill/>
        <a:ln w="25400">
          <a:noFill/>
        </a:ln>
      </c:spPr>
    </c:title>
    <c:autoTitleDeleted val="0"/>
    <c:plotArea>
      <c:layout>
        <c:manualLayout>
          <c:layoutTarget val="inner"/>
          <c:xMode val="edge"/>
          <c:yMode val="edge"/>
          <c:x val="0.15845069571209244"/>
          <c:y val="0.24302479780157052"/>
          <c:w val="0.78178975337192791"/>
          <c:h val="0.4916363725640967"/>
        </c:manualLayout>
      </c:layout>
      <c:scatterChart>
        <c:scatterStyle val="lineMarker"/>
        <c:varyColors val="0"/>
        <c:ser>
          <c:idx val="0"/>
          <c:order val="0"/>
          <c:spPr>
            <a:ln w="19050">
              <a:noFill/>
            </a:ln>
          </c:spPr>
          <c:marker>
            <c:symbol val="diamond"/>
            <c:size val="5"/>
            <c:spPr>
              <a:solidFill>
                <a:srgbClr val="FF0000"/>
              </a:solidFill>
              <a:ln>
                <a:solidFill>
                  <a:srgbClr val="FF0000"/>
                </a:solidFill>
                <a:prstDash val="solid"/>
              </a:ln>
            </c:spPr>
          </c:marker>
          <c:trendline>
            <c:spPr>
              <a:ln w="3175">
                <a:solidFill>
                  <a:srgbClr val="FF0000"/>
                </a:solidFill>
                <a:prstDash val="solid"/>
              </a:ln>
            </c:spPr>
            <c:trendlineType val="linear"/>
            <c:dispRSqr val="1"/>
            <c:dispEq val="1"/>
            <c:trendlineLbl>
              <c:layout>
                <c:manualLayout>
                  <c:xMode val="edge"/>
                  <c:yMode val="edge"/>
                  <c:x val="0.72797630954517945"/>
                  <c:y val="2.5140496324300401E-2"/>
                </c:manualLayout>
              </c:layout>
              <c:numFmt formatCode="General" sourceLinked="0"/>
              <c:spPr>
                <a:noFill/>
                <a:ln w="25400">
                  <a:noFill/>
                </a:ln>
              </c:spPr>
              <c:txPr>
                <a:bodyPr/>
                <a:lstStyle/>
                <a:p>
                  <a:pPr>
                    <a:defRPr sz="875" b="0" i="0" u="none" strike="noStrike" baseline="0">
                      <a:solidFill>
                        <a:srgbClr val="FF0000"/>
                      </a:solidFill>
                      <a:latin typeface="MathSoftText"/>
                      <a:ea typeface="MathSoftText"/>
                      <a:cs typeface="MathSoftText"/>
                    </a:defRPr>
                  </a:pPr>
                  <a:endParaRPr lang="en-US"/>
                </a:p>
              </c:txPr>
            </c:trendlineLbl>
          </c:trendline>
          <c:xVal>
            <c:numRef>
              <c:f>'Lens 17'!$D$7:$D$30</c:f>
              <c:numCache>
                <c:formatCode>0.00</c:formatCode>
                <c:ptCount val="24"/>
                <c:pt idx="0">
                  <c:v>4.0199999999999996</c:v>
                </c:pt>
                <c:pt idx="1">
                  <c:v>3.99</c:v>
                </c:pt>
                <c:pt idx="2">
                  <c:v>4.4400000000000004</c:v>
                </c:pt>
                <c:pt idx="3">
                  <c:v>4.42</c:v>
                </c:pt>
                <c:pt idx="4">
                  <c:v>4.75</c:v>
                </c:pt>
                <c:pt idx="5">
                  <c:v>4.75</c:v>
                </c:pt>
                <c:pt idx="6">
                  <c:v>4.4400000000000004</c:v>
                </c:pt>
                <c:pt idx="7" formatCode="General">
                  <c:v>4.42</c:v>
                </c:pt>
                <c:pt idx="8" formatCode="General">
                  <c:v>4.2</c:v>
                </c:pt>
                <c:pt idx="9" formatCode="General">
                  <c:v>4.2</c:v>
                </c:pt>
                <c:pt idx="10" formatCode="General">
                  <c:v>4.57</c:v>
                </c:pt>
                <c:pt idx="11" formatCode="General">
                  <c:v>4.57</c:v>
                </c:pt>
                <c:pt idx="12" formatCode="General">
                  <c:v>5.04</c:v>
                </c:pt>
                <c:pt idx="13" formatCode="General">
                  <c:v>5.04</c:v>
                </c:pt>
                <c:pt idx="14" formatCode="General">
                  <c:v>4.57</c:v>
                </c:pt>
                <c:pt idx="15" formatCode="General">
                  <c:v>4.57</c:v>
                </c:pt>
                <c:pt idx="16" formatCode="General">
                  <c:v>5.0999999999999996</c:v>
                </c:pt>
                <c:pt idx="17" formatCode="General">
                  <c:v>5.0999999999999996</c:v>
                </c:pt>
                <c:pt idx="18" formatCode="General">
                  <c:v>5.34</c:v>
                </c:pt>
                <c:pt idx="19" formatCode="General">
                  <c:v>5.34</c:v>
                </c:pt>
                <c:pt idx="20" formatCode="General">
                  <c:v>5.72</c:v>
                </c:pt>
                <c:pt idx="21" formatCode="General">
                  <c:v>5.72</c:v>
                </c:pt>
                <c:pt idx="22" formatCode="General">
                  <c:v>5.72</c:v>
                </c:pt>
                <c:pt idx="23" formatCode="General">
                  <c:v>5.72</c:v>
                </c:pt>
              </c:numCache>
            </c:numRef>
          </c:xVal>
          <c:yVal>
            <c:numRef>
              <c:f>'Lens 17'!$C$7:$C$30</c:f>
              <c:numCache>
                <c:formatCode>0.00</c:formatCode>
                <c:ptCount val="24"/>
                <c:pt idx="0">
                  <c:v>0.48</c:v>
                </c:pt>
                <c:pt idx="1">
                  <c:v>0.48399999999999999</c:v>
                </c:pt>
                <c:pt idx="2">
                  <c:v>0.54400000000000004</c:v>
                </c:pt>
                <c:pt idx="3">
                  <c:v>0.54400000000000004</c:v>
                </c:pt>
                <c:pt idx="4">
                  <c:v>0.57799999999999996</c:v>
                </c:pt>
                <c:pt idx="5">
                  <c:v>0.57799999999999996</c:v>
                </c:pt>
                <c:pt idx="6">
                  <c:v>0.54400000000000004</c:v>
                </c:pt>
                <c:pt idx="7">
                  <c:v>0.53600000000000003</c:v>
                </c:pt>
                <c:pt idx="8">
                  <c:v>0.52</c:v>
                </c:pt>
                <c:pt idx="9">
                  <c:v>0.52</c:v>
                </c:pt>
                <c:pt idx="10">
                  <c:v>0.56399999999999995</c:v>
                </c:pt>
                <c:pt idx="11">
                  <c:v>0.56399999999999995</c:v>
                </c:pt>
                <c:pt idx="12">
                  <c:v>0.61</c:v>
                </c:pt>
                <c:pt idx="13">
                  <c:v>0.61</c:v>
                </c:pt>
                <c:pt idx="14">
                  <c:v>0.54600000000000004</c:v>
                </c:pt>
                <c:pt idx="15">
                  <c:v>0.54600000000000004</c:v>
                </c:pt>
                <c:pt idx="16">
                  <c:v>0.6</c:v>
                </c:pt>
                <c:pt idx="17">
                  <c:v>0.6</c:v>
                </c:pt>
                <c:pt idx="18">
                  <c:v>0.63500000000000001</c:v>
                </c:pt>
                <c:pt idx="19">
                  <c:v>0.63500000000000001</c:v>
                </c:pt>
                <c:pt idx="20">
                  <c:v>0.67900000000000005</c:v>
                </c:pt>
                <c:pt idx="21">
                  <c:v>0.67900000000000005</c:v>
                </c:pt>
                <c:pt idx="22">
                  <c:v>0.67900000000000005</c:v>
                </c:pt>
                <c:pt idx="23">
                  <c:v>0.67900000000000005</c:v>
                </c:pt>
              </c:numCache>
            </c:numRef>
          </c:yVal>
          <c:smooth val="0"/>
          <c:extLst>
            <c:ext xmlns:c16="http://schemas.microsoft.com/office/drawing/2014/chart" uri="{C3380CC4-5D6E-409C-BE32-E72D297353CC}">
              <c16:uniqueId val="{00000001-97E6-4B56-9051-012D1E4E3594}"/>
            </c:ext>
          </c:extLst>
        </c:ser>
        <c:dLbls>
          <c:showLegendKey val="0"/>
          <c:showVal val="0"/>
          <c:showCatName val="0"/>
          <c:showSerName val="0"/>
          <c:showPercent val="0"/>
          <c:showBubbleSize val="0"/>
        </c:dLbls>
        <c:axId val="944325071"/>
        <c:axId val="1"/>
      </c:scatterChart>
      <c:valAx>
        <c:axId val="944325071"/>
        <c:scaling>
          <c:orientation val="minMax"/>
          <c:min val="4"/>
        </c:scaling>
        <c:delete val="0"/>
        <c:axPos val="b"/>
        <c:title>
          <c:tx>
            <c:rich>
              <a:bodyPr/>
              <a:lstStyle/>
              <a:p>
                <a:pPr>
                  <a:defRPr sz="875" b="0" i="0" u="none" strike="noStrike" baseline="0">
                    <a:solidFill>
                      <a:srgbClr val="000000"/>
                    </a:solidFill>
                    <a:latin typeface="MathSoftText"/>
                    <a:ea typeface="MathSoftText"/>
                    <a:cs typeface="MathSoftText"/>
                  </a:defRPr>
                </a:pPr>
                <a:r>
                  <a:rPr lang="en-GB"/>
                  <a:t>Bdot (volts)</a:t>
                </a:r>
              </a:p>
            </c:rich>
          </c:tx>
          <c:layout>
            <c:manualLayout>
              <c:xMode val="edge"/>
              <c:yMode val="edge"/>
              <c:x val="0.47684690502035371"/>
              <c:y val="0.85477687502621358"/>
            </c:manualLayout>
          </c:layout>
          <c:overlay val="0"/>
          <c:spPr>
            <a:noFill/>
            <a:ln w="25400">
              <a:noFill/>
            </a:ln>
          </c:spPr>
        </c:title>
        <c:numFmt formatCode="0.00" sourceLinked="1"/>
        <c:majorTickMark val="out"/>
        <c:minorTickMark val="none"/>
        <c:tickLblPos val="nextTo"/>
        <c:spPr>
          <a:ln w="3175">
            <a:solidFill>
              <a:srgbClr val="99CC00"/>
            </a:solidFill>
            <a:prstDash val="solid"/>
          </a:ln>
        </c:spPr>
        <c:txPr>
          <a:bodyPr rot="0" vert="horz"/>
          <a:lstStyle/>
          <a:p>
            <a:pPr>
              <a:defRPr sz="875" b="0" i="0" u="none" strike="noStrike" baseline="0">
                <a:solidFill>
                  <a:srgbClr val="000000"/>
                </a:solidFill>
                <a:latin typeface="MathSoftText"/>
                <a:ea typeface="MathSoftText"/>
                <a:cs typeface="MathSoftText"/>
              </a:defRPr>
            </a:pPr>
            <a:endParaRPr lang="en-US"/>
          </a:p>
        </c:txPr>
        <c:crossAx val="1"/>
        <c:crosses val="autoZero"/>
        <c:crossBetween val="midCat"/>
        <c:minorUnit val="0.1"/>
      </c:valAx>
      <c:valAx>
        <c:axId val="1"/>
        <c:scaling>
          <c:orientation val="minMax"/>
        </c:scaling>
        <c:delete val="0"/>
        <c:axPos val="l"/>
        <c:majorGridlines>
          <c:spPr>
            <a:ln w="3175">
              <a:solidFill>
                <a:srgbClr val="99CC00"/>
              </a:solidFill>
              <a:prstDash val="solid"/>
            </a:ln>
          </c:spPr>
        </c:majorGridlines>
        <c:title>
          <c:tx>
            <c:rich>
              <a:bodyPr/>
              <a:lstStyle/>
              <a:p>
                <a:pPr>
                  <a:defRPr sz="875" b="0" i="0" u="none" strike="noStrike" baseline="0">
                    <a:solidFill>
                      <a:srgbClr val="000000"/>
                    </a:solidFill>
                    <a:latin typeface="MathSoftText"/>
                    <a:ea typeface="MathSoftText"/>
                    <a:cs typeface="MathSoftText"/>
                  </a:defRPr>
                </a:pPr>
                <a:r>
                  <a:rPr lang="en-GB"/>
                  <a:t>Rogowski (volts)</a:t>
                </a:r>
              </a:p>
            </c:rich>
          </c:tx>
          <c:layout>
            <c:manualLayout>
              <c:xMode val="edge"/>
              <c:yMode val="edge"/>
              <c:x val="3.2885993449679567E-2"/>
              <c:y val="0.29609917893064913"/>
            </c:manualLayout>
          </c:layout>
          <c:overlay val="0"/>
          <c:spPr>
            <a:noFill/>
            <a:ln w="25400">
              <a:noFill/>
            </a:ln>
          </c:spPr>
        </c:title>
        <c:numFmt formatCode="0.00" sourceLinked="1"/>
        <c:majorTickMark val="out"/>
        <c:minorTickMark val="none"/>
        <c:tickLblPos val="nextTo"/>
        <c:spPr>
          <a:ln w="3175">
            <a:solidFill>
              <a:srgbClr val="99CC00"/>
            </a:solidFill>
            <a:prstDash val="solid"/>
          </a:ln>
        </c:spPr>
        <c:txPr>
          <a:bodyPr rot="0" vert="horz"/>
          <a:lstStyle/>
          <a:p>
            <a:pPr>
              <a:defRPr sz="875" b="0" i="0" u="none" strike="noStrike" baseline="0">
                <a:solidFill>
                  <a:srgbClr val="000000"/>
                </a:solidFill>
                <a:latin typeface="MathSoftText"/>
                <a:ea typeface="MathSoftText"/>
                <a:cs typeface="MathSoftText"/>
              </a:defRPr>
            </a:pPr>
            <a:endParaRPr lang="en-US"/>
          </a:p>
        </c:txPr>
        <c:crossAx val="944325071"/>
        <c:crosses val="autoZero"/>
        <c:crossBetween val="midCat"/>
      </c:valAx>
      <c:spPr>
        <a:noFill/>
        <a:ln w="12700">
          <a:solidFill>
            <a:srgbClr val="99CC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75" b="0" i="0" u="none" strike="noStrike" baseline="0">
          <a:solidFill>
            <a:srgbClr val="000000"/>
          </a:solidFill>
          <a:latin typeface="MathSoftText"/>
          <a:ea typeface="MathSoftText"/>
          <a:cs typeface="MathSoftText"/>
        </a:defRPr>
      </a:pPr>
      <a:endParaRPr lang="en-US"/>
    </a:p>
  </c:txPr>
  <c:printSettings>
    <c:headerFooter alignWithMargins="0"/>
    <c:pageMargins b="1" l="0.75" r="0.75" t="1" header="0.5" footer="0.5"/>
    <c:pageSetup orientation="landscape"/>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50" b="0" i="0" u="none" strike="noStrike" baseline="0">
                <a:solidFill>
                  <a:srgbClr val="000000"/>
                </a:solidFill>
                <a:latin typeface="MathSoftText"/>
                <a:ea typeface="MathSoftText"/>
                <a:cs typeface="MathSoftText"/>
              </a:defRPr>
            </a:pPr>
            <a:r>
              <a:rPr lang="en-GB"/>
              <a:t>lens 17 pulse count vs gradient</a:t>
            </a:r>
          </a:p>
        </c:rich>
      </c:tx>
      <c:layout>
        <c:manualLayout>
          <c:xMode val="edge"/>
          <c:yMode val="edge"/>
          <c:x val="0.32124695578331541"/>
          <c:y val="4.2684312850690229E-2"/>
        </c:manualLayout>
      </c:layout>
      <c:overlay val="0"/>
      <c:spPr>
        <a:noFill/>
        <a:ln w="25400">
          <a:noFill/>
        </a:ln>
      </c:spPr>
    </c:title>
    <c:autoTitleDeleted val="0"/>
    <c:plotArea>
      <c:layout>
        <c:manualLayout>
          <c:layoutTarget val="inner"/>
          <c:xMode val="edge"/>
          <c:yMode val="edge"/>
          <c:x val="0.1707044493074521"/>
          <c:y val="0.24086147965746629"/>
          <c:w val="0.80244532469723551"/>
          <c:h val="0.50611399522961265"/>
        </c:manualLayout>
      </c:layout>
      <c:barChart>
        <c:barDir val="col"/>
        <c:grouping val="clustered"/>
        <c:varyColors val="0"/>
        <c:ser>
          <c:idx val="0"/>
          <c:order val="0"/>
          <c:spPr>
            <a:solidFill>
              <a:srgbClr val="9999FF"/>
            </a:solidFill>
            <a:ln w="12700">
              <a:solidFill>
                <a:srgbClr val="000000"/>
              </a:solidFill>
              <a:prstDash val="solid"/>
            </a:ln>
          </c:spPr>
          <c:invertIfNegative val="0"/>
          <c:dLbls>
            <c:dLbl>
              <c:idx val="0"/>
              <c:layout>
                <c:manualLayout>
                  <c:xMode val="edge"/>
                  <c:yMode val="edge"/>
                  <c:x val="0.20968420544852384"/>
                  <c:y val="0.53660279012296286"/>
                </c:manualLayout>
              </c:layout>
              <c:spPr>
                <a:noFill/>
                <a:ln w="25400">
                  <a:noFill/>
                </a:ln>
              </c:spPr>
              <c:txPr>
                <a:bodyPr rot="-5400000" vert="horz"/>
                <a:lstStyle/>
                <a:p>
                  <a:pPr algn="ctr">
                    <a:defRPr sz="800"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E5E-447E-B93A-6EA8521A8472}"/>
                </c:ext>
              </c:extLst>
            </c:dLbl>
            <c:dLbl>
              <c:idx val="1"/>
              <c:layout>
                <c:manualLayout>
                  <c:xMode val="edge"/>
                  <c:yMode val="edge"/>
                  <c:x val="0.32393521482752724"/>
                  <c:y val="0.56099382603764303"/>
                </c:manualLayout>
              </c:layout>
              <c:spPr>
                <a:noFill/>
                <a:ln w="25400">
                  <a:noFill/>
                </a:ln>
              </c:spPr>
              <c:txPr>
                <a:bodyPr rot="-5400000" vert="horz"/>
                <a:lstStyle/>
                <a:p>
                  <a:pPr algn="ctr">
                    <a:defRPr sz="800"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E5E-447E-B93A-6EA8521A8472}"/>
                </c:ext>
              </c:extLst>
            </c:dLbl>
            <c:dLbl>
              <c:idx val="2"/>
              <c:layout>
                <c:manualLayout>
                  <c:xMode val="edge"/>
                  <c:yMode val="edge"/>
                  <c:x val="0.43953035372863652"/>
                  <c:y val="0.53050503114429282"/>
                </c:manualLayout>
              </c:layout>
              <c:spPr>
                <a:noFill/>
                <a:ln w="25400">
                  <a:noFill/>
                </a:ln>
              </c:spPr>
              <c:txPr>
                <a:bodyPr rot="-5400000" vert="horz"/>
                <a:lstStyle/>
                <a:p>
                  <a:pPr algn="ctr">
                    <a:defRPr sz="800"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E5E-447E-B93A-6EA8521A8472}"/>
                </c:ext>
              </c:extLst>
            </c:dLbl>
            <c:dLbl>
              <c:idx val="3"/>
              <c:layout>
                <c:manualLayout>
                  <c:xMode val="edge"/>
                  <c:yMode val="edge"/>
                  <c:x val="0.55378136310763992"/>
                  <c:y val="0.52440727216562277"/>
                </c:manualLayout>
              </c:layout>
              <c:spPr>
                <a:noFill/>
                <a:ln w="25400">
                  <a:noFill/>
                </a:ln>
              </c:spPr>
              <c:txPr>
                <a:bodyPr rot="-5400000" vert="horz"/>
                <a:lstStyle/>
                <a:p>
                  <a:pPr algn="ctr">
                    <a:defRPr sz="800"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E5E-447E-B93A-6EA8521A8472}"/>
                </c:ext>
              </c:extLst>
            </c:dLbl>
            <c:dLbl>
              <c:idx val="4"/>
              <c:layout>
                <c:manualLayout>
                  <c:xMode val="edge"/>
                  <c:yMode val="edge"/>
                  <c:x val="0.66803237248664327"/>
                  <c:y val="0.5427005491016329"/>
                </c:manualLayout>
              </c:layout>
              <c:spPr>
                <a:noFill/>
                <a:ln w="25400">
                  <a:noFill/>
                </a:ln>
              </c:spPr>
              <c:txPr>
                <a:bodyPr rot="-5400000" vert="horz"/>
                <a:lstStyle/>
                <a:p>
                  <a:pPr algn="ctr">
                    <a:defRPr sz="800"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E5E-447E-B93A-6EA8521A8472}"/>
                </c:ext>
              </c:extLst>
            </c:dLbl>
            <c:dLbl>
              <c:idx val="5"/>
              <c:layout>
                <c:manualLayout>
                  <c:xMode val="edge"/>
                  <c:yMode val="edge"/>
                  <c:x val="0.78228338186564672"/>
                  <c:y val="0.59758037990966317"/>
                </c:manualLayout>
              </c:layout>
              <c:spPr>
                <a:noFill/>
                <a:ln w="25400">
                  <a:noFill/>
                </a:ln>
              </c:spPr>
              <c:txPr>
                <a:bodyPr rot="-5400000" vert="horz"/>
                <a:lstStyle/>
                <a:p>
                  <a:pPr algn="ctr">
                    <a:defRPr sz="800"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E5E-447E-B93A-6EA8521A8472}"/>
                </c:ext>
              </c:extLst>
            </c:dLbl>
            <c:dLbl>
              <c:idx val="6"/>
              <c:layout>
                <c:manualLayout>
                  <c:xMode val="edge"/>
                  <c:yMode val="edge"/>
                  <c:x val="0.89787852076675601"/>
                  <c:y val="0.51526063369761776"/>
                </c:manualLayout>
              </c:layout>
              <c:spPr>
                <a:noFill/>
                <a:ln w="25400">
                  <a:noFill/>
                </a:ln>
              </c:spPr>
              <c:txPr>
                <a:bodyPr rot="-5400000" vert="horz"/>
                <a:lstStyle/>
                <a:p>
                  <a:pPr algn="ctr">
                    <a:defRPr sz="800"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E5E-447E-B93A-6EA8521A8472}"/>
                </c:ext>
              </c:extLst>
            </c:dLbl>
            <c:spPr>
              <a:noFill/>
              <a:ln w="25400">
                <a:noFill/>
              </a:ln>
            </c:spPr>
            <c:txPr>
              <a:bodyPr rot="-5400000" vert="horz" wrap="square" lIns="38100" tIns="19050" rIns="38100" bIns="19050" anchor="ctr">
                <a:spAutoFit/>
              </a:bodyPr>
              <a:lstStyle/>
              <a:p>
                <a:pPr algn="ctr">
                  <a:defRPr sz="800"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'Lens 17'!$E$35:$E$41</c:f>
              <c:numCache>
                <c:formatCode>0</c:formatCode>
                <c:ptCount val="7"/>
                <c:pt idx="0">
                  <c:v>610.43400252515255</c:v>
                </c:pt>
                <c:pt idx="1">
                  <c:v>676.39024413386835</c:v>
                </c:pt>
                <c:pt idx="2">
                  <c:v>734.58692790626401</c:v>
                </c:pt>
                <c:pt idx="3">
                  <c:v>753.98582249706294</c:v>
                </c:pt>
                <c:pt idx="4">
                  <c:v>812.18250626945894</c:v>
                </c:pt>
                <c:pt idx="5">
                  <c:v>889.77808463265376</c:v>
                </c:pt>
                <c:pt idx="6">
                  <c:v>951.85454732320966</c:v>
                </c:pt>
              </c:numCache>
            </c:numRef>
          </c:cat>
          <c:val>
            <c:numRef>
              <c:f>'Lens 17'!$A$35:$A$41</c:f>
              <c:numCache>
                <c:formatCode>General</c:formatCode>
                <c:ptCount val="7"/>
                <c:pt idx="0">
                  <c:v>280000</c:v>
                </c:pt>
                <c:pt idx="1">
                  <c:v>95500</c:v>
                </c:pt>
                <c:pt idx="2">
                  <c:v>156400</c:v>
                </c:pt>
                <c:pt idx="3">
                  <c:v>114350</c:v>
                </c:pt>
                <c:pt idx="4">
                  <c:v>23789</c:v>
                </c:pt>
                <c:pt idx="5">
                  <c:v>1311</c:v>
                </c:pt>
                <c:pt idx="6">
                  <c:v>459850</c:v>
                </c:pt>
              </c:numCache>
            </c:numRef>
          </c:val>
          <c:extLst>
            <c:ext xmlns:c16="http://schemas.microsoft.com/office/drawing/2014/chart" uri="{C3380CC4-5D6E-409C-BE32-E72D297353CC}">
              <c16:uniqueId val="{00000007-BE5E-447E-B93A-6EA8521A8472}"/>
            </c:ext>
          </c:extLst>
        </c:ser>
        <c:dLbls>
          <c:showLegendKey val="0"/>
          <c:showVal val="1"/>
          <c:showCatName val="0"/>
          <c:showSerName val="0"/>
          <c:showPercent val="0"/>
          <c:showBubbleSize val="0"/>
        </c:dLbls>
        <c:gapWidth val="150"/>
        <c:axId val="765526111"/>
        <c:axId val="1"/>
      </c:barChart>
      <c:catAx>
        <c:axId val="765526111"/>
        <c:scaling>
          <c:orientation val="minMax"/>
        </c:scaling>
        <c:delete val="0"/>
        <c:axPos val="b"/>
        <c:title>
          <c:tx>
            <c:rich>
              <a:bodyPr/>
              <a:lstStyle/>
              <a:p>
                <a:pPr>
                  <a:defRPr sz="800" b="0" i="0" u="none" strike="noStrike" baseline="0">
                    <a:solidFill>
                      <a:srgbClr val="000000"/>
                    </a:solidFill>
                    <a:latin typeface="MathSoftText"/>
                    <a:ea typeface="MathSoftText"/>
                    <a:cs typeface="MathSoftText"/>
                  </a:defRPr>
                </a:pPr>
                <a:r>
                  <a:rPr lang="en-GB"/>
                  <a:t>gradient (T/m)</a:t>
                </a:r>
              </a:p>
            </c:rich>
          </c:tx>
          <c:layout>
            <c:manualLayout>
              <c:xMode val="edge"/>
              <c:yMode val="edge"/>
              <c:x val="0.50270444126761493"/>
              <c:y val="0.85673513650313959"/>
            </c:manualLayout>
          </c:layout>
          <c:overlay val="0"/>
          <c:spPr>
            <a:noFill/>
            <a:ln w="25400">
              <a:noFill/>
            </a:ln>
          </c:spPr>
        </c:title>
        <c:numFmt formatCode="0" sourceLinked="0"/>
        <c:majorTickMark val="out"/>
        <c:minorTickMark val="none"/>
        <c:tickLblPos val="nextTo"/>
        <c:spPr>
          <a:ln w="3175">
            <a:solidFill>
              <a:srgbClr val="99CC00"/>
            </a:solidFill>
            <a:prstDash val="solid"/>
          </a:ln>
        </c:spPr>
        <c:txPr>
          <a:bodyPr rot="0" vert="horz"/>
          <a:lstStyle/>
          <a:p>
            <a:pPr>
              <a:defRPr sz="800" b="0" i="0" u="none" strike="noStrike" baseline="0">
                <a:solidFill>
                  <a:srgbClr val="000000"/>
                </a:solidFill>
                <a:latin typeface="MathSoftText"/>
                <a:ea typeface="MathSoftText"/>
                <a:cs typeface="MathSoftText"/>
              </a:defRPr>
            </a:pPr>
            <a:endParaRPr lang="en-US"/>
          </a:p>
        </c:txPr>
        <c:crossAx val="1"/>
        <c:crosses val="autoZero"/>
        <c:auto val="1"/>
        <c:lblAlgn val="ctr"/>
        <c:lblOffset val="100"/>
        <c:tickLblSkip val="1"/>
        <c:tickMarkSkip val="1"/>
        <c:noMultiLvlLbl val="0"/>
      </c:catAx>
      <c:valAx>
        <c:axId val="1"/>
        <c:scaling>
          <c:logBase val="10"/>
          <c:orientation val="minMax"/>
          <c:min val="10"/>
        </c:scaling>
        <c:delete val="0"/>
        <c:axPos val="l"/>
        <c:majorGridlines>
          <c:spPr>
            <a:ln w="3175">
              <a:solidFill>
                <a:srgbClr val="99CC00"/>
              </a:solidFill>
              <a:prstDash val="solid"/>
            </a:ln>
          </c:spPr>
        </c:majorGridlines>
        <c:title>
          <c:tx>
            <c:rich>
              <a:bodyPr/>
              <a:lstStyle/>
              <a:p>
                <a:pPr>
                  <a:defRPr sz="800" b="0" i="0" u="none" strike="noStrike" baseline="0">
                    <a:solidFill>
                      <a:srgbClr val="000000"/>
                    </a:solidFill>
                    <a:latin typeface="MathSoftText"/>
                    <a:ea typeface="MathSoftText"/>
                    <a:cs typeface="MathSoftText"/>
                  </a:defRPr>
                </a:pPr>
                <a:r>
                  <a:rPr lang="en-GB"/>
                  <a:t>number of pulses</a:t>
                </a:r>
              </a:p>
            </c:rich>
          </c:tx>
          <c:layout>
            <c:manualLayout>
              <c:xMode val="edge"/>
              <c:yMode val="edge"/>
              <c:x val="2.9570849486330288E-2"/>
              <c:y val="0.30488794893350163"/>
            </c:manualLayout>
          </c:layout>
          <c:overlay val="0"/>
          <c:spPr>
            <a:noFill/>
            <a:ln w="25400">
              <a:noFill/>
            </a:ln>
          </c:spPr>
        </c:title>
        <c:numFmt formatCode="General" sourceLinked="1"/>
        <c:majorTickMark val="out"/>
        <c:minorTickMark val="none"/>
        <c:tickLblPos val="nextTo"/>
        <c:spPr>
          <a:ln w="3175">
            <a:solidFill>
              <a:srgbClr val="99CC00"/>
            </a:solidFill>
            <a:prstDash val="solid"/>
          </a:ln>
        </c:spPr>
        <c:txPr>
          <a:bodyPr rot="0" vert="horz"/>
          <a:lstStyle/>
          <a:p>
            <a:pPr>
              <a:defRPr sz="800" b="0" i="0" u="none" strike="noStrike" baseline="0">
                <a:solidFill>
                  <a:srgbClr val="000000"/>
                </a:solidFill>
                <a:latin typeface="MathSoftText"/>
                <a:ea typeface="MathSoftText"/>
                <a:cs typeface="MathSoftText"/>
              </a:defRPr>
            </a:pPr>
            <a:endParaRPr lang="en-US"/>
          </a:p>
        </c:txPr>
        <c:crossAx val="765526111"/>
        <c:crosses val="autoZero"/>
        <c:crossBetween val="between"/>
      </c:valAx>
      <c:spPr>
        <a:noFill/>
        <a:ln w="12700">
          <a:solidFill>
            <a:srgbClr val="99CC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MathSoftText"/>
          <a:ea typeface="MathSoftText"/>
          <a:cs typeface="MathSoftText"/>
        </a:defRPr>
      </a:pPr>
      <a:endParaRPr lang="en-US"/>
    </a:p>
  </c:txPr>
  <c:printSettings>
    <c:headerFooter alignWithMargins="0"/>
    <c:pageMargins b="1" l="0.75" r="0.75" t="1" header="0.5" footer="0.5"/>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25" b="0" i="0" u="none" strike="noStrike" baseline="0">
                <a:solidFill>
                  <a:srgbClr val="000000"/>
                </a:solidFill>
                <a:latin typeface="MathSoftText"/>
                <a:ea typeface="MathSoftText"/>
                <a:cs typeface="MathSoftText"/>
              </a:defRPr>
            </a:pPr>
            <a:r>
              <a:rPr lang="en-GB"/>
              <a:t>lens 21 pulse count vs peak current</a:t>
            </a:r>
          </a:p>
        </c:rich>
      </c:tx>
      <c:layout>
        <c:manualLayout>
          <c:xMode val="edge"/>
          <c:yMode val="edge"/>
          <c:x val="0.28988123343284727"/>
          <c:y val="3.8962277409798074E-2"/>
        </c:manualLayout>
      </c:layout>
      <c:overlay val="0"/>
      <c:spPr>
        <a:noFill/>
        <a:ln w="25400">
          <a:noFill/>
        </a:ln>
      </c:spPr>
    </c:title>
    <c:autoTitleDeleted val="0"/>
    <c:plotArea>
      <c:layout>
        <c:manualLayout>
          <c:layoutTarget val="inner"/>
          <c:xMode val="edge"/>
          <c:yMode val="edge"/>
          <c:x val="0.16065706913145752"/>
          <c:y val="0.23637114961944164"/>
          <c:w val="0.81609134392138927"/>
          <c:h val="0.5117045766486813"/>
        </c:manualLayout>
      </c:layout>
      <c:barChart>
        <c:barDir val="col"/>
        <c:grouping val="clustered"/>
        <c:varyColors val="0"/>
        <c:ser>
          <c:idx val="0"/>
          <c:order val="0"/>
          <c:spPr>
            <a:solidFill>
              <a:srgbClr val="9999FF"/>
            </a:solidFill>
            <a:ln w="12700">
              <a:solidFill>
                <a:srgbClr val="000000"/>
              </a:solidFill>
              <a:prstDash val="solid"/>
            </a:ln>
          </c:spPr>
          <c:invertIfNegative val="0"/>
          <c:dLbls>
            <c:dLbl>
              <c:idx val="0"/>
              <c:layout>
                <c:manualLayout>
                  <c:xMode val="edge"/>
                  <c:yMode val="edge"/>
                  <c:x val="0.1792839756974236"/>
                  <c:y val="0.57923919082566466"/>
                </c:manualLayout>
              </c:layout>
              <c:numFmt formatCode="0" sourceLinked="0"/>
              <c:spPr>
                <a:noFill/>
                <a:ln w="25400">
                  <a:noFill/>
                </a:ln>
              </c:spPr>
              <c:txPr>
                <a:bodyPr rot="-5400000" vert="horz"/>
                <a:lstStyle/>
                <a:p>
                  <a:pPr algn="ctr">
                    <a:defRPr sz="950"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064-4E5C-BABA-BFBD66F0B1C4}"/>
                </c:ext>
              </c:extLst>
            </c:dLbl>
            <c:dLbl>
              <c:idx val="1"/>
              <c:layout>
                <c:manualLayout>
                  <c:xMode val="edge"/>
                  <c:yMode val="edge"/>
                  <c:x val="0.25262742030091512"/>
                  <c:y val="0.44676744763235121"/>
                </c:manualLayout>
              </c:layout>
              <c:numFmt formatCode="0" sourceLinked="0"/>
              <c:spPr>
                <a:noFill/>
                <a:ln w="25400">
                  <a:noFill/>
                </a:ln>
              </c:spPr>
              <c:txPr>
                <a:bodyPr rot="-5400000" vert="horz"/>
                <a:lstStyle/>
                <a:p>
                  <a:pPr algn="ctr">
                    <a:defRPr sz="950"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064-4E5C-BABA-BFBD66F0B1C4}"/>
                </c:ext>
              </c:extLst>
            </c:dLbl>
            <c:dLbl>
              <c:idx val="2"/>
              <c:layout>
                <c:manualLayout>
                  <c:xMode val="edge"/>
                  <c:yMode val="edge"/>
                  <c:x val="0.32713504656477943"/>
                  <c:y val="0.42858505150777876"/>
                </c:manualLayout>
              </c:layout>
              <c:numFmt formatCode="0" sourceLinked="0"/>
              <c:spPr>
                <a:noFill/>
                <a:ln w="25400">
                  <a:noFill/>
                </a:ln>
              </c:spPr>
              <c:txPr>
                <a:bodyPr rot="-5400000" vert="horz"/>
                <a:lstStyle/>
                <a:p>
                  <a:pPr algn="ctr">
                    <a:defRPr sz="950"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064-4E5C-BABA-BFBD66F0B1C4}"/>
                </c:ext>
              </c:extLst>
            </c:dLbl>
            <c:dLbl>
              <c:idx val="3"/>
              <c:layout>
                <c:manualLayout>
                  <c:xMode val="edge"/>
                  <c:yMode val="edge"/>
                  <c:x val="0.4016426728286438"/>
                  <c:y val="0.44157247731104482"/>
                </c:manualLayout>
              </c:layout>
              <c:numFmt formatCode="0" sourceLinked="0"/>
              <c:spPr>
                <a:noFill/>
                <a:ln w="25400">
                  <a:noFill/>
                </a:ln>
              </c:spPr>
              <c:txPr>
                <a:bodyPr rot="-5400000" vert="horz"/>
                <a:lstStyle/>
                <a:p>
                  <a:pPr algn="ctr">
                    <a:defRPr sz="950"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064-4E5C-BABA-BFBD66F0B1C4}"/>
                </c:ext>
              </c:extLst>
            </c:dLbl>
            <c:dLbl>
              <c:idx val="4"/>
              <c:layout>
                <c:manualLayout>
                  <c:xMode val="edge"/>
                  <c:yMode val="edge"/>
                  <c:x val="0.47615029909250817"/>
                  <c:y val="0.43378002182908521"/>
                </c:manualLayout>
              </c:layout>
              <c:numFmt formatCode="0" sourceLinked="0"/>
              <c:spPr>
                <a:noFill/>
                <a:ln w="25400">
                  <a:noFill/>
                </a:ln>
              </c:spPr>
              <c:txPr>
                <a:bodyPr rot="-5400000" vert="horz"/>
                <a:lstStyle/>
                <a:p>
                  <a:pPr algn="ctr">
                    <a:defRPr sz="950"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064-4E5C-BABA-BFBD66F0B1C4}"/>
                </c:ext>
              </c:extLst>
            </c:dLbl>
            <c:dLbl>
              <c:idx val="5"/>
              <c:layout>
                <c:manualLayout>
                  <c:xMode val="edge"/>
                  <c:yMode val="edge"/>
                  <c:x val="0.54949374369599968"/>
                  <c:y val="0.42858505150777876"/>
                </c:manualLayout>
              </c:layout>
              <c:numFmt formatCode="0" sourceLinked="0"/>
              <c:spPr>
                <a:noFill/>
                <a:ln w="25400">
                  <a:noFill/>
                </a:ln>
              </c:spPr>
              <c:txPr>
                <a:bodyPr rot="-5400000" vert="horz"/>
                <a:lstStyle/>
                <a:p>
                  <a:pPr algn="ctr">
                    <a:defRPr sz="950"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064-4E5C-BABA-BFBD66F0B1C4}"/>
                </c:ext>
              </c:extLst>
            </c:dLbl>
            <c:dLbl>
              <c:idx val="6"/>
              <c:layout>
                <c:manualLayout>
                  <c:xMode val="edge"/>
                  <c:yMode val="edge"/>
                  <c:x val="0.62865809660135552"/>
                  <c:y val="0.44676744763235121"/>
                </c:manualLayout>
              </c:layout>
              <c:numFmt formatCode="0" sourceLinked="0"/>
              <c:spPr>
                <a:noFill/>
                <a:ln w="25400">
                  <a:noFill/>
                </a:ln>
              </c:spPr>
              <c:txPr>
                <a:bodyPr rot="-5400000" vert="horz"/>
                <a:lstStyle/>
                <a:p>
                  <a:pPr algn="ctr">
                    <a:defRPr sz="950"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064-4E5C-BABA-BFBD66F0B1C4}"/>
                </c:ext>
              </c:extLst>
            </c:dLbl>
            <c:dLbl>
              <c:idx val="7"/>
              <c:layout>
                <c:manualLayout>
                  <c:xMode val="edge"/>
                  <c:yMode val="edge"/>
                  <c:x val="0.70316572286521994"/>
                  <c:y val="0.44157247731104482"/>
                </c:manualLayout>
              </c:layout>
              <c:numFmt formatCode="0" sourceLinked="0"/>
              <c:spPr>
                <a:noFill/>
                <a:ln w="25400">
                  <a:noFill/>
                </a:ln>
              </c:spPr>
              <c:txPr>
                <a:bodyPr rot="-5400000" vert="horz"/>
                <a:lstStyle/>
                <a:p>
                  <a:pPr algn="ctr">
                    <a:defRPr sz="950"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064-4E5C-BABA-BFBD66F0B1C4}"/>
                </c:ext>
              </c:extLst>
            </c:dLbl>
            <c:dLbl>
              <c:idx val="8"/>
              <c:layout>
                <c:manualLayout>
                  <c:xMode val="edge"/>
                  <c:yMode val="edge"/>
                  <c:x val="0.77301662248759273"/>
                  <c:y val="0.4389749921503916"/>
                </c:manualLayout>
              </c:layout>
              <c:numFmt formatCode="0" sourceLinked="0"/>
              <c:spPr>
                <a:noFill/>
                <a:ln w="25400">
                  <a:noFill/>
                </a:ln>
              </c:spPr>
              <c:txPr>
                <a:bodyPr rot="-5400000" vert="horz"/>
                <a:lstStyle/>
                <a:p>
                  <a:pPr algn="ctr">
                    <a:defRPr sz="950"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064-4E5C-BABA-BFBD66F0B1C4}"/>
                </c:ext>
              </c:extLst>
            </c:dLbl>
            <c:dLbl>
              <c:idx val="9"/>
              <c:layout>
                <c:manualLayout>
                  <c:xMode val="edge"/>
                  <c:yMode val="edge"/>
                  <c:x val="0.85101679373257577"/>
                  <c:y val="0.41040265538320636"/>
                </c:manualLayout>
              </c:layout>
              <c:numFmt formatCode="0" sourceLinked="0"/>
              <c:spPr>
                <a:noFill/>
                <a:ln w="25400">
                  <a:noFill/>
                </a:ln>
              </c:spPr>
              <c:txPr>
                <a:bodyPr rot="-5400000" vert="horz"/>
                <a:lstStyle/>
                <a:p>
                  <a:pPr algn="ctr">
                    <a:defRPr sz="950"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064-4E5C-BABA-BFBD66F0B1C4}"/>
                </c:ext>
              </c:extLst>
            </c:dLbl>
            <c:dLbl>
              <c:idx val="10"/>
              <c:layout>
                <c:manualLayout>
                  <c:xMode val="edge"/>
                  <c:yMode val="edge"/>
                  <c:x val="0.92086769335494856"/>
                  <c:y val="0.4389749921503916"/>
                </c:manualLayout>
              </c:layout>
              <c:numFmt formatCode="0" sourceLinked="0"/>
              <c:spPr>
                <a:noFill/>
                <a:ln w="25400">
                  <a:noFill/>
                </a:ln>
              </c:spPr>
              <c:txPr>
                <a:bodyPr rot="-5400000" vert="horz"/>
                <a:lstStyle/>
                <a:p>
                  <a:pPr algn="ctr">
                    <a:defRPr sz="950"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064-4E5C-BABA-BFBD66F0B1C4}"/>
                </c:ext>
              </c:extLst>
            </c:dLbl>
            <c:numFmt formatCode="0" sourceLinked="0"/>
            <c:spPr>
              <a:noFill/>
              <a:ln w="25400">
                <a:noFill/>
              </a:ln>
            </c:spPr>
            <c:txPr>
              <a:bodyPr rot="-5400000" vert="horz" wrap="square" lIns="38100" tIns="19050" rIns="38100" bIns="19050" anchor="ctr">
                <a:spAutoFit/>
              </a:bodyPr>
              <a:lstStyle/>
              <a:p>
                <a:pPr algn="ctr">
                  <a:defRPr sz="950"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'Lens 21'!$F$33:$F$43</c:f>
              <c:numCache>
                <c:formatCode>0</c:formatCode>
                <c:ptCount val="11"/>
                <c:pt idx="0">
                  <c:v>295.85677884028894</c:v>
                </c:pt>
                <c:pt idx="1">
                  <c:v>432.66139513647153</c:v>
                </c:pt>
                <c:pt idx="2">
                  <c:v>455.04760507584677</c:v>
                </c:pt>
                <c:pt idx="3">
                  <c:v>474.94645835529155</c:v>
                </c:pt>
                <c:pt idx="4">
                  <c:v>504.79473827445867</c:v>
                </c:pt>
                <c:pt idx="5">
                  <c:v>524.69359155390316</c:v>
                </c:pt>
                <c:pt idx="6">
                  <c:v>552.05451481313992</c:v>
                </c:pt>
                <c:pt idx="7">
                  <c:v>569.466011432654</c:v>
                </c:pt>
                <c:pt idx="8">
                  <c:v>594.33957803195983</c:v>
                </c:pt>
                <c:pt idx="9">
                  <c:v>614.23843131140472</c:v>
                </c:pt>
                <c:pt idx="10">
                  <c:v>626.67521461105753</c:v>
                </c:pt>
              </c:numCache>
            </c:numRef>
          </c:cat>
          <c:val>
            <c:numRef>
              <c:f>'Lens 21'!$A$33:$A$43</c:f>
              <c:numCache>
                <c:formatCode>0</c:formatCode>
                <c:ptCount val="11"/>
                <c:pt idx="0">
                  <c:v>1000</c:v>
                </c:pt>
                <c:pt idx="1">
                  <c:v>39600</c:v>
                </c:pt>
                <c:pt idx="2">
                  <c:v>41400</c:v>
                </c:pt>
                <c:pt idx="3">
                  <c:v>42500</c:v>
                </c:pt>
                <c:pt idx="4">
                  <c:v>37500</c:v>
                </c:pt>
                <c:pt idx="5">
                  <c:v>41000</c:v>
                </c:pt>
                <c:pt idx="6">
                  <c:v>40000</c:v>
                </c:pt>
                <c:pt idx="7">
                  <c:v>25000</c:v>
                </c:pt>
                <c:pt idx="8">
                  <c:v>56500</c:v>
                </c:pt>
                <c:pt idx="9">
                  <c:v>41000</c:v>
                </c:pt>
                <c:pt idx="10">
                  <c:v>44200</c:v>
                </c:pt>
              </c:numCache>
            </c:numRef>
          </c:val>
          <c:extLst>
            <c:ext xmlns:c16="http://schemas.microsoft.com/office/drawing/2014/chart" uri="{C3380CC4-5D6E-409C-BE32-E72D297353CC}">
              <c16:uniqueId val="{0000000B-2064-4E5C-BABA-BFBD66F0B1C4}"/>
            </c:ext>
          </c:extLst>
        </c:ser>
        <c:dLbls>
          <c:showLegendKey val="0"/>
          <c:showVal val="1"/>
          <c:showCatName val="0"/>
          <c:showSerName val="0"/>
          <c:showPercent val="0"/>
          <c:showBubbleSize val="0"/>
        </c:dLbls>
        <c:gapWidth val="150"/>
        <c:axId val="877464463"/>
        <c:axId val="1"/>
      </c:barChart>
      <c:catAx>
        <c:axId val="877464463"/>
        <c:scaling>
          <c:orientation val="minMax"/>
        </c:scaling>
        <c:delete val="0"/>
        <c:axPos val="b"/>
        <c:title>
          <c:tx>
            <c:rich>
              <a:bodyPr/>
              <a:lstStyle/>
              <a:p>
                <a:pPr>
                  <a:defRPr sz="950" b="0" i="0" u="none" strike="noStrike" baseline="0">
                    <a:solidFill>
                      <a:srgbClr val="000000"/>
                    </a:solidFill>
                    <a:latin typeface="MathSoftText"/>
                    <a:ea typeface="MathSoftText"/>
                    <a:cs typeface="MathSoftText"/>
                  </a:defRPr>
                </a:pPr>
                <a:r>
                  <a:rPr lang="en-GB"/>
                  <a:t>kiloamps</a:t>
                </a:r>
              </a:p>
            </c:rich>
          </c:tx>
          <c:layout>
            <c:manualLayout>
              <c:xMode val="edge"/>
              <c:yMode val="edge"/>
              <c:x val="0.52155338384705052"/>
              <c:y val="0.86236507333686396"/>
            </c:manualLayout>
          </c:layout>
          <c:overlay val="0"/>
          <c:spPr>
            <a:noFill/>
            <a:ln w="25400">
              <a:noFill/>
            </a:ln>
          </c:spPr>
        </c:title>
        <c:numFmt formatCode="0" sourceLinked="0"/>
        <c:majorTickMark val="out"/>
        <c:minorTickMark val="none"/>
        <c:tickLblPos val="nextTo"/>
        <c:spPr>
          <a:ln w="3175">
            <a:solidFill>
              <a:srgbClr val="99CC00"/>
            </a:solidFill>
            <a:prstDash val="solid"/>
          </a:ln>
        </c:spPr>
        <c:txPr>
          <a:bodyPr rot="0" vert="horz"/>
          <a:lstStyle/>
          <a:p>
            <a:pPr>
              <a:defRPr sz="950" b="0" i="0" u="none" strike="noStrike" baseline="0">
                <a:solidFill>
                  <a:srgbClr val="000000"/>
                </a:solidFill>
                <a:latin typeface="MathSoftText"/>
                <a:ea typeface="MathSoftText"/>
                <a:cs typeface="MathSoftText"/>
              </a:defRPr>
            </a:pPr>
            <a:endParaRPr lang="en-US"/>
          </a:p>
        </c:txPr>
        <c:crossAx val="1"/>
        <c:crosses val="autoZero"/>
        <c:auto val="1"/>
        <c:lblAlgn val="ctr"/>
        <c:lblOffset val="100"/>
        <c:tickLblSkip val="1"/>
        <c:tickMarkSkip val="1"/>
        <c:noMultiLvlLbl val="0"/>
      </c:catAx>
      <c:valAx>
        <c:axId val="1"/>
        <c:scaling>
          <c:logBase val="10"/>
          <c:orientation val="minMax"/>
          <c:min val="10"/>
        </c:scaling>
        <c:delete val="0"/>
        <c:axPos val="l"/>
        <c:majorGridlines>
          <c:spPr>
            <a:ln w="3175">
              <a:solidFill>
                <a:srgbClr val="99CC00"/>
              </a:solidFill>
              <a:prstDash val="solid"/>
            </a:ln>
          </c:spPr>
        </c:majorGridlines>
        <c:title>
          <c:tx>
            <c:rich>
              <a:bodyPr/>
              <a:lstStyle/>
              <a:p>
                <a:pPr>
                  <a:defRPr sz="950" b="0" i="0" u="none" strike="noStrike" baseline="0">
                    <a:solidFill>
                      <a:srgbClr val="000000"/>
                    </a:solidFill>
                    <a:latin typeface="MathSoftText"/>
                    <a:ea typeface="MathSoftText"/>
                    <a:cs typeface="MathSoftText"/>
                  </a:defRPr>
                </a:pPr>
                <a:r>
                  <a:rPr lang="en-GB"/>
                  <a:t>number of pulses</a:t>
                </a:r>
              </a:p>
            </c:rich>
          </c:tx>
          <c:layout>
            <c:manualLayout>
              <c:xMode val="edge"/>
              <c:yMode val="edge"/>
              <c:x val="2.5611996528203375E-2"/>
              <c:y val="0.29351582315381214"/>
            </c:manualLayout>
          </c:layout>
          <c:overlay val="0"/>
          <c:spPr>
            <a:noFill/>
            <a:ln w="25400">
              <a:noFill/>
            </a:ln>
          </c:spPr>
        </c:title>
        <c:numFmt formatCode="0" sourceLinked="1"/>
        <c:majorTickMark val="out"/>
        <c:minorTickMark val="none"/>
        <c:tickLblPos val="nextTo"/>
        <c:spPr>
          <a:ln w="3175">
            <a:solidFill>
              <a:srgbClr val="99CC00"/>
            </a:solidFill>
            <a:prstDash val="solid"/>
          </a:ln>
        </c:spPr>
        <c:txPr>
          <a:bodyPr rot="0" vert="horz"/>
          <a:lstStyle/>
          <a:p>
            <a:pPr>
              <a:defRPr sz="950" b="0" i="0" u="none" strike="noStrike" baseline="0">
                <a:solidFill>
                  <a:srgbClr val="000000"/>
                </a:solidFill>
                <a:latin typeface="MathSoftText"/>
                <a:ea typeface="MathSoftText"/>
                <a:cs typeface="MathSoftText"/>
              </a:defRPr>
            </a:pPr>
            <a:endParaRPr lang="en-US"/>
          </a:p>
        </c:txPr>
        <c:crossAx val="877464463"/>
        <c:crosses val="autoZero"/>
        <c:crossBetween val="between"/>
      </c:valAx>
      <c:spPr>
        <a:noFill/>
        <a:ln w="12700">
          <a:solidFill>
            <a:srgbClr val="99CC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950" b="0" i="0" u="none" strike="noStrike" baseline="0">
          <a:solidFill>
            <a:srgbClr val="000000"/>
          </a:solidFill>
          <a:latin typeface="MathSoftText"/>
          <a:ea typeface="MathSoftText"/>
          <a:cs typeface="MathSoftText"/>
        </a:defRPr>
      </a:pPr>
      <a:endParaRPr lang="en-US"/>
    </a:p>
  </c:txPr>
  <c:printSettings>
    <c:headerFooter alignWithMargins="0"/>
    <c:pageMargins b="1" l="0.75" r="0.75" t="1" header="0.5" footer="0.5"/>
    <c:pageSetup orientation="landscape"/>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75" b="0" i="0" u="none" strike="noStrike" baseline="0">
                <a:solidFill>
                  <a:srgbClr val="000000"/>
                </a:solidFill>
                <a:latin typeface="MathSoftText"/>
                <a:ea typeface="MathSoftText"/>
                <a:cs typeface="MathSoftText"/>
              </a:defRPr>
            </a:pPr>
            <a:r>
              <a:rPr lang="en-GB"/>
              <a:t>lens 21 pulse count vs peak current</a:t>
            </a:r>
          </a:p>
        </c:rich>
      </c:tx>
      <c:layout>
        <c:manualLayout>
          <c:xMode val="edge"/>
          <c:yMode val="edge"/>
          <c:x val="0.30056349399245491"/>
          <c:y val="4.6359227421664109E-2"/>
        </c:manualLayout>
      </c:layout>
      <c:overlay val="0"/>
      <c:spPr>
        <a:noFill/>
        <a:ln w="25400">
          <a:noFill/>
        </a:ln>
      </c:spPr>
    </c:title>
    <c:autoTitleDeleted val="0"/>
    <c:plotArea>
      <c:layout>
        <c:manualLayout>
          <c:layoutTarget val="inner"/>
          <c:xMode val="edge"/>
          <c:yMode val="edge"/>
          <c:x val="0.1135769885132779"/>
          <c:y val="0.25166437743189091"/>
          <c:w val="0.85875283997844254"/>
          <c:h val="0.45696952744211766"/>
        </c:manualLayout>
      </c:layout>
      <c:barChart>
        <c:barDir val="col"/>
        <c:grouping val="clustered"/>
        <c:varyColors val="0"/>
        <c:ser>
          <c:idx val="0"/>
          <c:order val="0"/>
          <c:spPr>
            <a:solidFill>
              <a:srgbClr val="9999FF"/>
            </a:solidFill>
            <a:ln w="12700">
              <a:solidFill>
                <a:srgbClr val="000000"/>
              </a:solidFill>
              <a:prstDash val="solid"/>
            </a:ln>
          </c:spPr>
          <c:invertIfNegative val="0"/>
          <c:cat>
            <c:numRef>
              <c:f>'Lens 21'!$D$33:$D$43</c:f>
              <c:numCache>
                <c:formatCode>0</c:formatCode>
                <c:ptCount val="11"/>
                <c:pt idx="0">
                  <c:v>295856.77884028893</c:v>
                </c:pt>
                <c:pt idx="1">
                  <c:v>432661.39513647155</c:v>
                </c:pt>
                <c:pt idx="2">
                  <c:v>455047.60507584678</c:v>
                </c:pt>
                <c:pt idx="3">
                  <c:v>474946.45835529157</c:v>
                </c:pt>
                <c:pt idx="4">
                  <c:v>504794.73827445868</c:v>
                </c:pt>
                <c:pt idx="5">
                  <c:v>524693.59155390318</c:v>
                </c:pt>
                <c:pt idx="6">
                  <c:v>552054.51481313992</c:v>
                </c:pt>
                <c:pt idx="7">
                  <c:v>569466.01143265399</c:v>
                </c:pt>
                <c:pt idx="8">
                  <c:v>594339.57803195983</c:v>
                </c:pt>
                <c:pt idx="9">
                  <c:v>614238.43131140468</c:v>
                </c:pt>
                <c:pt idx="10">
                  <c:v>626675.21461105754</c:v>
                </c:pt>
              </c:numCache>
            </c:numRef>
          </c:cat>
          <c:val>
            <c:numRef>
              <c:f>'Lens 21'!$A$33:$A$43</c:f>
              <c:numCache>
                <c:formatCode>0</c:formatCode>
                <c:ptCount val="11"/>
                <c:pt idx="0">
                  <c:v>1000</c:v>
                </c:pt>
                <c:pt idx="1">
                  <c:v>39600</c:v>
                </c:pt>
                <c:pt idx="2">
                  <c:v>41400</c:v>
                </c:pt>
                <c:pt idx="3">
                  <c:v>42500</c:v>
                </c:pt>
                <c:pt idx="4">
                  <c:v>37500</c:v>
                </c:pt>
                <c:pt idx="5">
                  <c:v>41000</c:v>
                </c:pt>
                <c:pt idx="6">
                  <c:v>40000</c:v>
                </c:pt>
                <c:pt idx="7">
                  <c:v>25000</c:v>
                </c:pt>
                <c:pt idx="8">
                  <c:v>56500</c:v>
                </c:pt>
                <c:pt idx="9">
                  <c:v>41000</c:v>
                </c:pt>
                <c:pt idx="10">
                  <c:v>44200</c:v>
                </c:pt>
              </c:numCache>
            </c:numRef>
          </c:val>
          <c:extLst>
            <c:ext xmlns:c16="http://schemas.microsoft.com/office/drawing/2014/chart" uri="{C3380CC4-5D6E-409C-BE32-E72D297353CC}">
              <c16:uniqueId val="{00000000-8FE6-4315-B1B9-DA0B9AD9FE2B}"/>
            </c:ext>
          </c:extLst>
        </c:ser>
        <c:dLbls>
          <c:showLegendKey val="0"/>
          <c:showVal val="0"/>
          <c:showCatName val="0"/>
          <c:showSerName val="0"/>
          <c:showPercent val="0"/>
          <c:showBubbleSize val="0"/>
        </c:dLbls>
        <c:gapWidth val="150"/>
        <c:axId val="877462463"/>
        <c:axId val="1"/>
      </c:barChart>
      <c:catAx>
        <c:axId val="877462463"/>
        <c:scaling>
          <c:orientation val="minMax"/>
        </c:scaling>
        <c:delete val="0"/>
        <c:axPos val="b"/>
        <c:numFmt formatCode="0" sourceLinked="0"/>
        <c:majorTickMark val="out"/>
        <c:minorTickMark val="none"/>
        <c:tickLblPos val="nextTo"/>
        <c:spPr>
          <a:ln w="3175">
            <a:solidFill>
              <a:srgbClr val="99CC00"/>
            </a:solidFill>
            <a:prstDash val="solid"/>
          </a:ln>
        </c:spPr>
        <c:txPr>
          <a:bodyPr rot="-2700000" vert="horz"/>
          <a:lstStyle/>
          <a:p>
            <a:pPr>
              <a:defRPr sz="800" b="0" i="0" u="none" strike="noStrike" baseline="0">
                <a:solidFill>
                  <a:srgbClr val="000000"/>
                </a:solidFill>
                <a:latin typeface="MathSoftText"/>
                <a:ea typeface="MathSoftText"/>
                <a:cs typeface="MathSoftText"/>
              </a:defRPr>
            </a:pPr>
            <a:endParaRPr lang="en-US"/>
          </a:p>
        </c:txPr>
        <c:crossAx val="1"/>
        <c:crosses val="autoZero"/>
        <c:auto val="1"/>
        <c:lblAlgn val="ctr"/>
        <c:lblOffset val="100"/>
        <c:tickLblSkip val="1"/>
        <c:tickMarkSkip val="1"/>
        <c:noMultiLvlLbl val="0"/>
      </c:catAx>
      <c:valAx>
        <c:axId val="1"/>
        <c:scaling>
          <c:orientation val="minMax"/>
          <c:max val="60000"/>
          <c:min val="0"/>
        </c:scaling>
        <c:delete val="0"/>
        <c:axPos val="l"/>
        <c:majorGridlines>
          <c:spPr>
            <a:ln w="3175">
              <a:solidFill>
                <a:srgbClr val="99CC00"/>
              </a:solidFill>
              <a:prstDash val="solid"/>
            </a:ln>
          </c:spPr>
        </c:majorGridlines>
        <c:numFmt formatCode="0" sourceLinked="1"/>
        <c:majorTickMark val="out"/>
        <c:minorTickMark val="none"/>
        <c:tickLblPos val="nextTo"/>
        <c:spPr>
          <a:ln w="3175">
            <a:solidFill>
              <a:srgbClr val="99CC00"/>
            </a:solidFill>
            <a:prstDash val="solid"/>
          </a:ln>
        </c:spPr>
        <c:txPr>
          <a:bodyPr rot="0" vert="horz"/>
          <a:lstStyle/>
          <a:p>
            <a:pPr>
              <a:defRPr sz="800" b="0" i="0" u="none" strike="noStrike" baseline="0">
                <a:solidFill>
                  <a:srgbClr val="000000"/>
                </a:solidFill>
                <a:latin typeface="MathSoftText"/>
                <a:ea typeface="MathSoftText"/>
                <a:cs typeface="MathSoftText"/>
              </a:defRPr>
            </a:pPr>
            <a:endParaRPr lang="en-US"/>
          </a:p>
        </c:txPr>
        <c:crossAx val="877462463"/>
        <c:crosses val="autoZero"/>
        <c:crossBetween val="between"/>
        <c:majorUnit val="10000"/>
        <c:minorUnit val="5000"/>
      </c:valAx>
      <c:spPr>
        <a:noFill/>
        <a:ln w="12700">
          <a:solidFill>
            <a:srgbClr val="99CC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MathSoftText"/>
          <a:ea typeface="MathSoftText"/>
          <a:cs typeface="MathSoftText"/>
        </a:defRPr>
      </a:pPr>
      <a:endParaRPr lang="en-US"/>
    </a:p>
  </c:txPr>
  <c:printSettings>
    <c:headerFooter alignWithMargins="0"/>
    <c:pageMargins b="1" l="0.75" r="0.75" t="1" header="0.5" footer="0.5"/>
    <c:pageSetup orientation="landscape" horizontalDpi="355" verticalDpi="355"/>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450" b="0" i="0" u="none" strike="noStrike" baseline="0">
                <a:solidFill>
                  <a:srgbClr val="000000"/>
                </a:solidFill>
                <a:latin typeface="MathSoftText"/>
                <a:ea typeface="MathSoftText"/>
                <a:cs typeface="MathSoftText"/>
              </a:defRPr>
            </a:pPr>
            <a:r>
              <a:rPr lang="en-GB"/>
              <a:t>lens 21 pulse count vs peak current</a:t>
            </a:r>
          </a:p>
        </c:rich>
      </c:tx>
      <c:layout>
        <c:manualLayout>
          <c:xMode val="edge"/>
          <c:yMode val="edge"/>
          <c:x val="0.40293836823398765"/>
          <c:y val="6.5870719064804212E-2"/>
        </c:manualLayout>
      </c:layout>
      <c:overlay val="0"/>
      <c:spPr>
        <a:noFill/>
        <a:ln w="25400">
          <a:noFill/>
        </a:ln>
      </c:spPr>
    </c:title>
    <c:autoTitleDeleted val="0"/>
    <c:plotArea>
      <c:layout>
        <c:manualLayout>
          <c:layoutTarget val="inner"/>
          <c:xMode val="edge"/>
          <c:yMode val="edge"/>
          <c:x val="7.181079829912651E-2"/>
          <c:y val="0.29941235938547367"/>
          <c:w val="0.87901736436523381"/>
          <c:h val="0.46708328064133892"/>
        </c:manualLayout>
      </c:layout>
      <c:scatterChart>
        <c:scatterStyle val="lineMarker"/>
        <c:varyColors val="0"/>
        <c:ser>
          <c:idx val="0"/>
          <c:order val="0"/>
          <c:spPr>
            <a:ln w="19050">
              <a:noFill/>
            </a:ln>
          </c:spPr>
          <c:marker>
            <c:symbol val="diamond"/>
            <c:size val="5"/>
            <c:spPr>
              <a:solidFill>
                <a:srgbClr val="000080"/>
              </a:solidFill>
              <a:ln>
                <a:solidFill>
                  <a:srgbClr val="000080"/>
                </a:solidFill>
                <a:prstDash val="solid"/>
              </a:ln>
            </c:spPr>
          </c:marker>
          <c:xVal>
            <c:numRef>
              <c:f>'Lens 21'!$D$33:$D$43</c:f>
              <c:numCache>
                <c:formatCode>0</c:formatCode>
                <c:ptCount val="11"/>
                <c:pt idx="0">
                  <c:v>295856.77884028893</c:v>
                </c:pt>
                <c:pt idx="1">
                  <c:v>432661.39513647155</c:v>
                </c:pt>
                <c:pt idx="2">
                  <c:v>455047.60507584678</c:v>
                </c:pt>
                <c:pt idx="3">
                  <c:v>474946.45835529157</c:v>
                </c:pt>
                <c:pt idx="4">
                  <c:v>504794.73827445868</c:v>
                </c:pt>
                <c:pt idx="5">
                  <c:v>524693.59155390318</c:v>
                </c:pt>
                <c:pt idx="6">
                  <c:v>552054.51481313992</c:v>
                </c:pt>
                <c:pt idx="7">
                  <c:v>569466.01143265399</c:v>
                </c:pt>
                <c:pt idx="8">
                  <c:v>594339.57803195983</c:v>
                </c:pt>
                <c:pt idx="9">
                  <c:v>614238.43131140468</c:v>
                </c:pt>
                <c:pt idx="10">
                  <c:v>626675.21461105754</c:v>
                </c:pt>
              </c:numCache>
            </c:numRef>
          </c:xVal>
          <c:yVal>
            <c:numRef>
              <c:f>'Lens 21'!$A$33:$A$43</c:f>
              <c:numCache>
                <c:formatCode>0</c:formatCode>
                <c:ptCount val="11"/>
                <c:pt idx="0">
                  <c:v>1000</c:v>
                </c:pt>
                <c:pt idx="1">
                  <c:v>39600</c:v>
                </c:pt>
                <c:pt idx="2">
                  <c:v>41400</c:v>
                </c:pt>
                <c:pt idx="3">
                  <c:v>42500</c:v>
                </c:pt>
                <c:pt idx="4">
                  <c:v>37500</c:v>
                </c:pt>
                <c:pt idx="5">
                  <c:v>41000</c:v>
                </c:pt>
                <c:pt idx="6">
                  <c:v>40000</c:v>
                </c:pt>
                <c:pt idx="7">
                  <c:v>25000</c:v>
                </c:pt>
                <c:pt idx="8">
                  <c:v>56500</c:v>
                </c:pt>
                <c:pt idx="9">
                  <c:v>41000</c:v>
                </c:pt>
                <c:pt idx="10">
                  <c:v>44200</c:v>
                </c:pt>
              </c:numCache>
            </c:numRef>
          </c:yVal>
          <c:smooth val="0"/>
          <c:extLst>
            <c:ext xmlns:c16="http://schemas.microsoft.com/office/drawing/2014/chart" uri="{C3380CC4-5D6E-409C-BE32-E72D297353CC}">
              <c16:uniqueId val="{00000000-BE49-4E12-B4EA-4E99A7593E0E}"/>
            </c:ext>
          </c:extLst>
        </c:ser>
        <c:dLbls>
          <c:showLegendKey val="0"/>
          <c:showVal val="0"/>
          <c:showCatName val="0"/>
          <c:showSerName val="0"/>
          <c:showPercent val="0"/>
          <c:showBubbleSize val="0"/>
        </c:dLbls>
        <c:axId val="869126751"/>
        <c:axId val="1"/>
      </c:scatterChart>
      <c:valAx>
        <c:axId val="869126751"/>
        <c:scaling>
          <c:orientation val="minMax"/>
          <c:max val="700000"/>
          <c:min val="200000"/>
        </c:scaling>
        <c:delete val="0"/>
        <c:axPos val="b"/>
        <c:numFmt formatCode="0" sourceLinked="0"/>
        <c:majorTickMark val="out"/>
        <c:minorTickMark val="none"/>
        <c:tickLblPos val="nextTo"/>
        <c:spPr>
          <a:ln w="3175">
            <a:solidFill>
              <a:srgbClr val="99CC00"/>
            </a:solidFill>
            <a:prstDash val="solid"/>
          </a:ln>
        </c:spPr>
        <c:txPr>
          <a:bodyPr rot="0" vert="horz"/>
          <a:lstStyle/>
          <a:p>
            <a:pPr>
              <a:defRPr sz="375" b="0" i="0" u="none" strike="noStrike" baseline="0">
                <a:solidFill>
                  <a:srgbClr val="000000"/>
                </a:solidFill>
                <a:latin typeface="MathSoftText"/>
                <a:ea typeface="MathSoftText"/>
                <a:cs typeface="MathSoftText"/>
              </a:defRPr>
            </a:pPr>
            <a:endParaRPr lang="en-US"/>
          </a:p>
        </c:txPr>
        <c:crossAx val="1"/>
        <c:crosses val="autoZero"/>
        <c:crossBetween val="midCat"/>
        <c:majorUnit val="100000"/>
        <c:minorUnit val="20000"/>
      </c:valAx>
      <c:valAx>
        <c:axId val="1"/>
        <c:scaling>
          <c:orientation val="minMax"/>
          <c:max val="60000"/>
          <c:min val="0"/>
        </c:scaling>
        <c:delete val="0"/>
        <c:axPos val="l"/>
        <c:majorGridlines>
          <c:spPr>
            <a:ln w="3175">
              <a:solidFill>
                <a:srgbClr val="99CC00"/>
              </a:solidFill>
              <a:prstDash val="solid"/>
            </a:ln>
          </c:spPr>
        </c:majorGridlines>
        <c:numFmt formatCode="0" sourceLinked="1"/>
        <c:majorTickMark val="out"/>
        <c:minorTickMark val="none"/>
        <c:tickLblPos val="nextTo"/>
        <c:spPr>
          <a:ln w="3175">
            <a:solidFill>
              <a:srgbClr val="99CC00"/>
            </a:solidFill>
            <a:prstDash val="solid"/>
          </a:ln>
        </c:spPr>
        <c:txPr>
          <a:bodyPr rot="0" vert="horz"/>
          <a:lstStyle/>
          <a:p>
            <a:pPr>
              <a:defRPr sz="375" b="0" i="0" u="none" strike="noStrike" baseline="0">
                <a:solidFill>
                  <a:srgbClr val="000000"/>
                </a:solidFill>
                <a:latin typeface="MathSoftText"/>
                <a:ea typeface="MathSoftText"/>
                <a:cs typeface="MathSoftText"/>
              </a:defRPr>
            </a:pPr>
            <a:endParaRPr lang="en-US"/>
          </a:p>
        </c:txPr>
        <c:crossAx val="869126751"/>
        <c:crosses val="autoZero"/>
        <c:crossBetween val="midCat"/>
        <c:majorUnit val="10000"/>
        <c:minorUnit val="5000"/>
      </c:valAx>
      <c:spPr>
        <a:noFill/>
        <a:ln w="12700">
          <a:solidFill>
            <a:srgbClr val="99CC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375" b="0" i="0" u="none" strike="noStrike" baseline="0">
          <a:solidFill>
            <a:srgbClr val="000000"/>
          </a:solidFill>
          <a:latin typeface="MathSoftText"/>
          <a:ea typeface="MathSoftText"/>
          <a:cs typeface="MathSoftText"/>
        </a:defRPr>
      </a:pPr>
      <a:endParaRPr lang="en-US"/>
    </a:p>
  </c:txPr>
  <c:printSettings>
    <c:headerFooter alignWithMargins="0"/>
    <c:pageMargins b="1" l="0.75" r="0.75" t="1" header="0.5" footer="0.5"/>
    <c:pageSetup orientation="landscape" horizontalDpi="355" verticalDpi="355"/>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0" i="0" u="none" strike="noStrike" baseline="0">
                <a:solidFill>
                  <a:srgbClr val="000000"/>
                </a:solidFill>
                <a:latin typeface="MathSoftText"/>
                <a:ea typeface="MathSoftText"/>
                <a:cs typeface="MathSoftText"/>
              </a:defRPr>
            </a:pPr>
            <a:r>
              <a:rPr lang="en-GB"/>
              <a:t>Lens 21 Rogowski and Bdot vs Pot</a:t>
            </a:r>
          </a:p>
        </c:rich>
      </c:tx>
      <c:layout>
        <c:manualLayout>
          <c:xMode val="edge"/>
          <c:yMode val="edge"/>
          <c:x val="0.24365531510444405"/>
          <c:y val="3.9165689224335762E-2"/>
        </c:manualLayout>
      </c:layout>
      <c:overlay val="0"/>
      <c:spPr>
        <a:noFill/>
        <a:ln w="25400">
          <a:noFill/>
        </a:ln>
      </c:spPr>
    </c:title>
    <c:autoTitleDeleted val="0"/>
    <c:plotArea>
      <c:layout>
        <c:manualLayout>
          <c:layoutTarget val="inner"/>
          <c:xMode val="edge"/>
          <c:yMode val="edge"/>
          <c:x val="0.18087296397323763"/>
          <c:y val="0.27938191646692845"/>
          <c:w val="0.39463192139615477"/>
          <c:h val="0.43082258146769342"/>
        </c:manualLayout>
      </c:layout>
      <c:scatterChart>
        <c:scatterStyle val="lineMarker"/>
        <c:varyColors val="0"/>
        <c:ser>
          <c:idx val="1"/>
          <c:order val="1"/>
          <c:tx>
            <c:v>bdot vs pot</c:v>
          </c:tx>
          <c:spPr>
            <a:ln w="19050">
              <a:noFill/>
            </a:ln>
          </c:spPr>
          <c:marker>
            <c:symbol val="square"/>
            <c:size val="5"/>
            <c:spPr>
              <a:solidFill>
                <a:srgbClr val="339966"/>
              </a:solidFill>
              <a:ln>
                <a:solidFill>
                  <a:srgbClr val="339966"/>
                </a:solidFill>
                <a:prstDash val="solid"/>
              </a:ln>
            </c:spPr>
          </c:marker>
          <c:trendline>
            <c:spPr>
              <a:ln w="12700">
                <a:solidFill>
                  <a:srgbClr val="339966"/>
                </a:solidFill>
                <a:prstDash val="solid"/>
              </a:ln>
            </c:spPr>
            <c:trendlineType val="linear"/>
            <c:dispRSqr val="1"/>
            <c:dispEq val="1"/>
            <c:trendlineLbl>
              <c:layout>
                <c:manualLayout>
                  <c:xMode val="edge"/>
                  <c:yMode val="edge"/>
                  <c:x val="0.68761622667511824"/>
                  <c:y val="0.56659697077872406"/>
                </c:manualLayout>
              </c:layout>
              <c:numFmt formatCode="General" sourceLinked="0"/>
              <c:spPr>
                <a:noFill/>
                <a:ln w="25400">
                  <a:noFill/>
                </a:ln>
              </c:spPr>
              <c:txPr>
                <a:bodyPr/>
                <a:lstStyle/>
                <a:p>
                  <a:pPr>
                    <a:defRPr sz="900" b="0" i="0" u="none" strike="noStrike" baseline="0">
                      <a:solidFill>
                        <a:srgbClr val="339966"/>
                      </a:solidFill>
                      <a:latin typeface="MathSoftText"/>
                      <a:ea typeface="MathSoftText"/>
                      <a:cs typeface="MathSoftText"/>
                    </a:defRPr>
                  </a:pPr>
                  <a:endParaRPr lang="en-US"/>
                </a:p>
              </c:txPr>
            </c:trendlineLbl>
          </c:trendline>
          <c:xVal>
            <c:numRef>
              <c:f>'Lens 21'!$A$7:$A$28</c:f>
              <c:numCache>
                <c:formatCode>General</c:formatCode>
                <c:ptCount val="22"/>
                <c:pt idx="0">
                  <c:v>0</c:v>
                </c:pt>
                <c:pt idx="1">
                  <c:v>0</c:v>
                </c:pt>
                <c:pt idx="2">
                  <c:v>2.75</c:v>
                </c:pt>
                <c:pt idx="3">
                  <c:v>2.75</c:v>
                </c:pt>
                <c:pt idx="4">
                  <c:v>3.2</c:v>
                </c:pt>
                <c:pt idx="5">
                  <c:v>3.2</c:v>
                </c:pt>
                <c:pt idx="6">
                  <c:v>3.6</c:v>
                </c:pt>
                <c:pt idx="7">
                  <c:v>3.6</c:v>
                </c:pt>
                <c:pt idx="8">
                  <c:v>4.2</c:v>
                </c:pt>
                <c:pt idx="9">
                  <c:v>4.2</c:v>
                </c:pt>
                <c:pt idx="10">
                  <c:v>4.5999999999999996</c:v>
                </c:pt>
                <c:pt idx="11">
                  <c:v>4.5999999999999996</c:v>
                </c:pt>
                <c:pt idx="12">
                  <c:v>5.15</c:v>
                </c:pt>
                <c:pt idx="13">
                  <c:v>5.15</c:v>
                </c:pt>
                <c:pt idx="14">
                  <c:v>5.5</c:v>
                </c:pt>
                <c:pt idx="15">
                  <c:v>5.5</c:v>
                </c:pt>
                <c:pt idx="16">
                  <c:v>6</c:v>
                </c:pt>
                <c:pt idx="17">
                  <c:v>6</c:v>
                </c:pt>
                <c:pt idx="18">
                  <c:v>6.4</c:v>
                </c:pt>
                <c:pt idx="19">
                  <c:v>6.4</c:v>
                </c:pt>
                <c:pt idx="20">
                  <c:v>6.65</c:v>
                </c:pt>
                <c:pt idx="21">
                  <c:v>6.65</c:v>
                </c:pt>
              </c:numCache>
            </c:numRef>
          </c:xVal>
          <c:yVal>
            <c:numRef>
              <c:f>'Lens 21'!$D$7:$D$28</c:f>
              <c:numCache>
                <c:formatCode>0.00</c:formatCode>
                <c:ptCount val="22"/>
                <c:pt idx="0">
                  <c:v>2.7</c:v>
                </c:pt>
                <c:pt idx="1">
                  <c:v>2.7</c:v>
                </c:pt>
                <c:pt idx="2">
                  <c:v>4</c:v>
                </c:pt>
                <c:pt idx="3">
                  <c:v>4</c:v>
                </c:pt>
                <c:pt idx="4">
                  <c:v>4.2</c:v>
                </c:pt>
                <c:pt idx="5">
                  <c:v>4.2</c:v>
                </c:pt>
                <c:pt idx="6">
                  <c:v>4.4000000000000004</c:v>
                </c:pt>
                <c:pt idx="7">
                  <c:v>4.4000000000000004</c:v>
                </c:pt>
                <c:pt idx="8" formatCode="General">
                  <c:v>4.5999999999999996</c:v>
                </c:pt>
                <c:pt idx="9" formatCode="General">
                  <c:v>4.5999999999999996</c:v>
                </c:pt>
                <c:pt idx="10" formatCode="General">
                  <c:v>4.8</c:v>
                </c:pt>
                <c:pt idx="11" formatCode="General">
                  <c:v>4.8</c:v>
                </c:pt>
                <c:pt idx="12" formatCode="General">
                  <c:v>5</c:v>
                </c:pt>
                <c:pt idx="13" formatCode="General">
                  <c:v>5</c:v>
                </c:pt>
                <c:pt idx="14" formatCode="General">
                  <c:v>5.2</c:v>
                </c:pt>
                <c:pt idx="15" formatCode="General">
                  <c:v>5.2</c:v>
                </c:pt>
                <c:pt idx="16" formatCode="General">
                  <c:v>5.4</c:v>
                </c:pt>
                <c:pt idx="17" formatCode="General">
                  <c:v>5.4</c:v>
                </c:pt>
                <c:pt idx="18" formatCode="General">
                  <c:v>5.6</c:v>
                </c:pt>
                <c:pt idx="19" formatCode="General">
                  <c:v>5.6</c:v>
                </c:pt>
                <c:pt idx="20" formatCode="General">
                  <c:v>5.7</c:v>
                </c:pt>
                <c:pt idx="21" formatCode="0">
                  <c:v>5.7</c:v>
                </c:pt>
              </c:numCache>
            </c:numRef>
          </c:yVal>
          <c:smooth val="0"/>
          <c:extLst>
            <c:ext xmlns:c16="http://schemas.microsoft.com/office/drawing/2014/chart" uri="{C3380CC4-5D6E-409C-BE32-E72D297353CC}">
              <c16:uniqueId val="{00000001-47D3-485E-ADB7-C4B4A275C70C}"/>
            </c:ext>
          </c:extLst>
        </c:ser>
        <c:dLbls>
          <c:showLegendKey val="0"/>
          <c:showVal val="0"/>
          <c:showCatName val="0"/>
          <c:showSerName val="0"/>
          <c:showPercent val="0"/>
          <c:showBubbleSize val="0"/>
        </c:dLbls>
        <c:axId val="869128415"/>
        <c:axId val="1"/>
      </c:scatterChart>
      <c:scatterChart>
        <c:scatterStyle val="lineMarker"/>
        <c:varyColors val="0"/>
        <c:ser>
          <c:idx val="0"/>
          <c:order val="0"/>
          <c:tx>
            <c:v>rog vs pot</c:v>
          </c:tx>
          <c:spPr>
            <a:ln w="19050">
              <a:noFill/>
            </a:ln>
          </c:spPr>
          <c:marker>
            <c:symbol val="diamond"/>
            <c:size val="5"/>
            <c:spPr>
              <a:solidFill>
                <a:srgbClr val="FF0000"/>
              </a:solidFill>
              <a:ln>
                <a:solidFill>
                  <a:srgbClr val="FF0000"/>
                </a:solidFill>
                <a:prstDash val="solid"/>
              </a:ln>
            </c:spPr>
          </c:marker>
          <c:trendline>
            <c:spPr>
              <a:ln w="12700">
                <a:solidFill>
                  <a:srgbClr val="FF0000"/>
                </a:solidFill>
                <a:prstDash val="solid"/>
              </a:ln>
            </c:spPr>
            <c:trendlineType val="linear"/>
            <c:dispRSqr val="1"/>
            <c:dispEq val="1"/>
            <c:trendlineLbl>
              <c:layout>
                <c:manualLayout>
                  <c:xMode val="edge"/>
                  <c:yMode val="edge"/>
                  <c:x val="0.68163695513881284"/>
                  <c:y val="0.78331378448671529"/>
                </c:manualLayout>
              </c:layout>
              <c:numFmt formatCode="General" sourceLinked="0"/>
              <c:spPr>
                <a:noFill/>
                <a:ln w="25400">
                  <a:noFill/>
                </a:ln>
              </c:spPr>
              <c:txPr>
                <a:bodyPr/>
                <a:lstStyle/>
                <a:p>
                  <a:pPr>
                    <a:defRPr sz="900" b="0" i="0" u="none" strike="noStrike" baseline="0">
                      <a:solidFill>
                        <a:srgbClr val="FF0000"/>
                      </a:solidFill>
                      <a:latin typeface="MathSoftText"/>
                      <a:ea typeface="MathSoftText"/>
                      <a:cs typeface="MathSoftText"/>
                    </a:defRPr>
                  </a:pPr>
                  <a:endParaRPr lang="en-US"/>
                </a:p>
              </c:txPr>
            </c:trendlineLbl>
          </c:trendline>
          <c:xVal>
            <c:numRef>
              <c:f>'Lens 21'!$A$7:$A$28</c:f>
              <c:numCache>
                <c:formatCode>General</c:formatCode>
                <c:ptCount val="22"/>
                <c:pt idx="0">
                  <c:v>0</c:v>
                </c:pt>
                <c:pt idx="1">
                  <c:v>0</c:v>
                </c:pt>
                <c:pt idx="2">
                  <c:v>2.75</c:v>
                </c:pt>
                <c:pt idx="3">
                  <c:v>2.75</c:v>
                </c:pt>
                <c:pt idx="4">
                  <c:v>3.2</c:v>
                </c:pt>
                <c:pt idx="5">
                  <c:v>3.2</c:v>
                </c:pt>
                <c:pt idx="6">
                  <c:v>3.6</c:v>
                </c:pt>
                <c:pt idx="7">
                  <c:v>3.6</c:v>
                </c:pt>
                <c:pt idx="8">
                  <c:v>4.2</c:v>
                </c:pt>
                <c:pt idx="9">
                  <c:v>4.2</c:v>
                </c:pt>
                <c:pt idx="10">
                  <c:v>4.5999999999999996</c:v>
                </c:pt>
                <c:pt idx="11">
                  <c:v>4.5999999999999996</c:v>
                </c:pt>
                <c:pt idx="12">
                  <c:v>5.15</c:v>
                </c:pt>
                <c:pt idx="13">
                  <c:v>5.15</c:v>
                </c:pt>
                <c:pt idx="14">
                  <c:v>5.5</c:v>
                </c:pt>
                <c:pt idx="15">
                  <c:v>5.5</c:v>
                </c:pt>
                <c:pt idx="16">
                  <c:v>6</c:v>
                </c:pt>
                <c:pt idx="17">
                  <c:v>6</c:v>
                </c:pt>
                <c:pt idx="18">
                  <c:v>6.4</c:v>
                </c:pt>
                <c:pt idx="19">
                  <c:v>6.4</c:v>
                </c:pt>
                <c:pt idx="20">
                  <c:v>6.65</c:v>
                </c:pt>
                <c:pt idx="21">
                  <c:v>6.65</c:v>
                </c:pt>
              </c:numCache>
            </c:numRef>
          </c:xVal>
          <c:yVal>
            <c:numRef>
              <c:f>'Lens 21'!$C$7:$C$28</c:f>
              <c:numCache>
                <c:formatCode>0.00</c:formatCode>
                <c:ptCount val="22"/>
                <c:pt idx="0">
                  <c:v>0.3</c:v>
                </c:pt>
                <c:pt idx="1">
                  <c:v>0.3</c:v>
                </c:pt>
                <c:pt idx="2">
                  <c:v>0.42</c:v>
                </c:pt>
                <c:pt idx="3">
                  <c:v>0.42</c:v>
                </c:pt>
                <c:pt idx="4">
                  <c:v>0.45</c:v>
                </c:pt>
                <c:pt idx="5">
                  <c:v>0.45</c:v>
                </c:pt>
                <c:pt idx="6">
                  <c:v>0.46500000000000002</c:v>
                </c:pt>
                <c:pt idx="7">
                  <c:v>0.46500000000000002</c:v>
                </c:pt>
                <c:pt idx="8">
                  <c:v>0.49</c:v>
                </c:pt>
                <c:pt idx="9">
                  <c:v>0.49</c:v>
                </c:pt>
                <c:pt idx="10">
                  <c:v>0.52</c:v>
                </c:pt>
                <c:pt idx="11">
                  <c:v>0.52</c:v>
                </c:pt>
                <c:pt idx="12">
                  <c:v>0.54</c:v>
                </c:pt>
                <c:pt idx="13">
                  <c:v>0.54</c:v>
                </c:pt>
                <c:pt idx="14">
                  <c:v>0.56000000000000005</c:v>
                </c:pt>
                <c:pt idx="15">
                  <c:v>0.56000000000000005</c:v>
                </c:pt>
                <c:pt idx="16">
                  <c:v>0.59</c:v>
                </c:pt>
                <c:pt idx="17">
                  <c:v>0.59</c:v>
                </c:pt>
                <c:pt idx="18">
                  <c:v>0.61</c:v>
                </c:pt>
                <c:pt idx="19">
                  <c:v>0.61</c:v>
                </c:pt>
                <c:pt idx="20">
                  <c:v>0.62</c:v>
                </c:pt>
                <c:pt idx="21">
                  <c:v>0.62</c:v>
                </c:pt>
              </c:numCache>
            </c:numRef>
          </c:yVal>
          <c:smooth val="0"/>
          <c:extLst>
            <c:ext xmlns:c16="http://schemas.microsoft.com/office/drawing/2014/chart" uri="{C3380CC4-5D6E-409C-BE32-E72D297353CC}">
              <c16:uniqueId val="{00000003-47D3-485E-ADB7-C4B4A275C70C}"/>
            </c:ext>
          </c:extLst>
        </c:ser>
        <c:dLbls>
          <c:showLegendKey val="0"/>
          <c:showVal val="0"/>
          <c:showCatName val="0"/>
          <c:showSerName val="0"/>
          <c:showPercent val="0"/>
          <c:showBubbleSize val="0"/>
        </c:dLbls>
        <c:axId val="3"/>
        <c:axId val="4"/>
      </c:scatterChart>
      <c:valAx>
        <c:axId val="869128415"/>
        <c:scaling>
          <c:orientation val="minMax"/>
        </c:scaling>
        <c:delete val="0"/>
        <c:axPos val="b"/>
        <c:title>
          <c:tx>
            <c:rich>
              <a:bodyPr/>
              <a:lstStyle/>
              <a:p>
                <a:pPr>
                  <a:defRPr sz="900" b="0" i="0" u="none" strike="noStrike" baseline="0">
                    <a:solidFill>
                      <a:srgbClr val="000000"/>
                    </a:solidFill>
                    <a:latin typeface="MathSoftText"/>
                    <a:ea typeface="MathSoftText"/>
                    <a:cs typeface="MathSoftText"/>
                  </a:defRPr>
                </a:pPr>
                <a:r>
                  <a:rPr lang="en-GB"/>
                  <a:t>pot setting</a:t>
                </a:r>
              </a:p>
            </c:rich>
          </c:tx>
          <c:layout>
            <c:manualLayout>
              <c:xMode val="edge"/>
              <c:yMode val="edge"/>
              <c:x val="0.31241693777195589"/>
              <c:y val="0.82247947371105101"/>
            </c:manualLayout>
          </c:layout>
          <c:overlay val="0"/>
          <c:spPr>
            <a:noFill/>
            <a:ln w="25400">
              <a:noFill/>
            </a:ln>
          </c:spPr>
        </c:title>
        <c:numFmt formatCode="General" sourceLinked="1"/>
        <c:majorTickMark val="out"/>
        <c:minorTickMark val="none"/>
        <c:tickLblPos val="nextTo"/>
        <c:spPr>
          <a:ln w="3175">
            <a:solidFill>
              <a:srgbClr val="99CC00"/>
            </a:solidFill>
            <a:prstDash val="solid"/>
          </a:ln>
        </c:spPr>
        <c:txPr>
          <a:bodyPr rot="0" vert="horz"/>
          <a:lstStyle/>
          <a:p>
            <a:pPr>
              <a:defRPr sz="900" b="0" i="0" u="none" strike="noStrike" baseline="0">
                <a:solidFill>
                  <a:srgbClr val="000000"/>
                </a:solidFill>
                <a:latin typeface="MathSoftText"/>
                <a:ea typeface="MathSoftText"/>
                <a:cs typeface="MathSoftText"/>
              </a:defRPr>
            </a:pPr>
            <a:endParaRPr lang="en-US"/>
          </a:p>
        </c:txPr>
        <c:crossAx val="1"/>
        <c:crosses val="autoZero"/>
        <c:crossBetween val="midCat"/>
      </c:valAx>
      <c:valAx>
        <c:axId val="1"/>
        <c:scaling>
          <c:orientation val="minMax"/>
        </c:scaling>
        <c:delete val="0"/>
        <c:axPos val="l"/>
        <c:majorGridlines>
          <c:spPr>
            <a:ln w="3175">
              <a:solidFill>
                <a:srgbClr val="99CC00"/>
              </a:solidFill>
              <a:prstDash val="solid"/>
            </a:ln>
          </c:spPr>
        </c:majorGridlines>
        <c:title>
          <c:tx>
            <c:rich>
              <a:bodyPr/>
              <a:lstStyle/>
              <a:p>
                <a:pPr>
                  <a:defRPr sz="900" b="0" i="0" u="none" strike="noStrike" baseline="0">
                    <a:solidFill>
                      <a:srgbClr val="000000"/>
                    </a:solidFill>
                    <a:latin typeface="MathSoftText"/>
                    <a:ea typeface="MathSoftText"/>
                    <a:cs typeface="MathSoftText"/>
                  </a:defRPr>
                </a:pPr>
                <a:r>
                  <a:rPr lang="en-GB"/>
                  <a:t>bdot (volts)</a:t>
                </a:r>
              </a:p>
            </c:rich>
          </c:tx>
          <c:layout>
            <c:manualLayout>
              <c:xMode val="edge"/>
              <c:yMode val="edge"/>
              <c:x val="5.5308261710824723E-2"/>
              <c:y val="0.37076852465704524"/>
            </c:manualLayout>
          </c:layout>
          <c:overlay val="0"/>
          <c:spPr>
            <a:noFill/>
            <a:ln w="25400">
              <a:noFill/>
            </a:ln>
          </c:spPr>
        </c:title>
        <c:numFmt formatCode="0.00" sourceLinked="1"/>
        <c:majorTickMark val="out"/>
        <c:minorTickMark val="none"/>
        <c:tickLblPos val="nextTo"/>
        <c:spPr>
          <a:ln w="3175">
            <a:solidFill>
              <a:srgbClr val="99CC00"/>
            </a:solidFill>
            <a:prstDash val="solid"/>
          </a:ln>
        </c:spPr>
        <c:txPr>
          <a:bodyPr rot="0" vert="horz"/>
          <a:lstStyle/>
          <a:p>
            <a:pPr>
              <a:defRPr sz="900" b="0" i="0" u="none" strike="noStrike" baseline="0">
                <a:solidFill>
                  <a:srgbClr val="000000"/>
                </a:solidFill>
                <a:latin typeface="MathSoftText"/>
                <a:ea typeface="MathSoftText"/>
                <a:cs typeface="MathSoftText"/>
              </a:defRPr>
            </a:pPr>
            <a:endParaRPr lang="en-US"/>
          </a:p>
        </c:txPr>
        <c:crossAx val="869128415"/>
        <c:crosses val="autoZero"/>
        <c:crossBetween val="midCat"/>
      </c:valAx>
      <c:valAx>
        <c:axId val="3"/>
        <c:scaling>
          <c:orientation val="minMax"/>
        </c:scaling>
        <c:delete val="1"/>
        <c:axPos val="b"/>
        <c:numFmt formatCode="General" sourceLinked="1"/>
        <c:majorTickMark val="out"/>
        <c:minorTickMark val="none"/>
        <c:tickLblPos val="nextTo"/>
        <c:crossAx val="4"/>
        <c:crosses val="autoZero"/>
        <c:crossBetween val="midCat"/>
      </c:valAx>
      <c:valAx>
        <c:axId val="4"/>
        <c:scaling>
          <c:orientation val="minMax"/>
        </c:scaling>
        <c:delete val="0"/>
        <c:axPos val="r"/>
        <c:numFmt formatCode="0.00" sourceLinked="1"/>
        <c:majorTickMark val="out"/>
        <c:minorTickMark val="none"/>
        <c:tickLblPos val="nextTo"/>
        <c:spPr>
          <a:ln w="3175">
            <a:solidFill>
              <a:srgbClr val="99CC00"/>
            </a:solidFill>
            <a:prstDash val="solid"/>
          </a:ln>
        </c:spPr>
        <c:txPr>
          <a:bodyPr rot="0" vert="horz"/>
          <a:lstStyle/>
          <a:p>
            <a:pPr>
              <a:defRPr sz="900" b="0" i="0" u="none" strike="noStrike" baseline="0">
                <a:solidFill>
                  <a:srgbClr val="000000"/>
                </a:solidFill>
                <a:latin typeface="MathSoftText"/>
                <a:ea typeface="MathSoftText"/>
                <a:cs typeface="MathSoftText"/>
              </a:defRPr>
            </a:pPr>
            <a:endParaRPr lang="en-US"/>
          </a:p>
        </c:txPr>
        <c:crossAx val="3"/>
        <c:crosses val="max"/>
        <c:crossBetween val="midCat"/>
      </c:valAx>
      <c:spPr>
        <a:noFill/>
        <a:ln w="12700">
          <a:solidFill>
            <a:srgbClr val="99CC00"/>
          </a:solidFill>
          <a:prstDash val="solid"/>
        </a:ln>
      </c:spPr>
    </c:plotArea>
    <c:legend>
      <c:legendPos val="r"/>
      <c:layout>
        <c:manualLayout>
          <c:xMode val="edge"/>
          <c:yMode val="edge"/>
          <c:x val="0.66668877629804935"/>
          <c:y val="0.20888367586312406"/>
          <c:w val="0.31391175565603224"/>
          <c:h val="0.28460400836350658"/>
        </c:manualLayout>
      </c:layout>
      <c:overlay val="0"/>
      <c:spPr>
        <a:solidFill>
          <a:srgbClr val="FFFFFF"/>
        </a:solidFill>
        <a:ln w="3175">
          <a:solidFill>
            <a:srgbClr val="000000"/>
          </a:solidFill>
          <a:prstDash val="solid"/>
        </a:ln>
      </c:spPr>
      <c:txPr>
        <a:bodyPr/>
        <a:lstStyle/>
        <a:p>
          <a:pPr>
            <a:defRPr sz="825" b="0" i="0" u="none" strike="noStrike" baseline="0">
              <a:solidFill>
                <a:srgbClr val="000000"/>
              </a:solidFill>
              <a:latin typeface="MathSoftText"/>
              <a:ea typeface="MathSoftText"/>
              <a:cs typeface="MathSoftText"/>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900" b="0" i="0" u="none" strike="noStrike" baseline="0">
          <a:solidFill>
            <a:srgbClr val="000000"/>
          </a:solidFill>
          <a:latin typeface="MathSoftText"/>
          <a:ea typeface="MathSoftText"/>
          <a:cs typeface="MathSoftText"/>
        </a:defRPr>
      </a:pPr>
      <a:endParaRPr lang="en-US"/>
    </a:p>
  </c:txPr>
  <c:printSettings>
    <c:headerFooter alignWithMargins="0"/>
    <c:pageMargins b="1" l="0.75" r="0.75" t="1" header="0.5" footer="0.5"/>
    <c:pageSetup orientation="landscape" horizontalDpi="355" verticalDpi="355"/>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0" i="0" u="none" strike="noStrike" baseline="0">
                <a:solidFill>
                  <a:srgbClr val="000000"/>
                </a:solidFill>
                <a:latin typeface="MathSoftText"/>
                <a:ea typeface="MathSoftText"/>
                <a:cs typeface="MathSoftText"/>
              </a:defRPr>
            </a:pPr>
            <a:r>
              <a:rPr lang="en-GB"/>
              <a:t>Lens 21 Rogowski vs Bdot</a:t>
            </a:r>
          </a:p>
        </c:rich>
      </c:tx>
      <c:layout>
        <c:manualLayout>
          <c:xMode val="edge"/>
          <c:yMode val="edge"/>
          <c:x val="0.3094273020038032"/>
          <c:y val="4.1900827207167333E-2"/>
        </c:manualLayout>
      </c:layout>
      <c:overlay val="0"/>
      <c:spPr>
        <a:noFill/>
        <a:ln w="25400">
          <a:noFill/>
        </a:ln>
      </c:spPr>
    </c:title>
    <c:autoTitleDeleted val="0"/>
    <c:plotArea>
      <c:layout>
        <c:manualLayout>
          <c:layoutTarget val="inner"/>
          <c:xMode val="edge"/>
          <c:yMode val="edge"/>
          <c:x val="0.15845069571209244"/>
          <c:y val="0.24302479780157052"/>
          <c:w val="0.78178975337192791"/>
          <c:h val="0.4916363725640967"/>
        </c:manualLayout>
      </c:layout>
      <c:scatterChart>
        <c:scatterStyle val="lineMarker"/>
        <c:varyColors val="0"/>
        <c:ser>
          <c:idx val="0"/>
          <c:order val="0"/>
          <c:spPr>
            <a:ln w="19050">
              <a:noFill/>
            </a:ln>
          </c:spPr>
          <c:marker>
            <c:symbol val="diamond"/>
            <c:size val="5"/>
            <c:spPr>
              <a:solidFill>
                <a:srgbClr val="FF0000"/>
              </a:solidFill>
              <a:ln>
                <a:solidFill>
                  <a:srgbClr val="FF0000"/>
                </a:solidFill>
                <a:prstDash val="solid"/>
              </a:ln>
            </c:spPr>
          </c:marker>
          <c:trendline>
            <c:spPr>
              <a:ln w="3175">
                <a:solidFill>
                  <a:srgbClr val="FF0000"/>
                </a:solidFill>
                <a:prstDash val="solid"/>
              </a:ln>
            </c:spPr>
            <c:trendlineType val="linear"/>
            <c:dispRSqr val="1"/>
            <c:dispEq val="1"/>
            <c:trendlineLbl>
              <c:layout>
                <c:manualLayout>
                  <c:xMode val="edge"/>
                  <c:yMode val="edge"/>
                  <c:x val="0.73545039896556119"/>
                  <c:y val="2.2347107843822579E-2"/>
                </c:manualLayout>
              </c:layout>
              <c:numFmt formatCode="General" sourceLinked="0"/>
              <c:spPr>
                <a:noFill/>
                <a:ln w="25400">
                  <a:noFill/>
                </a:ln>
              </c:spPr>
              <c:txPr>
                <a:bodyPr/>
                <a:lstStyle/>
                <a:p>
                  <a:pPr>
                    <a:defRPr sz="875" b="0" i="0" u="none" strike="noStrike" baseline="0">
                      <a:solidFill>
                        <a:srgbClr val="FF0000"/>
                      </a:solidFill>
                      <a:latin typeface="MathSoftText"/>
                      <a:ea typeface="MathSoftText"/>
                      <a:cs typeface="MathSoftText"/>
                    </a:defRPr>
                  </a:pPr>
                  <a:endParaRPr lang="en-US"/>
                </a:p>
              </c:txPr>
            </c:trendlineLbl>
          </c:trendline>
          <c:xVal>
            <c:numRef>
              <c:f>'Lens 21'!$D$7:$D$28</c:f>
              <c:numCache>
                <c:formatCode>0.00</c:formatCode>
                <c:ptCount val="22"/>
                <c:pt idx="0">
                  <c:v>2.7</c:v>
                </c:pt>
                <c:pt idx="1">
                  <c:v>2.7</c:v>
                </c:pt>
                <c:pt idx="2">
                  <c:v>4</c:v>
                </c:pt>
                <c:pt idx="3">
                  <c:v>4</c:v>
                </c:pt>
                <c:pt idx="4">
                  <c:v>4.2</c:v>
                </c:pt>
                <c:pt idx="5">
                  <c:v>4.2</c:v>
                </c:pt>
                <c:pt idx="6">
                  <c:v>4.4000000000000004</c:v>
                </c:pt>
                <c:pt idx="7">
                  <c:v>4.4000000000000004</c:v>
                </c:pt>
                <c:pt idx="8" formatCode="General">
                  <c:v>4.5999999999999996</c:v>
                </c:pt>
                <c:pt idx="9" formatCode="General">
                  <c:v>4.5999999999999996</c:v>
                </c:pt>
                <c:pt idx="10" formatCode="General">
                  <c:v>4.8</c:v>
                </c:pt>
                <c:pt idx="11" formatCode="General">
                  <c:v>4.8</c:v>
                </c:pt>
                <c:pt idx="12" formatCode="General">
                  <c:v>5</c:v>
                </c:pt>
                <c:pt idx="13" formatCode="General">
                  <c:v>5</c:v>
                </c:pt>
                <c:pt idx="14" formatCode="General">
                  <c:v>5.2</c:v>
                </c:pt>
                <c:pt idx="15" formatCode="General">
                  <c:v>5.2</c:v>
                </c:pt>
                <c:pt idx="16" formatCode="General">
                  <c:v>5.4</c:v>
                </c:pt>
                <c:pt idx="17" formatCode="General">
                  <c:v>5.4</c:v>
                </c:pt>
                <c:pt idx="18" formatCode="General">
                  <c:v>5.6</c:v>
                </c:pt>
                <c:pt idx="19" formatCode="General">
                  <c:v>5.6</c:v>
                </c:pt>
                <c:pt idx="20" formatCode="General">
                  <c:v>5.7</c:v>
                </c:pt>
                <c:pt idx="21" formatCode="0">
                  <c:v>5.7</c:v>
                </c:pt>
              </c:numCache>
            </c:numRef>
          </c:xVal>
          <c:yVal>
            <c:numRef>
              <c:f>'Lens 21'!$C$7:$C$28</c:f>
              <c:numCache>
                <c:formatCode>0.00</c:formatCode>
                <c:ptCount val="22"/>
                <c:pt idx="0">
                  <c:v>0.3</c:v>
                </c:pt>
                <c:pt idx="1">
                  <c:v>0.3</c:v>
                </c:pt>
                <c:pt idx="2">
                  <c:v>0.42</c:v>
                </c:pt>
                <c:pt idx="3">
                  <c:v>0.42</c:v>
                </c:pt>
                <c:pt idx="4">
                  <c:v>0.45</c:v>
                </c:pt>
                <c:pt idx="5">
                  <c:v>0.45</c:v>
                </c:pt>
                <c:pt idx="6">
                  <c:v>0.46500000000000002</c:v>
                </c:pt>
                <c:pt idx="7">
                  <c:v>0.46500000000000002</c:v>
                </c:pt>
                <c:pt idx="8">
                  <c:v>0.49</c:v>
                </c:pt>
                <c:pt idx="9">
                  <c:v>0.49</c:v>
                </c:pt>
                <c:pt idx="10">
                  <c:v>0.52</c:v>
                </c:pt>
                <c:pt idx="11">
                  <c:v>0.52</c:v>
                </c:pt>
                <c:pt idx="12">
                  <c:v>0.54</c:v>
                </c:pt>
                <c:pt idx="13">
                  <c:v>0.54</c:v>
                </c:pt>
                <c:pt idx="14">
                  <c:v>0.56000000000000005</c:v>
                </c:pt>
                <c:pt idx="15">
                  <c:v>0.56000000000000005</c:v>
                </c:pt>
                <c:pt idx="16">
                  <c:v>0.59</c:v>
                </c:pt>
                <c:pt idx="17">
                  <c:v>0.59</c:v>
                </c:pt>
                <c:pt idx="18">
                  <c:v>0.61</c:v>
                </c:pt>
                <c:pt idx="19">
                  <c:v>0.61</c:v>
                </c:pt>
                <c:pt idx="20">
                  <c:v>0.62</c:v>
                </c:pt>
                <c:pt idx="21">
                  <c:v>0.62</c:v>
                </c:pt>
              </c:numCache>
            </c:numRef>
          </c:yVal>
          <c:smooth val="0"/>
          <c:extLst>
            <c:ext xmlns:c16="http://schemas.microsoft.com/office/drawing/2014/chart" uri="{C3380CC4-5D6E-409C-BE32-E72D297353CC}">
              <c16:uniqueId val="{00000001-7D8F-4565-8D98-B43311C2914E}"/>
            </c:ext>
          </c:extLst>
        </c:ser>
        <c:dLbls>
          <c:showLegendKey val="0"/>
          <c:showVal val="0"/>
          <c:showCatName val="0"/>
          <c:showSerName val="0"/>
          <c:showPercent val="0"/>
          <c:showBubbleSize val="0"/>
        </c:dLbls>
        <c:axId val="879261919"/>
        <c:axId val="1"/>
      </c:scatterChart>
      <c:valAx>
        <c:axId val="879261919"/>
        <c:scaling>
          <c:orientation val="minMax"/>
          <c:min val="4"/>
        </c:scaling>
        <c:delete val="0"/>
        <c:axPos val="b"/>
        <c:title>
          <c:tx>
            <c:rich>
              <a:bodyPr/>
              <a:lstStyle/>
              <a:p>
                <a:pPr>
                  <a:defRPr sz="875" b="0" i="0" u="none" strike="noStrike" baseline="0">
                    <a:solidFill>
                      <a:srgbClr val="000000"/>
                    </a:solidFill>
                    <a:latin typeface="MathSoftText"/>
                    <a:ea typeface="MathSoftText"/>
                    <a:cs typeface="MathSoftText"/>
                  </a:defRPr>
                </a:pPr>
                <a:r>
                  <a:rPr lang="en-GB"/>
                  <a:t> Bdot(volts)</a:t>
                </a:r>
              </a:p>
            </c:rich>
          </c:tx>
          <c:layout>
            <c:manualLayout>
              <c:xMode val="edge"/>
              <c:yMode val="edge"/>
              <c:x val="0.47684690502035371"/>
              <c:y val="0.85477687502621358"/>
            </c:manualLayout>
          </c:layout>
          <c:overlay val="0"/>
          <c:spPr>
            <a:noFill/>
            <a:ln w="25400">
              <a:noFill/>
            </a:ln>
          </c:spPr>
        </c:title>
        <c:numFmt formatCode="0.00" sourceLinked="1"/>
        <c:majorTickMark val="out"/>
        <c:minorTickMark val="none"/>
        <c:tickLblPos val="nextTo"/>
        <c:spPr>
          <a:ln w="3175">
            <a:solidFill>
              <a:srgbClr val="99CC00"/>
            </a:solidFill>
            <a:prstDash val="solid"/>
          </a:ln>
        </c:spPr>
        <c:txPr>
          <a:bodyPr rot="0" vert="horz"/>
          <a:lstStyle/>
          <a:p>
            <a:pPr>
              <a:defRPr sz="875" b="0" i="0" u="none" strike="noStrike" baseline="0">
                <a:solidFill>
                  <a:srgbClr val="000000"/>
                </a:solidFill>
                <a:latin typeface="MathSoftText"/>
                <a:ea typeface="MathSoftText"/>
                <a:cs typeface="MathSoftText"/>
              </a:defRPr>
            </a:pPr>
            <a:endParaRPr lang="en-US"/>
          </a:p>
        </c:txPr>
        <c:crossAx val="1"/>
        <c:crosses val="autoZero"/>
        <c:crossBetween val="midCat"/>
        <c:minorUnit val="0.1"/>
      </c:valAx>
      <c:valAx>
        <c:axId val="1"/>
        <c:scaling>
          <c:orientation val="minMax"/>
        </c:scaling>
        <c:delete val="0"/>
        <c:axPos val="l"/>
        <c:majorGridlines>
          <c:spPr>
            <a:ln w="3175">
              <a:solidFill>
                <a:srgbClr val="99CC00"/>
              </a:solidFill>
              <a:prstDash val="solid"/>
            </a:ln>
          </c:spPr>
        </c:majorGridlines>
        <c:title>
          <c:tx>
            <c:rich>
              <a:bodyPr/>
              <a:lstStyle/>
              <a:p>
                <a:pPr>
                  <a:defRPr sz="875" b="0" i="0" u="none" strike="noStrike" baseline="0">
                    <a:solidFill>
                      <a:srgbClr val="000000"/>
                    </a:solidFill>
                    <a:latin typeface="MathSoftText"/>
                    <a:ea typeface="MathSoftText"/>
                    <a:cs typeface="MathSoftText"/>
                  </a:defRPr>
                </a:pPr>
                <a:r>
                  <a:rPr lang="en-GB"/>
                  <a:t>Rogowski (volts)</a:t>
                </a:r>
              </a:p>
            </c:rich>
          </c:tx>
          <c:layout>
            <c:manualLayout>
              <c:xMode val="edge"/>
              <c:yMode val="edge"/>
              <c:x val="3.2885993449679567E-2"/>
              <c:y val="0.29609917893064913"/>
            </c:manualLayout>
          </c:layout>
          <c:overlay val="0"/>
          <c:spPr>
            <a:noFill/>
            <a:ln w="25400">
              <a:noFill/>
            </a:ln>
          </c:spPr>
        </c:title>
        <c:numFmt formatCode="0.00" sourceLinked="1"/>
        <c:majorTickMark val="out"/>
        <c:minorTickMark val="none"/>
        <c:tickLblPos val="nextTo"/>
        <c:spPr>
          <a:ln w="3175">
            <a:solidFill>
              <a:srgbClr val="99CC00"/>
            </a:solidFill>
            <a:prstDash val="solid"/>
          </a:ln>
        </c:spPr>
        <c:txPr>
          <a:bodyPr rot="0" vert="horz"/>
          <a:lstStyle/>
          <a:p>
            <a:pPr>
              <a:defRPr sz="875" b="0" i="0" u="none" strike="noStrike" baseline="0">
                <a:solidFill>
                  <a:srgbClr val="000000"/>
                </a:solidFill>
                <a:latin typeface="MathSoftText"/>
                <a:ea typeface="MathSoftText"/>
                <a:cs typeface="MathSoftText"/>
              </a:defRPr>
            </a:pPr>
            <a:endParaRPr lang="en-US"/>
          </a:p>
        </c:txPr>
        <c:crossAx val="879261919"/>
        <c:crosses val="autoZero"/>
        <c:crossBetween val="midCat"/>
      </c:valAx>
      <c:spPr>
        <a:noFill/>
        <a:ln w="12700">
          <a:solidFill>
            <a:srgbClr val="99CC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75" b="0" i="0" u="none" strike="noStrike" baseline="0">
          <a:solidFill>
            <a:srgbClr val="000000"/>
          </a:solidFill>
          <a:latin typeface="MathSoftText"/>
          <a:ea typeface="MathSoftText"/>
          <a:cs typeface="MathSoftText"/>
        </a:defRPr>
      </a:pPr>
      <a:endParaRPr lang="en-US"/>
    </a:p>
  </c:txPr>
  <c:printSettings>
    <c:headerFooter alignWithMargins="0"/>
    <c:pageMargins b="1" l="0.75" r="0.75" t="1" header="0.5" footer="0.5"/>
    <c:pageSetup orientation="landscape"/>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25" b="0" i="0" u="none" strike="noStrike" baseline="0">
                <a:solidFill>
                  <a:srgbClr val="000000"/>
                </a:solidFill>
                <a:latin typeface="MathSoftText"/>
                <a:ea typeface="MathSoftText"/>
                <a:cs typeface="MathSoftText"/>
              </a:defRPr>
            </a:pPr>
            <a:r>
              <a:rPr lang="en-GB"/>
              <a:t>lens 21 pulse count vs gradient</a:t>
            </a:r>
          </a:p>
        </c:rich>
      </c:tx>
      <c:layout>
        <c:manualLayout>
          <c:xMode val="edge"/>
          <c:yMode val="edge"/>
          <c:x val="0.31792895703305446"/>
          <c:y val="3.8661092249792882E-2"/>
        </c:manualLayout>
      </c:layout>
      <c:overlay val="0"/>
      <c:spPr>
        <a:noFill/>
        <a:ln w="25400">
          <a:noFill/>
        </a:ln>
      </c:spPr>
    </c:title>
    <c:autoTitleDeleted val="0"/>
    <c:plotArea>
      <c:layout>
        <c:manualLayout>
          <c:layoutTarget val="inner"/>
          <c:xMode val="edge"/>
          <c:yMode val="edge"/>
          <c:x val="0.15954253116567824"/>
          <c:y val="0.23454395964874347"/>
          <c:w val="0.81736644589952545"/>
          <c:h val="0.51548122999723833"/>
        </c:manualLayout>
      </c:layout>
      <c:barChart>
        <c:barDir val="col"/>
        <c:grouping val="clustered"/>
        <c:varyColors val="0"/>
        <c:ser>
          <c:idx val="0"/>
          <c:order val="0"/>
          <c:spPr>
            <a:solidFill>
              <a:srgbClr val="9999FF"/>
            </a:solidFill>
            <a:ln w="12700">
              <a:solidFill>
                <a:srgbClr val="000000"/>
              </a:solidFill>
              <a:prstDash val="solid"/>
            </a:ln>
          </c:spPr>
          <c:invertIfNegative val="0"/>
          <c:dLbls>
            <c:dLbl>
              <c:idx val="0"/>
              <c:layout>
                <c:manualLayout>
                  <c:xMode val="edge"/>
                  <c:yMode val="edge"/>
                  <c:x val="0.17804021593851049"/>
                  <c:y val="0.57991638374689314"/>
                </c:manualLayout>
              </c:layout>
              <c:numFmt formatCode="0" sourceLinked="0"/>
              <c:spPr>
                <a:noFill/>
                <a:ln w="25400">
                  <a:noFill/>
                </a:ln>
              </c:spPr>
              <c:txPr>
                <a:bodyPr rot="-5400000" vert="horz"/>
                <a:lstStyle/>
                <a:p>
                  <a:pPr algn="ctr">
                    <a:defRPr sz="950"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F41-4C2D-B652-7B8558071D15}"/>
                </c:ext>
              </c:extLst>
            </c:dLbl>
            <c:dLbl>
              <c:idx val="1"/>
              <c:layout>
                <c:manualLayout>
                  <c:xMode val="edge"/>
                  <c:yMode val="edge"/>
                  <c:x val="0.25203095502983952"/>
                  <c:y val="0.44846867009759739"/>
                </c:manualLayout>
              </c:layout>
              <c:numFmt formatCode="0" sourceLinked="0"/>
              <c:spPr>
                <a:noFill/>
                <a:ln w="25400">
                  <a:noFill/>
                </a:ln>
              </c:spPr>
              <c:txPr>
                <a:bodyPr rot="-5400000" vert="horz"/>
                <a:lstStyle/>
                <a:p>
                  <a:pPr algn="ctr">
                    <a:defRPr sz="950"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F41-4C2D-B652-7B8558071D15}"/>
                </c:ext>
              </c:extLst>
            </c:dLbl>
            <c:dLbl>
              <c:idx val="2"/>
              <c:layout>
                <c:manualLayout>
                  <c:xMode val="edge"/>
                  <c:yMode val="edge"/>
                  <c:x val="0.32717779941947056"/>
                  <c:y val="0.43042682704769403"/>
                </c:manualLayout>
              </c:layout>
              <c:numFmt formatCode="0" sourceLinked="0"/>
              <c:spPr>
                <a:noFill/>
                <a:ln w="25400">
                  <a:noFill/>
                </a:ln>
              </c:spPr>
              <c:txPr>
                <a:bodyPr rot="-5400000" vert="horz"/>
                <a:lstStyle/>
                <a:p>
                  <a:pPr algn="ctr">
                    <a:defRPr sz="950"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F41-4C2D-B652-7B8558071D15}"/>
                </c:ext>
              </c:extLst>
            </c:dLbl>
            <c:dLbl>
              <c:idx val="3"/>
              <c:layout>
                <c:manualLayout>
                  <c:xMode val="edge"/>
                  <c:yMode val="edge"/>
                  <c:x val="0.40116853851079964"/>
                  <c:y val="0.44589126394761119"/>
                </c:manualLayout>
              </c:layout>
              <c:numFmt formatCode="0" sourceLinked="0"/>
              <c:spPr>
                <a:noFill/>
                <a:ln w="25400">
                  <a:noFill/>
                </a:ln>
              </c:spPr>
              <c:txPr>
                <a:bodyPr rot="-5400000" vert="horz"/>
                <a:lstStyle/>
                <a:p>
                  <a:pPr algn="ctr">
                    <a:defRPr sz="950"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F41-4C2D-B652-7B8558071D15}"/>
                </c:ext>
              </c:extLst>
            </c:dLbl>
            <c:dLbl>
              <c:idx val="4"/>
              <c:layout>
                <c:manualLayout>
                  <c:xMode val="edge"/>
                  <c:yMode val="edge"/>
                  <c:x val="0.47515927760212867"/>
                  <c:y val="0.43558163934766642"/>
                </c:manualLayout>
              </c:layout>
              <c:numFmt formatCode="0" sourceLinked="0"/>
              <c:spPr>
                <a:noFill/>
                <a:ln w="25400">
                  <a:noFill/>
                </a:ln>
              </c:spPr>
              <c:txPr>
                <a:bodyPr rot="-5400000" vert="horz"/>
                <a:lstStyle/>
                <a:p>
                  <a:pPr algn="ctr">
                    <a:defRPr sz="950"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F41-4C2D-B652-7B8558071D15}"/>
                </c:ext>
              </c:extLst>
            </c:dLbl>
            <c:dLbl>
              <c:idx val="5"/>
              <c:layout>
                <c:manualLayout>
                  <c:xMode val="edge"/>
                  <c:yMode val="edge"/>
                  <c:x val="0.54915001669345775"/>
                  <c:y val="0.43042682704769403"/>
                </c:manualLayout>
              </c:layout>
              <c:numFmt formatCode="0" sourceLinked="0"/>
              <c:spPr>
                <a:noFill/>
                <a:ln w="25400">
                  <a:noFill/>
                </a:ln>
              </c:spPr>
              <c:txPr>
                <a:bodyPr rot="-5400000" vert="horz"/>
                <a:lstStyle/>
                <a:p>
                  <a:pPr algn="ctr">
                    <a:defRPr sz="950"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F41-4C2D-B652-7B8558071D15}"/>
                </c:ext>
              </c:extLst>
            </c:dLbl>
            <c:dLbl>
              <c:idx val="6"/>
              <c:layout>
                <c:manualLayout>
                  <c:xMode val="edge"/>
                  <c:yMode val="edge"/>
                  <c:x val="0.62892128227629684"/>
                  <c:y val="0.44846867009759739"/>
                </c:manualLayout>
              </c:layout>
              <c:numFmt formatCode="0" sourceLinked="0"/>
              <c:spPr>
                <a:noFill/>
                <a:ln w="25400">
                  <a:noFill/>
                </a:ln>
              </c:spPr>
              <c:txPr>
                <a:bodyPr rot="-5400000" vert="horz"/>
                <a:lstStyle/>
                <a:p>
                  <a:pPr algn="ctr">
                    <a:defRPr sz="950"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F41-4C2D-B652-7B8558071D15}"/>
                </c:ext>
              </c:extLst>
            </c:dLbl>
            <c:dLbl>
              <c:idx val="7"/>
              <c:layout>
                <c:manualLayout>
                  <c:xMode val="edge"/>
                  <c:yMode val="edge"/>
                  <c:x val="0.70291202136762587"/>
                  <c:y val="0.443313857797625"/>
                </c:manualLayout>
              </c:layout>
              <c:numFmt formatCode="0" sourceLinked="0"/>
              <c:spPr>
                <a:noFill/>
                <a:ln w="25400">
                  <a:noFill/>
                </a:ln>
              </c:spPr>
              <c:txPr>
                <a:bodyPr rot="-5400000" vert="horz"/>
                <a:lstStyle/>
                <a:p>
                  <a:pPr algn="ctr">
                    <a:defRPr sz="950"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F41-4C2D-B652-7B8558071D15}"/>
                </c:ext>
              </c:extLst>
            </c:dLbl>
            <c:dLbl>
              <c:idx val="8"/>
              <c:layout>
                <c:manualLayout>
                  <c:xMode val="edge"/>
                  <c:yMode val="edge"/>
                  <c:x val="0.77227833926574685"/>
                  <c:y val="0.4407364516476388"/>
                </c:manualLayout>
              </c:layout>
              <c:numFmt formatCode="0" sourceLinked="0"/>
              <c:spPr>
                <a:noFill/>
                <a:ln w="25400">
                  <a:noFill/>
                </a:ln>
              </c:spPr>
              <c:txPr>
                <a:bodyPr rot="-5400000" vert="horz"/>
                <a:lstStyle/>
                <a:p>
                  <a:pPr algn="ctr">
                    <a:defRPr sz="950"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F41-4C2D-B652-7B8558071D15}"/>
                </c:ext>
              </c:extLst>
            </c:dLbl>
            <c:dLbl>
              <c:idx val="9"/>
              <c:layout>
                <c:manualLayout>
                  <c:xMode val="edge"/>
                  <c:yMode val="edge"/>
                  <c:x val="0.85089349955028393"/>
                  <c:y val="0.40980757784780453"/>
                </c:manualLayout>
              </c:layout>
              <c:numFmt formatCode="0" sourceLinked="0"/>
              <c:spPr>
                <a:noFill/>
                <a:ln w="25400">
                  <a:noFill/>
                </a:ln>
              </c:spPr>
              <c:txPr>
                <a:bodyPr rot="-5400000" vert="horz"/>
                <a:lstStyle/>
                <a:p>
                  <a:pPr algn="ctr">
                    <a:defRPr sz="950"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F41-4C2D-B652-7B8558071D15}"/>
                </c:ext>
              </c:extLst>
            </c:dLbl>
            <c:dLbl>
              <c:idx val="10"/>
              <c:layout>
                <c:manualLayout>
                  <c:xMode val="edge"/>
                  <c:yMode val="edge"/>
                  <c:x val="0.92141592274670692"/>
                  <c:y val="0.443313857797625"/>
                </c:manualLayout>
              </c:layout>
              <c:numFmt formatCode="0" sourceLinked="0"/>
              <c:spPr>
                <a:noFill/>
                <a:ln w="25400">
                  <a:noFill/>
                </a:ln>
              </c:spPr>
              <c:txPr>
                <a:bodyPr rot="-5400000" vert="horz"/>
                <a:lstStyle/>
                <a:p>
                  <a:pPr algn="ctr">
                    <a:defRPr sz="950"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F41-4C2D-B652-7B8558071D15}"/>
                </c:ext>
              </c:extLst>
            </c:dLbl>
            <c:numFmt formatCode="0" sourceLinked="0"/>
            <c:spPr>
              <a:noFill/>
              <a:ln w="25400">
                <a:noFill/>
              </a:ln>
            </c:spPr>
            <c:txPr>
              <a:bodyPr rot="-5400000" vert="horz" wrap="square" lIns="38100" tIns="19050" rIns="38100" bIns="19050" anchor="ctr">
                <a:spAutoFit/>
              </a:bodyPr>
              <a:lstStyle/>
              <a:p>
                <a:pPr algn="ctr">
                  <a:defRPr sz="950"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'Lens 21'!$E$33:$E$43</c:f>
              <c:numCache>
                <c:formatCode>0</c:formatCode>
                <c:ptCount val="11"/>
                <c:pt idx="0">
                  <c:v>463.00240363508271</c:v>
                </c:pt>
                <c:pt idx="1">
                  <c:v>676.39024413386835</c:v>
                </c:pt>
                <c:pt idx="2">
                  <c:v>711.30825439730586</c:v>
                </c:pt>
                <c:pt idx="3">
                  <c:v>742.34648574258381</c:v>
                </c:pt>
                <c:pt idx="4">
                  <c:v>788.90383276050068</c:v>
                </c:pt>
                <c:pt idx="5">
                  <c:v>819.94206410577817</c:v>
                </c:pt>
                <c:pt idx="6">
                  <c:v>862.61963220553571</c:v>
                </c:pt>
                <c:pt idx="7">
                  <c:v>889.77808463265376</c:v>
                </c:pt>
                <c:pt idx="8">
                  <c:v>928.57587381425094</c:v>
                </c:pt>
                <c:pt idx="9">
                  <c:v>959.61410515952912</c:v>
                </c:pt>
                <c:pt idx="10">
                  <c:v>979.01299975032759</c:v>
                </c:pt>
              </c:numCache>
            </c:numRef>
          </c:cat>
          <c:val>
            <c:numRef>
              <c:f>'Lens 21'!$A$33:$A$43</c:f>
              <c:numCache>
                <c:formatCode>0</c:formatCode>
                <c:ptCount val="11"/>
                <c:pt idx="0">
                  <c:v>1000</c:v>
                </c:pt>
                <c:pt idx="1">
                  <c:v>39600</c:v>
                </c:pt>
                <c:pt idx="2">
                  <c:v>41400</c:v>
                </c:pt>
                <c:pt idx="3">
                  <c:v>42500</c:v>
                </c:pt>
                <c:pt idx="4">
                  <c:v>37500</c:v>
                </c:pt>
                <c:pt idx="5">
                  <c:v>41000</c:v>
                </c:pt>
                <c:pt idx="6">
                  <c:v>40000</c:v>
                </c:pt>
                <c:pt idx="7">
                  <c:v>25000</c:v>
                </c:pt>
                <c:pt idx="8">
                  <c:v>56500</c:v>
                </c:pt>
                <c:pt idx="9">
                  <c:v>41000</c:v>
                </c:pt>
                <c:pt idx="10">
                  <c:v>44200</c:v>
                </c:pt>
              </c:numCache>
            </c:numRef>
          </c:val>
          <c:extLst>
            <c:ext xmlns:c16="http://schemas.microsoft.com/office/drawing/2014/chart" uri="{C3380CC4-5D6E-409C-BE32-E72D297353CC}">
              <c16:uniqueId val="{0000000B-5F41-4C2D-B652-7B8558071D15}"/>
            </c:ext>
          </c:extLst>
        </c:ser>
        <c:dLbls>
          <c:showLegendKey val="0"/>
          <c:showVal val="1"/>
          <c:showCatName val="0"/>
          <c:showSerName val="0"/>
          <c:showPercent val="0"/>
          <c:showBubbleSize val="0"/>
        </c:dLbls>
        <c:gapWidth val="150"/>
        <c:axId val="877464063"/>
        <c:axId val="1"/>
      </c:barChart>
      <c:catAx>
        <c:axId val="877464063"/>
        <c:scaling>
          <c:orientation val="minMax"/>
        </c:scaling>
        <c:delete val="0"/>
        <c:axPos val="b"/>
        <c:title>
          <c:tx>
            <c:rich>
              <a:bodyPr/>
              <a:lstStyle/>
              <a:p>
                <a:pPr>
                  <a:defRPr sz="950" b="0" i="0" u="none" strike="noStrike" baseline="0">
                    <a:solidFill>
                      <a:srgbClr val="000000"/>
                    </a:solidFill>
                    <a:latin typeface="MathSoftText"/>
                    <a:ea typeface="MathSoftText"/>
                    <a:cs typeface="MathSoftText"/>
                  </a:defRPr>
                </a:pPr>
                <a:r>
                  <a:rPr lang="en-GB"/>
                  <a:t>gradient (T/m)</a:t>
                </a:r>
              </a:p>
            </c:rich>
          </c:tx>
          <c:layout>
            <c:manualLayout>
              <c:xMode val="edge"/>
              <c:yMode val="edge"/>
              <c:x val="0.49596917297156495"/>
              <c:y val="0.8634310602453743"/>
            </c:manualLayout>
          </c:layout>
          <c:overlay val="0"/>
          <c:spPr>
            <a:noFill/>
            <a:ln w="25400">
              <a:noFill/>
            </a:ln>
          </c:spPr>
        </c:title>
        <c:numFmt formatCode="0" sourceLinked="0"/>
        <c:majorTickMark val="out"/>
        <c:minorTickMark val="none"/>
        <c:tickLblPos val="nextTo"/>
        <c:spPr>
          <a:ln w="3175">
            <a:solidFill>
              <a:srgbClr val="99CC00"/>
            </a:solidFill>
            <a:prstDash val="solid"/>
          </a:ln>
        </c:spPr>
        <c:txPr>
          <a:bodyPr rot="0" vert="horz"/>
          <a:lstStyle/>
          <a:p>
            <a:pPr>
              <a:defRPr sz="950" b="0" i="0" u="none" strike="noStrike" baseline="0">
                <a:solidFill>
                  <a:srgbClr val="000000"/>
                </a:solidFill>
                <a:latin typeface="MathSoftText"/>
                <a:ea typeface="MathSoftText"/>
                <a:cs typeface="MathSoftText"/>
              </a:defRPr>
            </a:pPr>
            <a:endParaRPr lang="en-US"/>
          </a:p>
        </c:txPr>
        <c:crossAx val="1"/>
        <c:crosses val="autoZero"/>
        <c:auto val="1"/>
        <c:lblAlgn val="ctr"/>
        <c:lblOffset val="100"/>
        <c:tickLblSkip val="1"/>
        <c:tickMarkSkip val="1"/>
        <c:noMultiLvlLbl val="0"/>
      </c:catAx>
      <c:valAx>
        <c:axId val="1"/>
        <c:scaling>
          <c:logBase val="10"/>
          <c:orientation val="minMax"/>
          <c:min val="10"/>
        </c:scaling>
        <c:delete val="0"/>
        <c:axPos val="l"/>
        <c:majorGridlines>
          <c:spPr>
            <a:ln w="3175">
              <a:solidFill>
                <a:srgbClr val="99CC00"/>
              </a:solidFill>
              <a:prstDash val="solid"/>
            </a:ln>
          </c:spPr>
        </c:majorGridlines>
        <c:title>
          <c:tx>
            <c:rich>
              <a:bodyPr/>
              <a:lstStyle/>
              <a:p>
                <a:pPr>
                  <a:defRPr sz="950" b="0" i="0" u="none" strike="noStrike" baseline="0">
                    <a:solidFill>
                      <a:srgbClr val="000000"/>
                    </a:solidFill>
                    <a:latin typeface="MathSoftText"/>
                    <a:ea typeface="MathSoftText"/>
                    <a:cs typeface="MathSoftText"/>
                  </a:defRPr>
                </a:pPr>
                <a:r>
                  <a:rPr lang="en-GB"/>
                  <a:t>number of pulses</a:t>
                </a:r>
              </a:p>
            </c:rich>
          </c:tx>
          <c:layout>
            <c:manualLayout>
              <c:xMode val="edge"/>
              <c:yMode val="edge"/>
              <c:x val="2.5434316562644357E-2"/>
              <c:y val="0.29640170724841208"/>
            </c:manualLayout>
          </c:layout>
          <c:overlay val="0"/>
          <c:spPr>
            <a:noFill/>
            <a:ln w="25400">
              <a:noFill/>
            </a:ln>
          </c:spPr>
        </c:title>
        <c:numFmt formatCode="0" sourceLinked="1"/>
        <c:majorTickMark val="out"/>
        <c:minorTickMark val="none"/>
        <c:tickLblPos val="nextTo"/>
        <c:spPr>
          <a:ln w="3175">
            <a:solidFill>
              <a:srgbClr val="99CC00"/>
            </a:solidFill>
            <a:prstDash val="solid"/>
          </a:ln>
        </c:spPr>
        <c:txPr>
          <a:bodyPr rot="0" vert="horz"/>
          <a:lstStyle/>
          <a:p>
            <a:pPr>
              <a:defRPr sz="950" b="0" i="0" u="none" strike="noStrike" baseline="0">
                <a:solidFill>
                  <a:srgbClr val="000000"/>
                </a:solidFill>
                <a:latin typeface="MathSoftText"/>
                <a:ea typeface="MathSoftText"/>
                <a:cs typeface="MathSoftText"/>
              </a:defRPr>
            </a:pPr>
            <a:endParaRPr lang="en-US"/>
          </a:p>
        </c:txPr>
        <c:crossAx val="877464063"/>
        <c:crosses val="autoZero"/>
        <c:crossBetween val="between"/>
      </c:valAx>
      <c:spPr>
        <a:noFill/>
        <a:ln w="12700">
          <a:solidFill>
            <a:srgbClr val="99CC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950" b="0" i="0" u="none" strike="noStrike" baseline="0">
          <a:solidFill>
            <a:srgbClr val="000000"/>
          </a:solidFill>
          <a:latin typeface="MathSoftText"/>
          <a:ea typeface="MathSoftText"/>
          <a:cs typeface="MathSoftText"/>
        </a:defRPr>
      </a:pPr>
      <a:endParaRPr lang="en-US"/>
    </a:p>
  </c:txPr>
  <c:printSettings>
    <c:headerFooter alignWithMargins="0"/>
    <c:pageMargins b="1" l="0.75" r="0.75" t="1" header="0.5" footer="0.5"/>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25" b="0" i="0" u="none" strike="noStrike" baseline="0">
                <a:solidFill>
                  <a:srgbClr val="000000"/>
                </a:solidFill>
                <a:latin typeface="MathSoftText"/>
                <a:ea typeface="MathSoftText"/>
                <a:cs typeface="MathSoftText"/>
              </a:defRPr>
            </a:pPr>
            <a:r>
              <a:rPr lang="en-GB"/>
              <a:t>lens 20 pulse count vs peak current</a:t>
            </a:r>
          </a:p>
        </c:rich>
      </c:tx>
      <c:layout>
        <c:manualLayout>
          <c:xMode val="edge"/>
          <c:yMode val="edge"/>
          <c:x val="0.24223013195858684"/>
          <c:y val="3.5344149840069526E-2"/>
        </c:manualLayout>
      </c:layout>
      <c:overlay val="0"/>
      <c:spPr>
        <a:noFill/>
        <a:ln w="25400">
          <a:noFill/>
        </a:ln>
      </c:spPr>
    </c:title>
    <c:autoTitleDeleted val="0"/>
    <c:plotArea>
      <c:layout>
        <c:manualLayout>
          <c:layoutTarget val="inner"/>
          <c:xMode val="edge"/>
          <c:yMode val="edge"/>
          <c:x val="0.21000685752372897"/>
          <c:y val="0.27027879289464929"/>
          <c:w val="0.76669170207075654"/>
          <c:h val="0.45739488028325265"/>
        </c:manualLayout>
      </c:layout>
      <c:barChart>
        <c:barDir val="col"/>
        <c:grouping val="clustered"/>
        <c:varyColors val="0"/>
        <c:ser>
          <c:idx val="0"/>
          <c:order val="0"/>
          <c:spPr>
            <a:solidFill>
              <a:srgbClr val="9999FF"/>
            </a:solidFill>
            <a:ln w="12700">
              <a:solidFill>
                <a:srgbClr val="000000"/>
              </a:solidFill>
              <a:prstDash val="solid"/>
            </a:ln>
          </c:spPr>
          <c:invertIfNegative val="0"/>
          <c:dLbls>
            <c:dLbl>
              <c:idx val="0"/>
              <c:layout>
                <c:manualLayout>
                  <c:x val="-3.7839283262019463E-3"/>
                  <c:y val="0.13193598038123477"/>
                </c:manualLayout>
              </c:layout>
              <c:spPr>
                <a:noFill/>
                <a:ln w="25400">
                  <a:noFill/>
                </a:ln>
              </c:spPr>
              <c:txPr>
                <a:bodyPr rot="-5400000" vert="horz"/>
                <a:lstStyle/>
                <a:p>
                  <a:pPr algn="ctr">
                    <a:defRPr sz="1175"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F03-4584-8DAB-34F43603108C}"/>
                </c:ext>
              </c:extLst>
            </c:dLbl>
            <c:dLbl>
              <c:idx val="1"/>
              <c:layout>
                <c:manualLayout>
                  <c:x val="-4.3395154772133404E-3"/>
                  <c:y val="0.16964180695443298"/>
                </c:manualLayout>
              </c:layout>
              <c:spPr>
                <a:noFill/>
                <a:ln w="25400">
                  <a:noFill/>
                </a:ln>
              </c:spPr>
              <c:txPr>
                <a:bodyPr rot="-5400000" vert="horz"/>
                <a:lstStyle/>
                <a:p>
                  <a:pPr algn="ctr">
                    <a:defRPr sz="1175"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F03-4584-8DAB-34F43603108C}"/>
                </c:ext>
              </c:extLst>
            </c:dLbl>
            <c:dLbl>
              <c:idx val="2"/>
              <c:layout>
                <c:manualLayout>
                  <c:x val="-3.7839552339192783E-3"/>
                  <c:y val="0.22275569386265226"/>
                </c:manualLayout>
              </c:layout>
              <c:spPr>
                <a:noFill/>
                <a:ln w="25400">
                  <a:noFill/>
                </a:ln>
              </c:spPr>
              <c:txPr>
                <a:bodyPr rot="-5400000" vert="horz"/>
                <a:lstStyle/>
                <a:p>
                  <a:pPr algn="ctr">
                    <a:defRPr sz="1175"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F03-4584-8DAB-34F43603108C}"/>
                </c:ext>
              </c:extLst>
            </c:dLbl>
            <c:dLbl>
              <c:idx val="3"/>
              <c:layout>
                <c:manualLayout>
                  <c:x val="-4.3395423849306725E-3"/>
                  <c:y val="0.17923311084683591"/>
                </c:manualLayout>
              </c:layout>
              <c:spPr>
                <a:noFill/>
                <a:ln w="25400">
                  <a:noFill/>
                </a:ln>
              </c:spPr>
              <c:txPr>
                <a:bodyPr rot="-5400000" vert="horz"/>
                <a:lstStyle/>
                <a:p>
                  <a:pPr algn="ctr">
                    <a:defRPr sz="1175"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F03-4584-8DAB-34F43603108C}"/>
                </c:ext>
              </c:extLst>
            </c:dLbl>
            <c:dLbl>
              <c:idx val="4"/>
              <c:layout>
                <c:manualLayout>
                  <c:x val="-3.7839821416366104E-3"/>
                  <c:y val="0.25096745764780443"/>
                </c:manualLayout>
              </c:layout>
              <c:spPr>
                <a:noFill/>
                <a:ln w="25400">
                  <a:noFill/>
                </a:ln>
              </c:spPr>
              <c:txPr>
                <a:bodyPr rot="-5400000" vert="horz"/>
                <a:lstStyle/>
                <a:p>
                  <a:pPr algn="ctr">
                    <a:defRPr sz="1175"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F03-4584-8DAB-34F43603108C}"/>
                </c:ext>
              </c:extLst>
            </c:dLbl>
            <c:dLbl>
              <c:idx val="5"/>
              <c:layout>
                <c:manualLayout>
                  <c:x val="-4.3395692926480045E-3"/>
                  <c:y val="0.24748822358306349"/>
                </c:manualLayout>
              </c:layout>
              <c:spPr>
                <a:noFill/>
                <a:ln w="25400">
                  <a:noFill/>
                </a:ln>
              </c:spPr>
              <c:txPr>
                <a:bodyPr rot="-5400000" vert="horz"/>
                <a:lstStyle/>
                <a:p>
                  <a:pPr algn="ctr">
                    <a:defRPr sz="1175"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F03-4584-8DAB-34F43603108C}"/>
                </c:ext>
              </c:extLst>
            </c:dLbl>
            <c:dLbl>
              <c:idx val="6"/>
              <c:layout>
                <c:manualLayout>
                  <c:x val="-3.7840090493538314E-3"/>
                  <c:y val="0.29280667041709429"/>
                </c:manualLayout>
              </c:layout>
              <c:spPr>
                <a:noFill/>
                <a:ln w="25400">
                  <a:noFill/>
                </a:ln>
              </c:spPr>
              <c:txPr>
                <a:bodyPr rot="-5400000" vert="horz"/>
                <a:lstStyle/>
                <a:p>
                  <a:pPr algn="ctr">
                    <a:defRPr sz="1175"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F03-4584-8DAB-34F43603108C}"/>
                </c:ext>
              </c:extLst>
            </c:dLbl>
            <c:dLbl>
              <c:idx val="7"/>
              <c:layout>
                <c:manualLayout>
                  <c:x val="-4.3394212222375161E-3"/>
                  <c:y val="0.25116363694587424"/>
                </c:manualLayout>
              </c:layout>
              <c:spPr>
                <a:noFill/>
                <a:ln w="25400">
                  <a:noFill/>
                </a:ln>
              </c:spPr>
              <c:txPr>
                <a:bodyPr rot="-5400000" vert="horz"/>
                <a:lstStyle/>
                <a:p>
                  <a:pPr algn="ctr">
                    <a:defRPr sz="1175"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F03-4584-8DAB-34F43603108C}"/>
                </c:ext>
              </c:extLst>
            </c:dLbl>
            <c:dLbl>
              <c:idx val="8"/>
              <c:layout>
                <c:manualLayout>
                  <c:x val="-3.7838609789434541E-3"/>
                  <c:y val="0.24125102067011001"/>
                </c:manualLayout>
              </c:layout>
              <c:spPr>
                <a:noFill/>
                <a:ln w="25400">
                  <a:noFill/>
                </a:ln>
              </c:spPr>
              <c:txPr>
                <a:bodyPr rot="-5400000" vert="horz"/>
                <a:lstStyle/>
                <a:p>
                  <a:pPr algn="ctr">
                    <a:defRPr sz="1175"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F03-4584-8DAB-34F43603108C}"/>
                </c:ext>
              </c:extLst>
            </c:dLbl>
            <c:dLbl>
              <c:idx val="9"/>
              <c:layout>
                <c:manualLayout>
                  <c:x val="-4.3394481299549037E-3"/>
                  <c:y val="0.24748822358306349"/>
                </c:manualLayout>
              </c:layout>
              <c:spPr>
                <a:noFill/>
                <a:ln w="25400">
                  <a:noFill/>
                </a:ln>
              </c:spPr>
              <c:txPr>
                <a:bodyPr rot="-5400000" vert="horz"/>
                <a:lstStyle/>
                <a:p>
                  <a:pPr algn="ctr">
                    <a:defRPr sz="1175"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F03-4584-8DAB-34F43603108C}"/>
                </c:ext>
              </c:extLst>
            </c:dLbl>
            <c:dLbl>
              <c:idx val="10"/>
              <c:layout>
                <c:manualLayout>
                  <c:x val="-3.7838878866607306E-3"/>
                  <c:y val="0.14093822034486297"/>
                </c:manualLayout>
              </c:layout>
              <c:spPr>
                <a:noFill/>
                <a:ln w="25400">
                  <a:noFill/>
                </a:ln>
              </c:spPr>
              <c:txPr>
                <a:bodyPr rot="-5400000" vert="horz"/>
                <a:lstStyle/>
                <a:p>
                  <a:pPr algn="ctr">
                    <a:defRPr sz="1175"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F03-4584-8DAB-34F43603108C}"/>
                </c:ext>
              </c:extLst>
            </c:dLbl>
            <c:spPr>
              <a:noFill/>
              <a:ln w="25400">
                <a:noFill/>
              </a:ln>
            </c:spPr>
            <c:txPr>
              <a:bodyPr rot="-5400000" vert="horz" wrap="square" lIns="38100" tIns="19050" rIns="38100" bIns="19050" anchor="ctr">
                <a:spAutoFit/>
              </a:bodyPr>
              <a:lstStyle/>
              <a:p>
                <a:pPr algn="ctr">
                  <a:defRPr sz="1175"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'Lens 20'!$G$37:$G$48</c:f>
              <c:numCache>
                <c:formatCode>0</c:formatCode>
                <c:ptCount val="12"/>
                <c:pt idx="0">
                  <c:v>295.85677884028894</c:v>
                </c:pt>
                <c:pt idx="1">
                  <c:v>435.14875179640211</c:v>
                </c:pt>
                <c:pt idx="2">
                  <c:v>447.58553509605508</c:v>
                </c:pt>
                <c:pt idx="3">
                  <c:v>477.43381501522214</c:v>
                </c:pt>
                <c:pt idx="4">
                  <c:v>499.82002495459733</c:v>
                </c:pt>
                <c:pt idx="5">
                  <c:v>522.20623489397269</c:v>
                </c:pt>
                <c:pt idx="6">
                  <c:v>547.07980149327864</c:v>
                </c:pt>
                <c:pt idx="7">
                  <c:v>566.9786547727233</c:v>
                </c:pt>
                <c:pt idx="8">
                  <c:v>594.33957803195983</c:v>
                </c:pt>
                <c:pt idx="9">
                  <c:v>614.23843131140472</c:v>
                </c:pt>
                <c:pt idx="10">
                  <c:v>626.67521461105753</c:v>
                </c:pt>
              </c:numCache>
            </c:numRef>
          </c:cat>
          <c:val>
            <c:numRef>
              <c:f>'Lens 20'!$A$37:$A$48</c:f>
              <c:numCache>
                <c:formatCode>General</c:formatCode>
                <c:ptCount val="12"/>
                <c:pt idx="0">
                  <c:v>1100</c:v>
                </c:pt>
                <c:pt idx="1">
                  <c:v>10025</c:v>
                </c:pt>
                <c:pt idx="2">
                  <c:v>34375</c:v>
                </c:pt>
                <c:pt idx="3">
                  <c:v>15734</c:v>
                </c:pt>
                <c:pt idx="4">
                  <c:v>59766</c:v>
                </c:pt>
                <c:pt idx="5">
                  <c:v>40000</c:v>
                </c:pt>
                <c:pt idx="6">
                  <c:v>102000</c:v>
                </c:pt>
                <c:pt idx="7">
                  <c:v>57000</c:v>
                </c:pt>
                <c:pt idx="8">
                  <c:v>40000</c:v>
                </c:pt>
                <c:pt idx="9">
                  <c:v>40000</c:v>
                </c:pt>
                <c:pt idx="10">
                  <c:v>8615</c:v>
                </c:pt>
              </c:numCache>
            </c:numRef>
          </c:val>
          <c:extLst>
            <c:ext xmlns:c16="http://schemas.microsoft.com/office/drawing/2014/chart" uri="{C3380CC4-5D6E-409C-BE32-E72D297353CC}">
              <c16:uniqueId val="{0000000B-EF03-4584-8DAB-34F43603108C}"/>
            </c:ext>
          </c:extLst>
        </c:ser>
        <c:dLbls>
          <c:showLegendKey val="0"/>
          <c:showVal val="1"/>
          <c:showCatName val="0"/>
          <c:showSerName val="0"/>
          <c:showPercent val="0"/>
          <c:showBubbleSize val="0"/>
        </c:dLbls>
        <c:gapWidth val="150"/>
        <c:axId val="885877727"/>
        <c:axId val="1"/>
      </c:barChart>
      <c:catAx>
        <c:axId val="885877727"/>
        <c:scaling>
          <c:orientation val="minMax"/>
        </c:scaling>
        <c:delete val="0"/>
        <c:axPos val="b"/>
        <c:title>
          <c:tx>
            <c:rich>
              <a:bodyPr/>
              <a:lstStyle/>
              <a:p>
                <a:pPr>
                  <a:defRPr sz="1175" b="0" i="0" u="none" strike="noStrike" baseline="0">
                    <a:solidFill>
                      <a:srgbClr val="000000"/>
                    </a:solidFill>
                    <a:latin typeface="MathSoftText"/>
                    <a:ea typeface="MathSoftText"/>
                    <a:cs typeface="MathSoftText"/>
                  </a:defRPr>
                </a:pPr>
                <a:r>
                  <a:rPr lang="en-GB"/>
                  <a:t>kiloamps</a:t>
                </a:r>
              </a:p>
            </c:rich>
          </c:tx>
          <c:layout>
            <c:manualLayout>
              <c:xMode val="edge"/>
              <c:yMode val="edge"/>
              <c:x val="0.45890387384814846"/>
              <c:y val="0.85033866379931977"/>
            </c:manualLayout>
          </c:layout>
          <c:overlay val="0"/>
          <c:spPr>
            <a:noFill/>
            <a:ln w="25400">
              <a:noFill/>
            </a:ln>
          </c:spPr>
        </c:title>
        <c:numFmt formatCode="0" sourceLinked="0"/>
        <c:majorTickMark val="out"/>
        <c:minorTickMark val="none"/>
        <c:tickLblPos val="nextTo"/>
        <c:spPr>
          <a:ln w="3175">
            <a:solidFill>
              <a:srgbClr val="99CC00"/>
            </a:solidFill>
            <a:prstDash val="solid"/>
          </a:ln>
        </c:spPr>
        <c:txPr>
          <a:bodyPr rot="0" vert="horz"/>
          <a:lstStyle/>
          <a:p>
            <a:pPr>
              <a:defRPr sz="1175" b="0" i="0" u="none" strike="noStrike" baseline="0">
                <a:solidFill>
                  <a:srgbClr val="000000"/>
                </a:solidFill>
                <a:latin typeface="MathSoftText"/>
                <a:ea typeface="MathSoftText"/>
                <a:cs typeface="MathSoftText"/>
              </a:defRPr>
            </a:pPr>
            <a:endParaRPr lang="en-US"/>
          </a:p>
        </c:txPr>
        <c:crossAx val="1"/>
        <c:crosses val="autoZero"/>
        <c:auto val="1"/>
        <c:lblAlgn val="ctr"/>
        <c:lblOffset val="100"/>
        <c:tickLblSkip val="1"/>
        <c:tickMarkSkip val="1"/>
        <c:noMultiLvlLbl val="0"/>
      </c:catAx>
      <c:valAx>
        <c:axId val="1"/>
        <c:scaling>
          <c:logBase val="10"/>
          <c:orientation val="minMax"/>
          <c:min val="10"/>
        </c:scaling>
        <c:delete val="0"/>
        <c:axPos val="l"/>
        <c:majorGridlines>
          <c:spPr>
            <a:ln w="3175">
              <a:solidFill>
                <a:srgbClr val="99CC00"/>
              </a:solidFill>
              <a:prstDash val="solid"/>
            </a:ln>
          </c:spPr>
        </c:majorGridlines>
        <c:title>
          <c:tx>
            <c:rich>
              <a:bodyPr/>
              <a:lstStyle/>
              <a:p>
                <a:pPr>
                  <a:defRPr sz="1175" b="0" i="0" u="none" strike="noStrike" baseline="0">
                    <a:solidFill>
                      <a:srgbClr val="000000"/>
                    </a:solidFill>
                    <a:latin typeface="MathSoftText"/>
                    <a:ea typeface="MathSoftText"/>
                    <a:cs typeface="MathSoftText"/>
                  </a:defRPr>
                </a:pPr>
                <a:r>
                  <a:rPr lang="en-GB"/>
                  <a:t>number of pulses</a:t>
                </a:r>
              </a:p>
            </c:rich>
          </c:tx>
          <c:layout>
            <c:manualLayout>
              <c:xMode val="edge"/>
              <c:yMode val="edge"/>
              <c:x val="3.4445569223468774E-2"/>
              <c:y val="0.29522760454646307"/>
            </c:manualLayout>
          </c:layout>
          <c:overlay val="0"/>
          <c:spPr>
            <a:noFill/>
            <a:ln w="25400">
              <a:noFill/>
            </a:ln>
          </c:spPr>
        </c:title>
        <c:numFmt formatCode="General" sourceLinked="1"/>
        <c:majorTickMark val="out"/>
        <c:minorTickMark val="none"/>
        <c:tickLblPos val="nextTo"/>
        <c:spPr>
          <a:ln w="3175">
            <a:solidFill>
              <a:srgbClr val="99CC00"/>
            </a:solidFill>
            <a:prstDash val="solid"/>
          </a:ln>
        </c:spPr>
        <c:txPr>
          <a:bodyPr rot="0" vert="horz"/>
          <a:lstStyle/>
          <a:p>
            <a:pPr>
              <a:defRPr sz="1175" b="0" i="0" u="none" strike="noStrike" baseline="0">
                <a:solidFill>
                  <a:srgbClr val="000000"/>
                </a:solidFill>
                <a:latin typeface="MathSoftText"/>
                <a:ea typeface="MathSoftText"/>
                <a:cs typeface="MathSoftText"/>
              </a:defRPr>
            </a:pPr>
            <a:endParaRPr lang="en-US"/>
          </a:p>
        </c:txPr>
        <c:crossAx val="885877727"/>
        <c:crosses val="autoZero"/>
        <c:crossBetween val="between"/>
      </c:valAx>
      <c:spPr>
        <a:noFill/>
        <a:ln w="12700">
          <a:solidFill>
            <a:srgbClr val="99CC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175" b="0" i="0" u="none" strike="noStrike" baseline="0">
          <a:solidFill>
            <a:srgbClr val="000000"/>
          </a:solidFill>
          <a:latin typeface="MathSoftText"/>
          <a:ea typeface="MathSoftText"/>
          <a:cs typeface="MathSoftText"/>
        </a:defRPr>
      </a:pPr>
      <a:endParaRPr lang="en-US"/>
    </a:p>
  </c:txPr>
  <c:printSettings>
    <c:headerFooter alignWithMargins="0"/>
    <c:pageMargins b="1" l="0.75" r="0.75" t="1" header="0.5" footer="0.5"/>
    <c:pageSetup orientation="landscape"/>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325" b="0" i="0" u="none" strike="noStrike" baseline="0">
                <a:solidFill>
                  <a:srgbClr val="000000"/>
                </a:solidFill>
                <a:latin typeface="MathSoftText"/>
                <a:ea typeface="MathSoftText"/>
                <a:cs typeface="MathSoftText"/>
              </a:defRPr>
            </a:pPr>
            <a:r>
              <a:rPr lang="en-GB"/>
              <a:t>lens 20 pulse count vs peak current</a:t>
            </a:r>
          </a:p>
        </c:rich>
      </c:tx>
      <c:layout>
        <c:manualLayout>
          <c:xMode val="edge"/>
          <c:yMode val="edge"/>
          <c:x val="0.4255454714022312"/>
          <c:y val="8.3336830285898125E-2"/>
        </c:manualLayout>
      </c:layout>
      <c:overlay val="0"/>
      <c:spPr>
        <a:noFill/>
        <a:ln w="25400">
          <a:noFill/>
        </a:ln>
      </c:spPr>
    </c:title>
    <c:autoTitleDeleted val="0"/>
    <c:plotArea>
      <c:layout>
        <c:manualLayout>
          <c:layoutTarget val="inner"/>
          <c:xMode val="edge"/>
          <c:yMode val="edge"/>
          <c:x val="5.9842331915938761E-2"/>
          <c:y val="0.38334941931513139"/>
          <c:w val="0.90029463793534537"/>
          <c:h val="0.30834627205782306"/>
        </c:manualLayout>
      </c:layout>
      <c:scatterChart>
        <c:scatterStyle val="lineMarker"/>
        <c:varyColors val="0"/>
        <c:ser>
          <c:idx val="0"/>
          <c:order val="0"/>
          <c:spPr>
            <a:ln w="19050">
              <a:noFill/>
            </a:ln>
          </c:spPr>
          <c:marker>
            <c:symbol val="diamond"/>
            <c:size val="5"/>
            <c:spPr>
              <a:solidFill>
                <a:srgbClr val="000080"/>
              </a:solidFill>
              <a:ln>
                <a:solidFill>
                  <a:srgbClr val="000080"/>
                </a:solidFill>
                <a:prstDash val="solid"/>
              </a:ln>
            </c:spPr>
          </c:marker>
          <c:xVal>
            <c:numRef>
              <c:f>'Lens 20'!$E$37:$E$47</c:f>
              <c:numCache>
                <c:formatCode>0</c:formatCode>
                <c:ptCount val="11"/>
                <c:pt idx="0">
                  <c:v>295856.77884028893</c:v>
                </c:pt>
                <c:pt idx="1">
                  <c:v>435148.7517964021</c:v>
                </c:pt>
                <c:pt idx="2">
                  <c:v>447585.53509605507</c:v>
                </c:pt>
                <c:pt idx="3">
                  <c:v>477433.81501522212</c:v>
                </c:pt>
                <c:pt idx="4" formatCode="General">
                  <c:v>499820.02495459735</c:v>
                </c:pt>
                <c:pt idx="5" formatCode="General">
                  <c:v>522206.23489397269</c:v>
                </c:pt>
                <c:pt idx="6" formatCode="General">
                  <c:v>547079.80149327859</c:v>
                </c:pt>
                <c:pt idx="7" formatCode="General">
                  <c:v>566978.65477272333</c:v>
                </c:pt>
                <c:pt idx="8" formatCode="General">
                  <c:v>594339.57803195983</c:v>
                </c:pt>
                <c:pt idx="9" formatCode="General">
                  <c:v>614238.43131140468</c:v>
                </c:pt>
                <c:pt idx="10" formatCode="General">
                  <c:v>626675.21461105754</c:v>
                </c:pt>
              </c:numCache>
            </c:numRef>
          </c:xVal>
          <c:yVal>
            <c:numRef>
              <c:f>'Lens 20'!$A$37:$A$47</c:f>
              <c:numCache>
                <c:formatCode>General</c:formatCode>
                <c:ptCount val="11"/>
                <c:pt idx="0">
                  <c:v>1100</c:v>
                </c:pt>
                <c:pt idx="1">
                  <c:v>10025</c:v>
                </c:pt>
                <c:pt idx="2">
                  <c:v>34375</c:v>
                </c:pt>
                <c:pt idx="3">
                  <c:v>15734</c:v>
                </c:pt>
                <c:pt idx="4">
                  <c:v>59766</c:v>
                </c:pt>
                <c:pt idx="5">
                  <c:v>40000</c:v>
                </c:pt>
                <c:pt idx="6">
                  <c:v>102000</c:v>
                </c:pt>
                <c:pt idx="7">
                  <c:v>57000</c:v>
                </c:pt>
                <c:pt idx="8">
                  <c:v>40000</c:v>
                </c:pt>
                <c:pt idx="9">
                  <c:v>40000</c:v>
                </c:pt>
                <c:pt idx="10">
                  <c:v>8615</c:v>
                </c:pt>
              </c:numCache>
            </c:numRef>
          </c:yVal>
          <c:smooth val="0"/>
          <c:extLst>
            <c:ext xmlns:c16="http://schemas.microsoft.com/office/drawing/2014/chart" uri="{C3380CC4-5D6E-409C-BE32-E72D297353CC}">
              <c16:uniqueId val="{00000000-B187-4310-B0D6-37400B85FFBB}"/>
            </c:ext>
          </c:extLst>
        </c:ser>
        <c:dLbls>
          <c:showLegendKey val="0"/>
          <c:showVal val="0"/>
          <c:showCatName val="0"/>
          <c:showSerName val="0"/>
          <c:showPercent val="0"/>
          <c:showBubbleSize val="0"/>
        </c:dLbls>
        <c:axId val="1062346943"/>
        <c:axId val="1"/>
      </c:scatterChart>
      <c:valAx>
        <c:axId val="1062346943"/>
        <c:scaling>
          <c:orientation val="minMax"/>
          <c:max val="700000"/>
          <c:min val="200000"/>
        </c:scaling>
        <c:delete val="0"/>
        <c:axPos val="b"/>
        <c:numFmt formatCode="0" sourceLinked="0"/>
        <c:majorTickMark val="out"/>
        <c:minorTickMark val="none"/>
        <c:tickLblPos val="nextTo"/>
        <c:spPr>
          <a:ln w="3175">
            <a:solidFill>
              <a:srgbClr val="99CC00"/>
            </a:solidFill>
            <a:prstDash val="solid"/>
          </a:ln>
        </c:spPr>
        <c:txPr>
          <a:bodyPr rot="0" vert="horz"/>
          <a:lstStyle/>
          <a:p>
            <a:pPr>
              <a:defRPr sz="275" b="0" i="0" u="none" strike="noStrike" baseline="0">
                <a:solidFill>
                  <a:srgbClr val="000000"/>
                </a:solidFill>
                <a:latin typeface="MathSoftText"/>
                <a:ea typeface="MathSoftText"/>
                <a:cs typeface="MathSoftText"/>
              </a:defRPr>
            </a:pPr>
            <a:endParaRPr lang="en-US"/>
          </a:p>
        </c:txPr>
        <c:crossAx val="1"/>
        <c:crosses val="autoZero"/>
        <c:crossBetween val="midCat"/>
        <c:majorUnit val="100000"/>
        <c:minorUnit val="20000"/>
      </c:valAx>
      <c:valAx>
        <c:axId val="1"/>
        <c:scaling>
          <c:orientation val="minMax"/>
          <c:max val="125000"/>
          <c:min val="0"/>
        </c:scaling>
        <c:delete val="0"/>
        <c:axPos val="l"/>
        <c:majorGridlines>
          <c:spPr>
            <a:ln w="3175">
              <a:solidFill>
                <a:srgbClr val="99CC00"/>
              </a:solidFill>
              <a:prstDash val="solid"/>
            </a:ln>
          </c:spPr>
        </c:majorGridlines>
        <c:numFmt formatCode="General" sourceLinked="1"/>
        <c:majorTickMark val="out"/>
        <c:minorTickMark val="none"/>
        <c:tickLblPos val="nextTo"/>
        <c:spPr>
          <a:ln w="3175">
            <a:solidFill>
              <a:srgbClr val="99CC00"/>
            </a:solidFill>
            <a:prstDash val="solid"/>
          </a:ln>
        </c:spPr>
        <c:txPr>
          <a:bodyPr rot="0" vert="horz"/>
          <a:lstStyle/>
          <a:p>
            <a:pPr>
              <a:defRPr sz="275" b="0" i="0" u="none" strike="noStrike" baseline="0">
                <a:solidFill>
                  <a:srgbClr val="000000"/>
                </a:solidFill>
                <a:latin typeface="MathSoftText"/>
                <a:ea typeface="MathSoftText"/>
                <a:cs typeface="MathSoftText"/>
              </a:defRPr>
            </a:pPr>
            <a:endParaRPr lang="en-US"/>
          </a:p>
        </c:txPr>
        <c:crossAx val="1062346943"/>
        <c:crosses val="autoZero"/>
        <c:crossBetween val="midCat"/>
        <c:majorUnit val="25000"/>
        <c:minorUnit val="5000"/>
      </c:valAx>
      <c:spPr>
        <a:noFill/>
        <a:ln w="12700">
          <a:solidFill>
            <a:srgbClr val="99CC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MathSoftText"/>
          <a:ea typeface="MathSoftText"/>
          <a:cs typeface="MathSoftText"/>
        </a:defRPr>
      </a:pPr>
      <a:endParaRPr lang="en-US"/>
    </a:p>
  </c:txPr>
  <c:printSettings>
    <c:headerFooter alignWithMargins="0"/>
    <c:pageMargins b="1" l="0.75" r="0.75" t="1" header="0.5" footer="0.5"/>
    <c:pageSetup orientation="landscape" horizontalDpi="355" verticalDpi="355"/>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75" b="0" i="0" u="none" strike="noStrike" baseline="0">
                <a:solidFill>
                  <a:srgbClr val="000000"/>
                </a:solidFill>
                <a:latin typeface="MathSoftText"/>
                <a:ea typeface="MathSoftText"/>
                <a:cs typeface="MathSoftText"/>
              </a:defRPr>
            </a:pPr>
            <a:r>
              <a:rPr lang="en-GB"/>
              <a:t>lens 20 pulse count vs peak current</a:t>
            </a:r>
          </a:p>
        </c:rich>
      </c:tx>
      <c:layout>
        <c:manualLayout>
          <c:xMode val="edge"/>
          <c:yMode val="edge"/>
          <c:x val="0.23067040212712675"/>
          <c:y val="3.9901661425093472E-2"/>
        </c:manualLayout>
      </c:layout>
      <c:overlay val="0"/>
      <c:spPr>
        <a:noFill/>
        <a:ln w="25400">
          <a:noFill/>
        </a:ln>
      </c:spPr>
    </c:title>
    <c:autoTitleDeleted val="0"/>
    <c:plotArea>
      <c:layout>
        <c:manualLayout>
          <c:layoutTarget val="inner"/>
          <c:xMode val="edge"/>
          <c:yMode val="edge"/>
          <c:x val="0.14503228876256472"/>
          <c:y val="0.23691611471149251"/>
          <c:w val="0.82737467589310731"/>
          <c:h val="0.50375847549180508"/>
        </c:manualLayout>
      </c:layout>
      <c:barChart>
        <c:barDir val="col"/>
        <c:grouping val="clustered"/>
        <c:varyColors val="0"/>
        <c:ser>
          <c:idx val="0"/>
          <c:order val="0"/>
          <c:spPr>
            <a:solidFill>
              <a:srgbClr val="9999FF"/>
            </a:solidFill>
            <a:ln w="12700">
              <a:solidFill>
                <a:srgbClr val="000000"/>
              </a:solidFill>
              <a:prstDash val="solid"/>
            </a:ln>
          </c:spPr>
          <c:invertIfNegative val="0"/>
          <c:cat>
            <c:numRef>
              <c:f>'Lens 20'!$E$37:$E$47</c:f>
              <c:numCache>
                <c:formatCode>0</c:formatCode>
                <c:ptCount val="11"/>
                <c:pt idx="0">
                  <c:v>295856.77884028893</c:v>
                </c:pt>
                <c:pt idx="1">
                  <c:v>435148.7517964021</c:v>
                </c:pt>
                <c:pt idx="2">
                  <c:v>447585.53509605507</c:v>
                </c:pt>
                <c:pt idx="3">
                  <c:v>477433.81501522212</c:v>
                </c:pt>
                <c:pt idx="4" formatCode="General">
                  <c:v>499820.02495459735</c:v>
                </c:pt>
                <c:pt idx="5" formatCode="General">
                  <c:v>522206.23489397269</c:v>
                </c:pt>
                <c:pt idx="6" formatCode="General">
                  <c:v>547079.80149327859</c:v>
                </c:pt>
                <c:pt idx="7" formatCode="General">
                  <c:v>566978.65477272333</c:v>
                </c:pt>
                <c:pt idx="8" formatCode="General">
                  <c:v>594339.57803195983</c:v>
                </c:pt>
                <c:pt idx="9" formatCode="General">
                  <c:v>614238.43131140468</c:v>
                </c:pt>
                <c:pt idx="10" formatCode="General">
                  <c:v>626675.21461105754</c:v>
                </c:pt>
              </c:numCache>
            </c:numRef>
          </c:cat>
          <c:val>
            <c:numRef>
              <c:f>'Lens 20'!$A$37:$A$47</c:f>
              <c:numCache>
                <c:formatCode>General</c:formatCode>
                <c:ptCount val="11"/>
                <c:pt idx="0">
                  <c:v>1100</c:v>
                </c:pt>
                <c:pt idx="1">
                  <c:v>10025</c:v>
                </c:pt>
                <c:pt idx="2">
                  <c:v>34375</c:v>
                </c:pt>
                <c:pt idx="3">
                  <c:v>15734</c:v>
                </c:pt>
                <c:pt idx="4">
                  <c:v>59766</c:v>
                </c:pt>
                <c:pt idx="5">
                  <c:v>40000</c:v>
                </c:pt>
                <c:pt idx="6">
                  <c:v>102000</c:v>
                </c:pt>
                <c:pt idx="7">
                  <c:v>57000</c:v>
                </c:pt>
                <c:pt idx="8">
                  <c:v>40000</c:v>
                </c:pt>
                <c:pt idx="9">
                  <c:v>40000</c:v>
                </c:pt>
                <c:pt idx="10">
                  <c:v>8615</c:v>
                </c:pt>
              </c:numCache>
            </c:numRef>
          </c:val>
          <c:extLst>
            <c:ext xmlns:c16="http://schemas.microsoft.com/office/drawing/2014/chart" uri="{C3380CC4-5D6E-409C-BE32-E72D297353CC}">
              <c16:uniqueId val="{00000000-C1BA-420F-8DE0-4351E6768DBE}"/>
            </c:ext>
          </c:extLst>
        </c:ser>
        <c:dLbls>
          <c:showLegendKey val="0"/>
          <c:showVal val="0"/>
          <c:showCatName val="0"/>
          <c:showSerName val="0"/>
          <c:showPercent val="0"/>
          <c:showBubbleSize val="0"/>
        </c:dLbls>
        <c:gapWidth val="150"/>
        <c:axId val="885878127"/>
        <c:axId val="1"/>
      </c:barChart>
      <c:catAx>
        <c:axId val="885878127"/>
        <c:scaling>
          <c:orientation val="minMax"/>
        </c:scaling>
        <c:delete val="0"/>
        <c:axPos val="b"/>
        <c:numFmt formatCode="0" sourceLinked="0"/>
        <c:majorTickMark val="out"/>
        <c:minorTickMark val="none"/>
        <c:tickLblPos val="nextTo"/>
        <c:spPr>
          <a:ln w="3175">
            <a:solidFill>
              <a:srgbClr val="99CC00"/>
            </a:solidFill>
            <a:prstDash val="solid"/>
          </a:ln>
        </c:spPr>
        <c:txPr>
          <a:bodyPr rot="-2700000" vert="horz"/>
          <a:lstStyle/>
          <a:p>
            <a:pPr>
              <a:defRPr sz="975" b="0" i="0" u="none" strike="noStrike" baseline="0">
                <a:solidFill>
                  <a:srgbClr val="000000"/>
                </a:solidFill>
                <a:latin typeface="MathSoftText"/>
                <a:ea typeface="MathSoftText"/>
                <a:cs typeface="MathSoftText"/>
              </a:defRPr>
            </a:pPr>
            <a:endParaRPr lang="en-US"/>
          </a:p>
        </c:txPr>
        <c:crossAx val="1"/>
        <c:crosses val="autoZero"/>
        <c:auto val="1"/>
        <c:lblAlgn val="ctr"/>
        <c:lblOffset val="100"/>
        <c:tickLblSkip val="1"/>
        <c:tickMarkSkip val="1"/>
        <c:noMultiLvlLbl val="0"/>
      </c:catAx>
      <c:valAx>
        <c:axId val="1"/>
        <c:scaling>
          <c:orientation val="minMax"/>
          <c:max val="140000"/>
          <c:min val="0"/>
        </c:scaling>
        <c:delete val="0"/>
        <c:axPos val="l"/>
        <c:majorGridlines>
          <c:spPr>
            <a:ln w="3175">
              <a:solidFill>
                <a:srgbClr val="99CC00"/>
              </a:solidFill>
              <a:prstDash val="solid"/>
            </a:ln>
          </c:spPr>
        </c:majorGridlines>
        <c:numFmt formatCode="General" sourceLinked="1"/>
        <c:majorTickMark val="out"/>
        <c:minorTickMark val="none"/>
        <c:tickLblPos val="nextTo"/>
        <c:spPr>
          <a:ln w="3175">
            <a:solidFill>
              <a:srgbClr val="99CC00"/>
            </a:solidFill>
            <a:prstDash val="solid"/>
          </a:ln>
        </c:spPr>
        <c:txPr>
          <a:bodyPr rot="0" vert="horz"/>
          <a:lstStyle/>
          <a:p>
            <a:pPr>
              <a:defRPr sz="975" b="0" i="0" u="none" strike="noStrike" baseline="0">
                <a:solidFill>
                  <a:srgbClr val="000000"/>
                </a:solidFill>
                <a:latin typeface="MathSoftText"/>
                <a:ea typeface="MathSoftText"/>
                <a:cs typeface="MathSoftText"/>
              </a:defRPr>
            </a:pPr>
            <a:endParaRPr lang="en-US"/>
          </a:p>
        </c:txPr>
        <c:crossAx val="885878127"/>
        <c:crosses val="autoZero"/>
        <c:crossBetween val="between"/>
        <c:majorUnit val="20000"/>
        <c:minorUnit val="5000"/>
      </c:valAx>
      <c:spPr>
        <a:noFill/>
        <a:ln w="12700">
          <a:solidFill>
            <a:srgbClr val="99CC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975" b="0" i="0" u="none" strike="noStrike" baseline="0">
          <a:solidFill>
            <a:srgbClr val="000000"/>
          </a:solidFill>
          <a:latin typeface="MathSoftText"/>
          <a:ea typeface="MathSoftText"/>
          <a:cs typeface="MathSoftText"/>
        </a:defRPr>
      </a:pPr>
      <a:endParaRPr lang="en-US"/>
    </a:p>
  </c:txPr>
  <c:printSettings>
    <c:headerFooter alignWithMargins="0"/>
    <c:pageMargins b="1" l="0.75" r="0.75" t="1" header="0.5" footer="0.5"/>
    <c:pageSetup orientation="landscape" horizontalDpi="355" verticalDpi="355"/>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0" i="0" u="none" strike="noStrike" baseline="0">
                <a:solidFill>
                  <a:srgbClr val="000000"/>
                </a:solidFill>
                <a:latin typeface="MathSoftText"/>
                <a:ea typeface="MathSoftText"/>
                <a:cs typeface="MathSoftText"/>
              </a:defRPr>
            </a:pPr>
            <a:r>
              <a:rPr lang="en-GB"/>
              <a:t>Lens 20 Rogowski and Bdot vs Pot</a:t>
            </a:r>
          </a:p>
        </c:rich>
      </c:tx>
      <c:layout>
        <c:manualLayout>
          <c:xMode val="edge"/>
          <c:yMode val="edge"/>
          <c:x val="0.25112940452482579"/>
          <c:y val="4.1900827207167333E-2"/>
        </c:manualLayout>
      </c:layout>
      <c:overlay val="0"/>
      <c:spPr>
        <a:noFill/>
        <a:ln w="25400">
          <a:noFill/>
        </a:ln>
      </c:spPr>
    </c:title>
    <c:autoTitleDeleted val="0"/>
    <c:plotArea>
      <c:layout>
        <c:manualLayout>
          <c:layoutTarget val="inner"/>
          <c:xMode val="edge"/>
          <c:yMode val="edge"/>
          <c:x val="0.18087296397323763"/>
          <c:y val="0.28771901348921569"/>
          <c:w val="0.40958010023691821"/>
          <c:h val="0.40783471814976202"/>
        </c:manualLayout>
      </c:layout>
      <c:scatterChart>
        <c:scatterStyle val="lineMarker"/>
        <c:varyColors val="0"/>
        <c:ser>
          <c:idx val="1"/>
          <c:order val="1"/>
          <c:tx>
            <c:v>bdot vs pot</c:v>
          </c:tx>
          <c:spPr>
            <a:ln w="19050">
              <a:noFill/>
            </a:ln>
          </c:spPr>
          <c:marker>
            <c:symbol val="square"/>
            <c:size val="5"/>
            <c:spPr>
              <a:solidFill>
                <a:srgbClr val="339966"/>
              </a:solidFill>
              <a:ln>
                <a:solidFill>
                  <a:srgbClr val="339966"/>
                </a:solidFill>
                <a:prstDash val="solid"/>
              </a:ln>
            </c:spPr>
          </c:marker>
          <c:trendline>
            <c:spPr>
              <a:ln w="12700">
                <a:solidFill>
                  <a:srgbClr val="339966"/>
                </a:solidFill>
                <a:prstDash val="solid"/>
              </a:ln>
            </c:spPr>
            <c:trendlineType val="linear"/>
            <c:dispRSqr val="1"/>
            <c:dispEq val="1"/>
            <c:trendlineLbl>
              <c:layout>
                <c:manualLayout>
                  <c:xMode val="edge"/>
                  <c:yMode val="edge"/>
                  <c:x val="0.73395558108148484"/>
                  <c:y val="0.64527273899037696"/>
                </c:manualLayout>
              </c:layout>
              <c:numFmt formatCode="General" sourceLinked="0"/>
              <c:spPr>
                <a:noFill/>
                <a:ln w="25400">
                  <a:noFill/>
                </a:ln>
              </c:spPr>
              <c:txPr>
                <a:bodyPr/>
                <a:lstStyle/>
                <a:p>
                  <a:pPr>
                    <a:defRPr sz="875" b="0" i="0" u="none" strike="noStrike" baseline="0">
                      <a:solidFill>
                        <a:srgbClr val="339966"/>
                      </a:solidFill>
                      <a:latin typeface="MathSoftText"/>
                      <a:ea typeface="MathSoftText"/>
                      <a:cs typeface="MathSoftText"/>
                    </a:defRPr>
                  </a:pPr>
                  <a:endParaRPr lang="en-US"/>
                </a:p>
              </c:txPr>
            </c:trendlineLbl>
          </c:trendline>
          <c:xVal>
            <c:numRef>
              <c:f>'Lens 20'!$A$7:$A$31</c:f>
              <c:numCache>
                <c:formatCode>General</c:formatCode>
                <c:ptCount val="25"/>
                <c:pt idx="0">
                  <c:v>0</c:v>
                </c:pt>
                <c:pt idx="1">
                  <c:v>0</c:v>
                </c:pt>
                <c:pt idx="2">
                  <c:v>2.8</c:v>
                </c:pt>
                <c:pt idx="3">
                  <c:v>2.8</c:v>
                </c:pt>
                <c:pt idx="4">
                  <c:v>2.8</c:v>
                </c:pt>
                <c:pt idx="5">
                  <c:v>3.05</c:v>
                </c:pt>
                <c:pt idx="6">
                  <c:v>3.05</c:v>
                </c:pt>
                <c:pt idx="7">
                  <c:v>3.65</c:v>
                </c:pt>
                <c:pt idx="8">
                  <c:v>3.65</c:v>
                </c:pt>
                <c:pt idx="9">
                  <c:v>4.0999999999999996</c:v>
                </c:pt>
                <c:pt idx="10">
                  <c:v>4.0999999999999996</c:v>
                </c:pt>
                <c:pt idx="11">
                  <c:v>4.0999999999999996</c:v>
                </c:pt>
                <c:pt idx="12">
                  <c:v>4.55</c:v>
                </c:pt>
                <c:pt idx="13">
                  <c:v>4.55</c:v>
                </c:pt>
                <c:pt idx="14">
                  <c:v>5.05</c:v>
                </c:pt>
                <c:pt idx="15">
                  <c:v>5.05</c:v>
                </c:pt>
                <c:pt idx="16">
                  <c:v>5.05</c:v>
                </c:pt>
                <c:pt idx="17">
                  <c:v>5.45</c:v>
                </c:pt>
                <c:pt idx="18">
                  <c:v>5.45</c:v>
                </c:pt>
                <c:pt idx="19">
                  <c:v>6</c:v>
                </c:pt>
                <c:pt idx="20">
                  <c:v>6</c:v>
                </c:pt>
                <c:pt idx="21">
                  <c:v>6.4</c:v>
                </c:pt>
                <c:pt idx="22">
                  <c:v>6.4</c:v>
                </c:pt>
                <c:pt idx="23">
                  <c:v>6.65</c:v>
                </c:pt>
                <c:pt idx="24">
                  <c:v>6.65</c:v>
                </c:pt>
              </c:numCache>
            </c:numRef>
          </c:xVal>
          <c:yVal>
            <c:numRef>
              <c:f>'Lens 20'!$D$7:$D$31</c:f>
              <c:numCache>
                <c:formatCode>0.00</c:formatCode>
                <c:ptCount val="25"/>
                <c:pt idx="0">
                  <c:v>2.6</c:v>
                </c:pt>
                <c:pt idx="1">
                  <c:v>2.6</c:v>
                </c:pt>
                <c:pt idx="2">
                  <c:v>4</c:v>
                </c:pt>
                <c:pt idx="3">
                  <c:v>4</c:v>
                </c:pt>
                <c:pt idx="4">
                  <c:v>4</c:v>
                </c:pt>
                <c:pt idx="5">
                  <c:v>4.2</c:v>
                </c:pt>
                <c:pt idx="6">
                  <c:v>4.2</c:v>
                </c:pt>
                <c:pt idx="7">
                  <c:v>4.4000000000000004</c:v>
                </c:pt>
                <c:pt idx="8">
                  <c:v>4.4000000000000004</c:v>
                </c:pt>
                <c:pt idx="9">
                  <c:v>4.5999999999999996</c:v>
                </c:pt>
                <c:pt idx="10">
                  <c:v>4.5999999999999996</c:v>
                </c:pt>
                <c:pt idx="11">
                  <c:v>4.5999999999999996</c:v>
                </c:pt>
                <c:pt idx="12" formatCode="General">
                  <c:v>4.8</c:v>
                </c:pt>
                <c:pt idx="13" formatCode="General">
                  <c:v>4.8</c:v>
                </c:pt>
                <c:pt idx="14" formatCode="General">
                  <c:v>5</c:v>
                </c:pt>
                <c:pt idx="15" formatCode="General">
                  <c:v>5</c:v>
                </c:pt>
                <c:pt idx="16" formatCode="General">
                  <c:v>5</c:v>
                </c:pt>
                <c:pt idx="17" formatCode="General">
                  <c:v>5.2</c:v>
                </c:pt>
                <c:pt idx="18" formatCode="General">
                  <c:v>5.2</c:v>
                </c:pt>
                <c:pt idx="19" formatCode="General">
                  <c:v>5.4</c:v>
                </c:pt>
                <c:pt idx="20" formatCode="General">
                  <c:v>5.4</c:v>
                </c:pt>
                <c:pt idx="21" formatCode="General">
                  <c:v>5.6</c:v>
                </c:pt>
                <c:pt idx="22" formatCode="General">
                  <c:v>5.6</c:v>
                </c:pt>
                <c:pt idx="23" formatCode="General">
                  <c:v>5.6</c:v>
                </c:pt>
                <c:pt idx="24" formatCode="General">
                  <c:v>5.7</c:v>
                </c:pt>
              </c:numCache>
            </c:numRef>
          </c:yVal>
          <c:smooth val="0"/>
          <c:extLst>
            <c:ext xmlns:c16="http://schemas.microsoft.com/office/drawing/2014/chart" uri="{C3380CC4-5D6E-409C-BE32-E72D297353CC}">
              <c16:uniqueId val="{00000001-88B5-4C80-B82D-3F5C62B9FD1A}"/>
            </c:ext>
          </c:extLst>
        </c:ser>
        <c:dLbls>
          <c:showLegendKey val="0"/>
          <c:showVal val="0"/>
          <c:showCatName val="0"/>
          <c:showSerName val="0"/>
          <c:showPercent val="0"/>
          <c:showBubbleSize val="0"/>
        </c:dLbls>
        <c:axId val="1062349023"/>
        <c:axId val="1"/>
      </c:scatterChart>
      <c:scatterChart>
        <c:scatterStyle val="lineMarker"/>
        <c:varyColors val="0"/>
        <c:ser>
          <c:idx val="0"/>
          <c:order val="0"/>
          <c:tx>
            <c:v>rog vs pot</c:v>
          </c:tx>
          <c:spPr>
            <a:ln w="19050">
              <a:noFill/>
            </a:ln>
          </c:spPr>
          <c:marker>
            <c:symbol val="diamond"/>
            <c:size val="5"/>
            <c:spPr>
              <a:solidFill>
                <a:srgbClr val="FF0000"/>
              </a:solidFill>
              <a:ln>
                <a:solidFill>
                  <a:srgbClr val="FF0000"/>
                </a:solidFill>
                <a:prstDash val="solid"/>
              </a:ln>
            </c:spPr>
          </c:marker>
          <c:trendline>
            <c:spPr>
              <a:ln w="12700">
                <a:solidFill>
                  <a:srgbClr val="FF0000"/>
                </a:solidFill>
                <a:prstDash val="solid"/>
              </a:ln>
            </c:spPr>
            <c:trendlineType val="linear"/>
            <c:dispRSqr val="1"/>
            <c:dispEq val="1"/>
            <c:trendlineLbl>
              <c:layout>
                <c:manualLayout>
                  <c:xMode val="edge"/>
                  <c:yMode val="edge"/>
                  <c:x val="0.71302813070441606"/>
                  <c:y val="0.80449588237761283"/>
                </c:manualLayout>
              </c:layout>
              <c:numFmt formatCode="General" sourceLinked="0"/>
              <c:spPr>
                <a:noFill/>
                <a:ln w="25400">
                  <a:noFill/>
                </a:ln>
              </c:spPr>
              <c:txPr>
                <a:bodyPr/>
                <a:lstStyle/>
                <a:p>
                  <a:pPr>
                    <a:defRPr sz="875" b="0" i="0" u="none" strike="noStrike" baseline="0">
                      <a:solidFill>
                        <a:srgbClr val="FF0000"/>
                      </a:solidFill>
                      <a:latin typeface="MathSoftText"/>
                      <a:ea typeface="MathSoftText"/>
                      <a:cs typeface="MathSoftText"/>
                    </a:defRPr>
                  </a:pPr>
                  <a:endParaRPr lang="en-US"/>
                </a:p>
              </c:txPr>
            </c:trendlineLbl>
          </c:trendline>
          <c:xVal>
            <c:numRef>
              <c:f>'Lens 20'!$A$7:$A$31</c:f>
              <c:numCache>
                <c:formatCode>General</c:formatCode>
                <c:ptCount val="25"/>
                <c:pt idx="0">
                  <c:v>0</c:v>
                </c:pt>
                <c:pt idx="1">
                  <c:v>0</c:v>
                </c:pt>
                <c:pt idx="2">
                  <c:v>2.8</c:v>
                </c:pt>
                <c:pt idx="3">
                  <c:v>2.8</c:v>
                </c:pt>
                <c:pt idx="4">
                  <c:v>2.8</c:v>
                </c:pt>
                <c:pt idx="5">
                  <c:v>3.05</c:v>
                </c:pt>
                <c:pt idx="6">
                  <c:v>3.05</c:v>
                </c:pt>
                <c:pt idx="7">
                  <c:v>3.65</c:v>
                </c:pt>
                <c:pt idx="8">
                  <c:v>3.65</c:v>
                </c:pt>
                <c:pt idx="9">
                  <c:v>4.0999999999999996</c:v>
                </c:pt>
                <c:pt idx="10">
                  <c:v>4.0999999999999996</c:v>
                </c:pt>
                <c:pt idx="11">
                  <c:v>4.0999999999999996</c:v>
                </c:pt>
                <c:pt idx="12">
                  <c:v>4.55</c:v>
                </c:pt>
                <c:pt idx="13">
                  <c:v>4.55</c:v>
                </c:pt>
                <c:pt idx="14">
                  <c:v>5.05</c:v>
                </c:pt>
                <c:pt idx="15">
                  <c:v>5.05</c:v>
                </c:pt>
                <c:pt idx="16">
                  <c:v>5.05</c:v>
                </c:pt>
                <c:pt idx="17">
                  <c:v>5.45</c:v>
                </c:pt>
                <c:pt idx="18">
                  <c:v>5.45</c:v>
                </c:pt>
                <c:pt idx="19">
                  <c:v>6</c:v>
                </c:pt>
                <c:pt idx="20">
                  <c:v>6</c:v>
                </c:pt>
                <c:pt idx="21">
                  <c:v>6.4</c:v>
                </c:pt>
                <c:pt idx="22">
                  <c:v>6.4</c:v>
                </c:pt>
                <c:pt idx="23">
                  <c:v>6.65</c:v>
                </c:pt>
                <c:pt idx="24">
                  <c:v>6.65</c:v>
                </c:pt>
              </c:numCache>
            </c:numRef>
          </c:xVal>
          <c:yVal>
            <c:numRef>
              <c:f>'Lens 20'!$C$7:$C$31</c:f>
              <c:numCache>
                <c:formatCode>General</c:formatCode>
                <c:ptCount val="25"/>
                <c:pt idx="0">
                  <c:v>0.28000000000000003</c:v>
                </c:pt>
                <c:pt idx="1">
                  <c:v>0.28000000000000003</c:v>
                </c:pt>
                <c:pt idx="2" formatCode="0.000">
                  <c:v>0.43</c:v>
                </c:pt>
                <c:pt idx="3" formatCode="0.000">
                  <c:v>0.43</c:v>
                </c:pt>
                <c:pt idx="4" formatCode="0.000">
                  <c:v>0.43</c:v>
                </c:pt>
                <c:pt idx="5" formatCode="0.000">
                  <c:v>0.44</c:v>
                </c:pt>
                <c:pt idx="6" formatCode="0.000">
                  <c:v>0.44</c:v>
                </c:pt>
                <c:pt idx="7" formatCode="0.000">
                  <c:v>0.47</c:v>
                </c:pt>
                <c:pt idx="8" formatCode="0.000">
                  <c:v>0.47</c:v>
                </c:pt>
                <c:pt idx="9" formatCode="0.000">
                  <c:v>0.49</c:v>
                </c:pt>
                <c:pt idx="10" formatCode="0.000">
                  <c:v>0.49</c:v>
                </c:pt>
                <c:pt idx="11" formatCode="0.000">
                  <c:v>0.49</c:v>
                </c:pt>
                <c:pt idx="12" formatCode="0.000">
                  <c:v>0.51500000000000001</c:v>
                </c:pt>
                <c:pt idx="13" formatCode="0.000">
                  <c:v>0.51500000000000001</c:v>
                </c:pt>
                <c:pt idx="14" formatCode="0.000">
                  <c:v>0.54</c:v>
                </c:pt>
                <c:pt idx="15" formatCode="0.000">
                  <c:v>0.54</c:v>
                </c:pt>
                <c:pt idx="16" formatCode="0.000">
                  <c:v>0.54</c:v>
                </c:pt>
                <c:pt idx="17" formatCode="0.000">
                  <c:v>0.55500000000000005</c:v>
                </c:pt>
                <c:pt idx="18" formatCode="0.000">
                  <c:v>0.55500000000000005</c:v>
                </c:pt>
                <c:pt idx="19" formatCode="0.000">
                  <c:v>0.57999999999999996</c:v>
                </c:pt>
                <c:pt idx="20" formatCode="0.000">
                  <c:v>0.57999999999999996</c:v>
                </c:pt>
                <c:pt idx="21" formatCode="0.000">
                  <c:v>0.6</c:v>
                </c:pt>
                <c:pt idx="22" formatCode="0.000">
                  <c:v>0.6</c:v>
                </c:pt>
                <c:pt idx="23" formatCode="0.000">
                  <c:v>0.6</c:v>
                </c:pt>
                <c:pt idx="24" formatCode="0.000">
                  <c:v>0.61</c:v>
                </c:pt>
              </c:numCache>
            </c:numRef>
          </c:yVal>
          <c:smooth val="0"/>
          <c:extLst>
            <c:ext xmlns:c16="http://schemas.microsoft.com/office/drawing/2014/chart" uri="{C3380CC4-5D6E-409C-BE32-E72D297353CC}">
              <c16:uniqueId val="{00000003-88B5-4C80-B82D-3F5C62B9FD1A}"/>
            </c:ext>
          </c:extLst>
        </c:ser>
        <c:dLbls>
          <c:showLegendKey val="0"/>
          <c:showVal val="0"/>
          <c:showCatName val="0"/>
          <c:showSerName val="0"/>
          <c:showPercent val="0"/>
          <c:showBubbleSize val="0"/>
        </c:dLbls>
        <c:axId val="3"/>
        <c:axId val="4"/>
      </c:scatterChart>
      <c:valAx>
        <c:axId val="1062349023"/>
        <c:scaling>
          <c:orientation val="minMax"/>
        </c:scaling>
        <c:delete val="0"/>
        <c:axPos val="b"/>
        <c:title>
          <c:tx>
            <c:rich>
              <a:bodyPr/>
              <a:lstStyle/>
              <a:p>
                <a:pPr>
                  <a:defRPr sz="875" b="0" i="0" u="none" strike="noStrike" baseline="0">
                    <a:solidFill>
                      <a:srgbClr val="000000"/>
                    </a:solidFill>
                    <a:latin typeface="MathSoftText"/>
                    <a:ea typeface="MathSoftText"/>
                    <a:cs typeface="MathSoftText"/>
                  </a:defRPr>
                </a:pPr>
                <a:r>
                  <a:rPr lang="en-GB"/>
                  <a:t>pot setting</a:t>
                </a:r>
              </a:p>
            </c:rich>
          </c:tx>
          <c:layout>
            <c:manualLayout>
              <c:xMode val="edge"/>
              <c:yMode val="edge"/>
              <c:x val="0.31989102719233758"/>
              <c:y val="0.81566943629952404"/>
            </c:manualLayout>
          </c:layout>
          <c:overlay val="0"/>
          <c:spPr>
            <a:noFill/>
            <a:ln w="25400">
              <a:noFill/>
            </a:ln>
          </c:spPr>
        </c:title>
        <c:numFmt formatCode="General" sourceLinked="1"/>
        <c:majorTickMark val="out"/>
        <c:minorTickMark val="none"/>
        <c:tickLblPos val="nextTo"/>
        <c:spPr>
          <a:ln w="3175">
            <a:solidFill>
              <a:srgbClr val="99CC00"/>
            </a:solidFill>
            <a:prstDash val="solid"/>
          </a:ln>
        </c:spPr>
        <c:txPr>
          <a:bodyPr rot="0" vert="horz"/>
          <a:lstStyle/>
          <a:p>
            <a:pPr>
              <a:defRPr sz="875" b="0" i="0" u="none" strike="noStrike" baseline="0">
                <a:solidFill>
                  <a:srgbClr val="000000"/>
                </a:solidFill>
                <a:latin typeface="MathSoftText"/>
                <a:ea typeface="MathSoftText"/>
                <a:cs typeface="MathSoftText"/>
              </a:defRPr>
            </a:pPr>
            <a:endParaRPr lang="en-US"/>
          </a:p>
        </c:txPr>
        <c:crossAx val="1"/>
        <c:crosses val="autoZero"/>
        <c:crossBetween val="midCat"/>
      </c:valAx>
      <c:valAx>
        <c:axId val="1"/>
        <c:scaling>
          <c:orientation val="minMax"/>
        </c:scaling>
        <c:delete val="0"/>
        <c:axPos val="l"/>
        <c:majorGridlines>
          <c:spPr>
            <a:ln w="3175">
              <a:solidFill>
                <a:srgbClr val="99CC00"/>
              </a:solidFill>
              <a:prstDash val="solid"/>
            </a:ln>
          </c:spPr>
        </c:majorGridlines>
        <c:title>
          <c:tx>
            <c:rich>
              <a:bodyPr/>
              <a:lstStyle/>
              <a:p>
                <a:pPr>
                  <a:defRPr sz="875" b="0" i="0" u="none" strike="noStrike" baseline="0">
                    <a:solidFill>
                      <a:srgbClr val="000000"/>
                    </a:solidFill>
                    <a:latin typeface="MathSoftText"/>
                    <a:ea typeface="MathSoftText"/>
                    <a:cs typeface="MathSoftText"/>
                  </a:defRPr>
                </a:pPr>
                <a:r>
                  <a:rPr lang="en-GB"/>
                  <a:t>bdot (volts)</a:t>
                </a:r>
              </a:p>
            </c:rich>
          </c:tx>
          <c:layout>
            <c:manualLayout>
              <c:xMode val="edge"/>
              <c:yMode val="edge"/>
              <c:x val="5.5308261710824723E-2"/>
              <c:y val="0.36034711398163904"/>
            </c:manualLayout>
          </c:layout>
          <c:overlay val="0"/>
          <c:spPr>
            <a:noFill/>
            <a:ln w="25400">
              <a:noFill/>
            </a:ln>
          </c:spPr>
        </c:title>
        <c:numFmt formatCode="0.00" sourceLinked="1"/>
        <c:majorTickMark val="out"/>
        <c:minorTickMark val="none"/>
        <c:tickLblPos val="nextTo"/>
        <c:spPr>
          <a:ln w="3175">
            <a:solidFill>
              <a:srgbClr val="99CC00"/>
            </a:solidFill>
            <a:prstDash val="solid"/>
          </a:ln>
        </c:spPr>
        <c:txPr>
          <a:bodyPr rot="0" vert="horz"/>
          <a:lstStyle/>
          <a:p>
            <a:pPr>
              <a:defRPr sz="875" b="0" i="0" u="none" strike="noStrike" baseline="0">
                <a:solidFill>
                  <a:srgbClr val="000000"/>
                </a:solidFill>
                <a:latin typeface="MathSoftText"/>
                <a:ea typeface="MathSoftText"/>
                <a:cs typeface="MathSoftText"/>
              </a:defRPr>
            </a:pPr>
            <a:endParaRPr lang="en-US"/>
          </a:p>
        </c:txPr>
        <c:crossAx val="1062349023"/>
        <c:crosses val="autoZero"/>
        <c:crossBetween val="midCat"/>
      </c:valAx>
      <c:valAx>
        <c:axId val="3"/>
        <c:scaling>
          <c:orientation val="minMax"/>
        </c:scaling>
        <c:delete val="1"/>
        <c:axPos val="b"/>
        <c:numFmt formatCode="General" sourceLinked="1"/>
        <c:majorTickMark val="out"/>
        <c:minorTickMark val="none"/>
        <c:tickLblPos val="nextTo"/>
        <c:crossAx val="4"/>
        <c:crosses val="autoZero"/>
        <c:crossBetween val="midCat"/>
      </c:valAx>
      <c:valAx>
        <c:axId val="4"/>
        <c:scaling>
          <c:orientation val="minMax"/>
        </c:scaling>
        <c:delete val="0"/>
        <c:axPos val="r"/>
        <c:numFmt formatCode="General" sourceLinked="1"/>
        <c:majorTickMark val="out"/>
        <c:minorTickMark val="none"/>
        <c:tickLblPos val="nextTo"/>
        <c:spPr>
          <a:ln w="3175">
            <a:solidFill>
              <a:srgbClr val="99CC00"/>
            </a:solidFill>
            <a:prstDash val="solid"/>
          </a:ln>
        </c:spPr>
        <c:txPr>
          <a:bodyPr rot="0" vert="horz"/>
          <a:lstStyle/>
          <a:p>
            <a:pPr>
              <a:defRPr sz="875" b="0" i="0" u="none" strike="noStrike" baseline="0">
                <a:solidFill>
                  <a:srgbClr val="000000"/>
                </a:solidFill>
                <a:latin typeface="MathSoftText"/>
                <a:ea typeface="MathSoftText"/>
                <a:cs typeface="MathSoftText"/>
              </a:defRPr>
            </a:pPr>
            <a:endParaRPr lang="en-US"/>
          </a:p>
        </c:txPr>
        <c:crossAx val="3"/>
        <c:crosses val="max"/>
        <c:crossBetween val="midCat"/>
      </c:valAx>
      <c:spPr>
        <a:noFill/>
        <a:ln w="12700">
          <a:solidFill>
            <a:srgbClr val="99CC00"/>
          </a:solidFill>
          <a:prstDash val="solid"/>
        </a:ln>
      </c:spPr>
    </c:plotArea>
    <c:legend>
      <c:legendPos val="r"/>
      <c:layout>
        <c:manualLayout>
          <c:xMode val="edge"/>
          <c:yMode val="edge"/>
          <c:x val="0.66668877629804935"/>
          <c:y val="0.20391735907488101"/>
          <c:w val="0.31391175565603224"/>
          <c:h val="0.30447934437208263"/>
        </c:manualLayout>
      </c:layout>
      <c:overlay val="0"/>
      <c:spPr>
        <a:solidFill>
          <a:srgbClr val="FFFFFF"/>
        </a:solidFill>
        <a:ln w="3175">
          <a:solidFill>
            <a:srgbClr val="000000"/>
          </a:solidFill>
          <a:prstDash val="solid"/>
        </a:ln>
      </c:spPr>
      <c:txPr>
        <a:bodyPr/>
        <a:lstStyle/>
        <a:p>
          <a:pPr>
            <a:defRPr sz="805" b="0" i="0" u="none" strike="noStrike" baseline="0">
              <a:solidFill>
                <a:srgbClr val="000000"/>
              </a:solidFill>
              <a:latin typeface="MathSoftText"/>
              <a:ea typeface="MathSoftText"/>
              <a:cs typeface="MathSoftText"/>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75" b="0" i="0" u="none" strike="noStrike" baseline="0">
          <a:solidFill>
            <a:srgbClr val="000000"/>
          </a:solidFill>
          <a:latin typeface="MathSoftText"/>
          <a:ea typeface="MathSoftText"/>
          <a:cs typeface="MathSoftText"/>
        </a:defRPr>
      </a:pPr>
      <a:endParaRPr lang="en-US"/>
    </a:p>
  </c:txPr>
  <c:printSettings>
    <c:headerFooter alignWithMargins="0"/>
    <c:pageMargins b="1" l="0.75" r="0.75" t="1" header="0.5" footer="0.5"/>
    <c:pageSetup orientation="landscape" horizontalDpi="355" verticalDpi="355"/>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0" i="0" u="none" strike="noStrike" baseline="0">
                <a:solidFill>
                  <a:srgbClr val="000000"/>
                </a:solidFill>
                <a:latin typeface="MathSoftText"/>
                <a:ea typeface="MathSoftText"/>
                <a:cs typeface="MathSoftText"/>
              </a:defRPr>
            </a:pPr>
            <a:r>
              <a:rPr lang="en-GB"/>
              <a:t>Lens 20 Rogowski vs Bdot</a:t>
            </a:r>
          </a:p>
        </c:rich>
      </c:tx>
      <c:layout>
        <c:manualLayout>
          <c:xMode val="edge"/>
          <c:yMode val="edge"/>
          <c:x val="0.3094273020038032"/>
          <c:y val="4.1900827207167333E-2"/>
        </c:manualLayout>
      </c:layout>
      <c:overlay val="0"/>
      <c:spPr>
        <a:noFill/>
        <a:ln w="25400">
          <a:noFill/>
        </a:ln>
      </c:spPr>
    </c:title>
    <c:autoTitleDeleted val="0"/>
    <c:plotArea>
      <c:layout>
        <c:manualLayout>
          <c:layoutTarget val="inner"/>
          <c:xMode val="edge"/>
          <c:yMode val="edge"/>
          <c:x val="0.14350251687132901"/>
          <c:y val="0.24302479780157052"/>
          <c:w val="0.79673793221269129"/>
          <c:h val="0.4916363725640967"/>
        </c:manualLayout>
      </c:layout>
      <c:scatterChart>
        <c:scatterStyle val="lineMarker"/>
        <c:varyColors val="0"/>
        <c:ser>
          <c:idx val="0"/>
          <c:order val="0"/>
          <c:spPr>
            <a:ln w="19050">
              <a:noFill/>
            </a:ln>
          </c:spPr>
          <c:marker>
            <c:symbol val="diamond"/>
            <c:size val="5"/>
            <c:spPr>
              <a:solidFill>
                <a:srgbClr val="FF0000"/>
              </a:solidFill>
              <a:ln>
                <a:solidFill>
                  <a:srgbClr val="FF0000"/>
                </a:solidFill>
                <a:prstDash val="solid"/>
              </a:ln>
            </c:spPr>
          </c:marker>
          <c:trendline>
            <c:spPr>
              <a:ln w="3175">
                <a:solidFill>
                  <a:srgbClr val="FF0000"/>
                </a:solidFill>
                <a:prstDash val="solid"/>
              </a:ln>
            </c:spPr>
            <c:trendlineType val="linear"/>
            <c:dispRSqr val="1"/>
            <c:dispEq val="1"/>
            <c:trendlineLbl>
              <c:layout>
                <c:manualLayout>
                  <c:xMode val="edge"/>
                  <c:yMode val="edge"/>
                  <c:x val="0.75039857780632468"/>
                  <c:y val="2.2347107843822579E-2"/>
                </c:manualLayout>
              </c:layout>
              <c:numFmt formatCode="General" sourceLinked="0"/>
              <c:spPr>
                <a:noFill/>
                <a:ln w="25400">
                  <a:noFill/>
                </a:ln>
              </c:spPr>
              <c:txPr>
                <a:bodyPr/>
                <a:lstStyle/>
                <a:p>
                  <a:pPr>
                    <a:defRPr sz="875" b="0" i="0" u="none" strike="noStrike" baseline="0">
                      <a:solidFill>
                        <a:srgbClr val="FF0000"/>
                      </a:solidFill>
                      <a:latin typeface="MathSoftText"/>
                      <a:ea typeface="MathSoftText"/>
                      <a:cs typeface="MathSoftText"/>
                    </a:defRPr>
                  </a:pPr>
                  <a:endParaRPr lang="en-US"/>
                </a:p>
              </c:txPr>
            </c:trendlineLbl>
          </c:trendline>
          <c:xVal>
            <c:numRef>
              <c:f>'Lens 20'!$D$7:$D$31</c:f>
              <c:numCache>
                <c:formatCode>0.00</c:formatCode>
                <c:ptCount val="25"/>
                <c:pt idx="0">
                  <c:v>2.6</c:v>
                </c:pt>
                <c:pt idx="1">
                  <c:v>2.6</c:v>
                </c:pt>
                <c:pt idx="2">
                  <c:v>4</c:v>
                </c:pt>
                <c:pt idx="3">
                  <c:v>4</c:v>
                </c:pt>
                <c:pt idx="4">
                  <c:v>4</c:v>
                </c:pt>
                <c:pt idx="5">
                  <c:v>4.2</c:v>
                </c:pt>
                <c:pt idx="6">
                  <c:v>4.2</c:v>
                </c:pt>
                <c:pt idx="7">
                  <c:v>4.4000000000000004</c:v>
                </c:pt>
                <c:pt idx="8">
                  <c:v>4.4000000000000004</c:v>
                </c:pt>
                <c:pt idx="9">
                  <c:v>4.5999999999999996</c:v>
                </c:pt>
                <c:pt idx="10">
                  <c:v>4.5999999999999996</c:v>
                </c:pt>
                <c:pt idx="11">
                  <c:v>4.5999999999999996</c:v>
                </c:pt>
                <c:pt idx="12" formatCode="General">
                  <c:v>4.8</c:v>
                </c:pt>
                <c:pt idx="13" formatCode="General">
                  <c:v>4.8</c:v>
                </c:pt>
                <c:pt idx="14" formatCode="General">
                  <c:v>5</c:v>
                </c:pt>
                <c:pt idx="15" formatCode="General">
                  <c:v>5</c:v>
                </c:pt>
                <c:pt idx="16" formatCode="General">
                  <c:v>5</c:v>
                </c:pt>
                <c:pt idx="17" formatCode="General">
                  <c:v>5.2</c:v>
                </c:pt>
                <c:pt idx="18" formatCode="General">
                  <c:v>5.2</c:v>
                </c:pt>
                <c:pt idx="19" formatCode="General">
                  <c:v>5.4</c:v>
                </c:pt>
                <c:pt idx="20" formatCode="General">
                  <c:v>5.4</c:v>
                </c:pt>
                <c:pt idx="21" formatCode="General">
                  <c:v>5.6</c:v>
                </c:pt>
                <c:pt idx="22" formatCode="General">
                  <c:v>5.6</c:v>
                </c:pt>
                <c:pt idx="23" formatCode="General">
                  <c:v>5.6</c:v>
                </c:pt>
                <c:pt idx="24" formatCode="General">
                  <c:v>5.7</c:v>
                </c:pt>
              </c:numCache>
            </c:numRef>
          </c:xVal>
          <c:yVal>
            <c:numRef>
              <c:f>'Lens 20'!$C$7:$C$31</c:f>
              <c:numCache>
                <c:formatCode>General</c:formatCode>
                <c:ptCount val="25"/>
                <c:pt idx="0">
                  <c:v>0.28000000000000003</c:v>
                </c:pt>
                <c:pt idx="1">
                  <c:v>0.28000000000000003</c:v>
                </c:pt>
                <c:pt idx="2" formatCode="0.000">
                  <c:v>0.43</c:v>
                </c:pt>
                <c:pt idx="3" formatCode="0.000">
                  <c:v>0.43</c:v>
                </c:pt>
                <c:pt idx="4" formatCode="0.000">
                  <c:v>0.43</c:v>
                </c:pt>
                <c:pt idx="5" formatCode="0.000">
                  <c:v>0.44</c:v>
                </c:pt>
                <c:pt idx="6" formatCode="0.000">
                  <c:v>0.44</c:v>
                </c:pt>
                <c:pt idx="7" formatCode="0.000">
                  <c:v>0.47</c:v>
                </c:pt>
                <c:pt idx="8" formatCode="0.000">
                  <c:v>0.47</c:v>
                </c:pt>
                <c:pt idx="9" formatCode="0.000">
                  <c:v>0.49</c:v>
                </c:pt>
                <c:pt idx="10" formatCode="0.000">
                  <c:v>0.49</c:v>
                </c:pt>
                <c:pt idx="11" formatCode="0.000">
                  <c:v>0.49</c:v>
                </c:pt>
                <c:pt idx="12" formatCode="0.000">
                  <c:v>0.51500000000000001</c:v>
                </c:pt>
                <c:pt idx="13" formatCode="0.000">
                  <c:v>0.51500000000000001</c:v>
                </c:pt>
                <c:pt idx="14" formatCode="0.000">
                  <c:v>0.54</c:v>
                </c:pt>
                <c:pt idx="15" formatCode="0.000">
                  <c:v>0.54</c:v>
                </c:pt>
                <c:pt idx="16" formatCode="0.000">
                  <c:v>0.54</c:v>
                </c:pt>
                <c:pt idx="17" formatCode="0.000">
                  <c:v>0.55500000000000005</c:v>
                </c:pt>
                <c:pt idx="18" formatCode="0.000">
                  <c:v>0.55500000000000005</c:v>
                </c:pt>
                <c:pt idx="19" formatCode="0.000">
                  <c:v>0.57999999999999996</c:v>
                </c:pt>
                <c:pt idx="20" formatCode="0.000">
                  <c:v>0.57999999999999996</c:v>
                </c:pt>
                <c:pt idx="21" formatCode="0.000">
                  <c:v>0.6</c:v>
                </c:pt>
                <c:pt idx="22" formatCode="0.000">
                  <c:v>0.6</c:v>
                </c:pt>
                <c:pt idx="23" formatCode="0.000">
                  <c:v>0.6</c:v>
                </c:pt>
                <c:pt idx="24" formatCode="0.000">
                  <c:v>0.61</c:v>
                </c:pt>
              </c:numCache>
            </c:numRef>
          </c:yVal>
          <c:smooth val="0"/>
          <c:extLst>
            <c:ext xmlns:c16="http://schemas.microsoft.com/office/drawing/2014/chart" uri="{C3380CC4-5D6E-409C-BE32-E72D297353CC}">
              <c16:uniqueId val="{00000001-E233-4E4E-8CCE-DED567389E64}"/>
            </c:ext>
          </c:extLst>
        </c:ser>
        <c:dLbls>
          <c:showLegendKey val="0"/>
          <c:showVal val="0"/>
          <c:showCatName val="0"/>
          <c:showSerName val="0"/>
          <c:showPercent val="0"/>
          <c:showBubbleSize val="0"/>
        </c:dLbls>
        <c:axId val="1062349855"/>
        <c:axId val="1"/>
      </c:scatterChart>
      <c:valAx>
        <c:axId val="1062349855"/>
        <c:scaling>
          <c:orientation val="minMax"/>
          <c:min val="4"/>
        </c:scaling>
        <c:delete val="0"/>
        <c:axPos val="b"/>
        <c:title>
          <c:tx>
            <c:rich>
              <a:bodyPr/>
              <a:lstStyle/>
              <a:p>
                <a:pPr>
                  <a:defRPr sz="875" b="0" i="0" u="none" strike="noStrike" baseline="0">
                    <a:solidFill>
                      <a:srgbClr val="000000"/>
                    </a:solidFill>
                    <a:latin typeface="MathSoftText"/>
                    <a:ea typeface="MathSoftText"/>
                    <a:cs typeface="MathSoftText"/>
                  </a:defRPr>
                </a:pPr>
                <a:r>
                  <a:rPr lang="en-GB"/>
                  <a:t>Bdot (volts)</a:t>
                </a:r>
              </a:p>
            </c:rich>
          </c:tx>
          <c:layout>
            <c:manualLayout>
              <c:xMode val="edge"/>
              <c:yMode val="edge"/>
              <c:x val="0.46937281559997202"/>
              <c:y val="0.85477687502621358"/>
            </c:manualLayout>
          </c:layout>
          <c:overlay val="0"/>
          <c:spPr>
            <a:noFill/>
            <a:ln w="25400">
              <a:noFill/>
            </a:ln>
          </c:spPr>
        </c:title>
        <c:numFmt formatCode="0.00" sourceLinked="1"/>
        <c:majorTickMark val="out"/>
        <c:minorTickMark val="none"/>
        <c:tickLblPos val="nextTo"/>
        <c:spPr>
          <a:ln w="3175">
            <a:solidFill>
              <a:srgbClr val="99CC00"/>
            </a:solidFill>
            <a:prstDash val="solid"/>
          </a:ln>
        </c:spPr>
        <c:txPr>
          <a:bodyPr rot="0" vert="horz"/>
          <a:lstStyle/>
          <a:p>
            <a:pPr>
              <a:defRPr sz="875" b="0" i="0" u="none" strike="noStrike" baseline="0">
                <a:solidFill>
                  <a:srgbClr val="000000"/>
                </a:solidFill>
                <a:latin typeface="MathSoftText"/>
                <a:ea typeface="MathSoftText"/>
                <a:cs typeface="MathSoftText"/>
              </a:defRPr>
            </a:pPr>
            <a:endParaRPr lang="en-US"/>
          </a:p>
        </c:txPr>
        <c:crossAx val="1"/>
        <c:crosses val="autoZero"/>
        <c:crossBetween val="midCat"/>
        <c:minorUnit val="0.1"/>
      </c:valAx>
      <c:valAx>
        <c:axId val="1"/>
        <c:scaling>
          <c:orientation val="minMax"/>
        </c:scaling>
        <c:delete val="0"/>
        <c:axPos val="l"/>
        <c:majorGridlines>
          <c:spPr>
            <a:ln w="3175">
              <a:solidFill>
                <a:srgbClr val="99CC00"/>
              </a:solidFill>
              <a:prstDash val="solid"/>
            </a:ln>
          </c:spPr>
        </c:majorGridlines>
        <c:title>
          <c:tx>
            <c:rich>
              <a:bodyPr/>
              <a:lstStyle/>
              <a:p>
                <a:pPr>
                  <a:defRPr sz="875" b="0" i="0" u="none" strike="noStrike" baseline="0">
                    <a:solidFill>
                      <a:srgbClr val="000000"/>
                    </a:solidFill>
                    <a:latin typeface="MathSoftText"/>
                    <a:ea typeface="MathSoftText"/>
                    <a:cs typeface="MathSoftText"/>
                  </a:defRPr>
                </a:pPr>
                <a:r>
                  <a:rPr lang="en-GB"/>
                  <a:t>Rogowski (volts)</a:t>
                </a:r>
              </a:p>
            </c:rich>
          </c:tx>
          <c:layout>
            <c:manualLayout>
              <c:xMode val="edge"/>
              <c:yMode val="edge"/>
              <c:x val="3.2885993449679567E-2"/>
              <c:y val="0.29609917893064913"/>
            </c:manualLayout>
          </c:layout>
          <c:overlay val="0"/>
          <c:spPr>
            <a:noFill/>
            <a:ln w="25400">
              <a:noFill/>
            </a:ln>
          </c:spPr>
        </c:title>
        <c:numFmt formatCode="General" sourceLinked="1"/>
        <c:majorTickMark val="out"/>
        <c:minorTickMark val="none"/>
        <c:tickLblPos val="nextTo"/>
        <c:spPr>
          <a:ln w="3175">
            <a:solidFill>
              <a:srgbClr val="99CC00"/>
            </a:solidFill>
            <a:prstDash val="solid"/>
          </a:ln>
        </c:spPr>
        <c:txPr>
          <a:bodyPr rot="0" vert="horz"/>
          <a:lstStyle/>
          <a:p>
            <a:pPr>
              <a:defRPr sz="875" b="0" i="0" u="none" strike="noStrike" baseline="0">
                <a:solidFill>
                  <a:srgbClr val="000000"/>
                </a:solidFill>
                <a:latin typeface="MathSoftText"/>
                <a:ea typeface="MathSoftText"/>
                <a:cs typeface="MathSoftText"/>
              </a:defRPr>
            </a:pPr>
            <a:endParaRPr lang="en-US"/>
          </a:p>
        </c:txPr>
        <c:crossAx val="1062349855"/>
        <c:crosses val="autoZero"/>
        <c:crossBetween val="midCat"/>
      </c:valAx>
      <c:spPr>
        <a:noFill/>
        <a:ln w="12700">
          <a:solidFill>
            <a:srgbClr val="99CC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75" b="0" i="0" u="none" strike="noStrike" baseline="0">
          <a:solidFill>
            <a:srgbClr val="000000"/>
          </a:solidFill>
          <a:latin typeface="MathSoftText"/>
          <a:ea typeface="MathSoftText"/>
          <a:cs typeface="MathSoftText"/>
        </a:defRPr>
      </a:pPr>
      <a:endParaRPr lang="en-US"/>
    </a:p>
  </c:txPr>
  <c:printSettings>
    <c:headerFooter alignWithMargins="0"/>
    <c:pageMargins b="1" l="0.75" r="0.75" t="1" header="0.5" footer="0.5"/>
    <c:pageSetup orientation="landscape"/>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75" b="0" i="0" u="none" strike="noStrike" baseline="0">
                <a:solidFill>
                  <a:srgbClr val="000000"/>
                </a:solidFill>
                <a:latin typeface="MathSoftText"/>
                <a:ea typeface="MathSoftText"/>
                <a:cs typeface="MathSoftText"/>
              </a:defRPr>
            </a:pPr>
            <a:r>
              <a:rPr lang="en-GB"/>
              <a:t>lens 20 pulse count vs gradient</a:t>
            </a:r>
          </a:p>
        </c:rich>
      </c:tx>
      <c:layout>
        <c:manualLayout>
          <c:xMode val="edge"/>
          <c:yMode val="edge"/>
          <c:x val="0.30932214113575163"/>
          <c:y val="3.5125125250730034E-2"/>
        </c:manualLayout>
      </c:layout>
      <c:overlay val="0"/>
      <c:spPr>
        <a:noFill/>
        <a:ln w="25400">
          <a:noFill/>
        </a:ln>
      </c:spPr>
    </c:title>
    <c:autoTitleDeleted val="0"/>
    <c:plotArea>
      <c:layout>
        <c:manualLayout>
          <c:layoutTarget val="inner"/>
          <c:xMode val="edge"/>
          <c:yMode val="edge"/>
          <c:x val="0.20954080528550917"/>
          <c:y val="0.24794206059338847"/>
          <c:w val="0.76609892302797267"/>
          <c:h val="0.47935465048055104"/>
        </c:manualLayout>
      </c:layout>
      <c:barChart>
        <c:barDir val="col"/>
        <c:grouping val="clustered"/>
        <c:varyColors val="0"/>
        <c:ser>
          <c:idx val="0"/>
          <c:order val="0"/>
          <c:spPr>
            <a:solidFill>
              <a:srgbClr val="9999FF"/>
            </a:solidFill>
            <a:ln w="12700">
              <a:solidFill>
                <a:srgbClr val="000000"/>
              </a:solidFill>
              <a:prstDash val="solid"/>
            </a:ln>
          </c:spPr>
          <c:invertIfNegative val="0"/>
          <c:dLbls>
            <c:dLbl>
              <c:idx val="0"/>
              <c:layout>
                <c:manualLayout>
                  <c:x val="-3.4836965820322641E-3"/>
                  <c:y val="0.13917486412754548"/>
                </c:manualLayout>
              </c:layout>
              <c:spPr>
                <a:noFill/>
                <a:ln w="25400">
                  <a:noFill/>
                </a:ln>
              </c:spPr>
              <c:txPr>
                <a:bodyPr rot="-5400000" vert="horz"/>
                <a:lstStyle/>
                <a:p>
                  <a:pPr algn="ctr">
                    <a:defRPr sz="1200"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3F0-45F2-9195-69DE4DAF0B5F}"/>
                </c:ext>
              </c:extLst>
            </c:dLbl>
            <c:dLbl>
              <c:idx val="1"/>
              <c:layout>
                <c:manualLayout>
                  <c:x val="-4.1303576057168945E-3"/>
                  <c:y val="0.1819227854172194"/>
                </c:manualLayout>
              </c:layout>
              <c:spPr>
                <a:noFill/>
                <a:ln w="25400">
                  <a:noFill/>
                </a:ln>
              </c:spPr>
              <c:txPr>
                <a:bodyPr rot="-5400000" vert="horz"/>
                <a:lstStyle/>
                <a:p>
                  <a:pPr algn="ctr">
                    <a:defRPr sz="1200"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3F0-45F2-9195-69DE4DAF0B5F}"/>
                </c:ext>
              </c:extLst>
            </c:dLbl>
            <c:dLbl>
              <c:idx val="2"/>
              <c:layout>
                <c:manualLayout>
                  <c:x val="-3.6685117101040721E-3"/>
                  <c:y val="0.23736119851578419"/>
                </c:manualLayout>
              </c:layout>
              <c:spPr>
                <a:noFill/>
                <a:ln w="25400">
                  <a:noFill/>
                </a:ln>
              </c:spPr>
              <c:txPr>
                <a:bodyPr rot="-5400000" vert="horz"/>
                <a:lstStyle/>
                <a:p>
                  <a:pPr algn="ctr">
                    <a:defRPr sz="1200"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3F0-45F2-9195-69DE4DAF0B5F}"/>
                </c:ext>
              </c:extLst>
            </c:dLbl>
            <c:dLbl>
              <c:idx val="3"/>
              <c:layout>
                <c:manualLayout>
                  <c:x val="-4.3151727337886747E-3"/>
                  <c:y val="0.19242521346620189"/>
                </c:manualLayout>
              </c:layout>
              <c:spPr>
                <a:noFill/>
                <a:ln w="25400">
                  <a:noFill/>
                </a:ln>
              </c:spPr>
              <c:txPr>
                <a:bodyPr rot="-5400000" vert="horz"/>
                <a:lstStyle/>
                <a:p>
                  <a:pPr algn="ctr">
                    <a:defRPr sz="1200"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3F0-45F2-9195-69DE4DAF0B5F}"/>
                </c:ext>
              </c:extLst>
            </c:dLbl>
            <c:dLbl>
              <c:idx val="4"/>
              <c:layout>
                <c:manualLayout>
                  <c:x val="-3.8531522480261815E-3"/>
                  <c:y val="0.26452278464747175"/>
                </c:manualLayout>
              </c:layout>
              <c:spPr>
                <a:noFill/>
                <a:ln w="25400">
                  <a:noFill/>
                </a:ln>
              </c:spPr>
              <c:txPr>
                <a:bodyPr rot="-5400000" vert="horz"/>
                <a:lstStyle/>
                <a:p>
                  <a:pPr algn="ctr">
                    <a:defRPr sz="1200"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3F0-45F2-9195-69DE4DAF0B5F}"/>
                </c:ext>
              </c:extLst>
            </c:dLbl>
            <c:dLbl>
              <c:idx val="5"/>
              <c:layout>
                <c:manualLayout>
                  <c:x val="-3.3913063524134701E-3"/>
                  <c:y val="0.26020061911463699"/>
                </c:manualLayout>
              </c:layout>
              <c:spPr>
                <a:noFill/>
                <a:ln w="25400">
                  <a:noFill/>
                </a:ln>
              </c:spPr>
              <c:txPr>
                <a:bodyPr rot="-5400000" vert="horz"/>
                <a:lstStyle/>
                <a:p>
                  <a:pPr algn="ctr">
                    <a:defRPr sz="1200"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3F0-45F2-9195-69DE4DAF0B5F}"/>
                </c:ext>
              </c:extLst>
            </c:dLbl>
            <c:dLbl>
              <c:idx val="6"/>
              <c:layout>
                <c:manualLayout>
                  <c:x val="-4.0379673760980728E-3"/>
                  <c:y val="0.30983670102393934"/>
                </c:manualLayout>
              </c:layout>
              <c:spPr>
                <a:noFill/>
                <a:ln w="25400">
                  <a:noFill/>
                </a:ln>
              </c:spPr>
              <c:txPr>
                <a:bodyPr rot="-5400000" vert="horz"/>
                <a:lstStyle/>
                <a:p>
                  <a:pPr algn="ctr">
                    <a:defRPr sz="1200"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3F0-45F2-9195-69DE4DAF0B5F}"/>
                </c:ext>
              </c:extLst>
            </c:dLbl>
            <c:dLbl>
              <c:idx val="7"/>
              <c:layout>
                <c:manualLayout>
                  <c:x val="-3.5761214804852504E-3"/>
                  <c:y val="0.26461623470557161"/>
                </c:manualLayout>
              </c:layout>
              <c:spPr>
                <a:noFill/>
                <a:ln w="25400">
                  <a:noFill/>
                </a:ln>
              </c:spPr>
              <c:txPr>
                <a:bodyPr rot="-5400000" vert="horz"/>
                <a:lstStyle/>
                <a:p>
                  <a:pPr algn="ctr">
                    <a:defRPr sz="1200"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3F0-45F2-9195-69DE4DAF0B5F}"/>
                </c:ext>
              </c:extLst>
            </c:dLbl>
            <c:dLbl>
              <c:idx val="8"/>
              <c:layout>
                <c:manualLayout>
                  <c:x val="-4.222782504169853E-3"/>
                  <c:y val="0.25400206759980237"/>
                </c:manualLayout>
              </c:layout>
              <c:spPr>
                <a:noFill/>
                <a:ln w="25400">
                  <a:noFill/>
                </a:ln>
              </c:spPr>
              <c:txPr>
                <a:bodyPr rot="-5400000" vert="horz"/>
                <a:lstStyle/>
                <a:p>
                  <a:pPr algn="ctr">
                    <a:defRPr sz="1200"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3F0-45F2-9195-69DE4DAF0B5F}"/>
                </c:ext>
              </c:extLst>
            </c:dLbl>
            <c:dLbl>
              <c:idx val="9"/>
              <c:layout>
                <c:manualLayout>
                  <c:x val="-3.7609366085570306E-3"/>
                  <c:y val="0.26020061911463699"/>
                </c:manualLayout>
              </c:layout>
              <c:spPr>
                <a:noFill/>
                <a:ln w="25400">
                  <a:noFill/>
                </a:ln>
              </c:spPr>
              <c:txPr>
                <a:bodyPr rot="-5400000" vert="horz"/>
                <a:lstStyle/>
                <a:p>
                  <a:pPr algn="ctr">
                    <a:defRPr sz="1200"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3F0-45F2-9195-69DE4DAF0B5F}"/>
                </c:ext>
              </c:extLst>
            </c:dLbl>
            <c:dLbl>
              <c:idx val="10"/>
              <c:layout>
                <c:manualLayout>
                  <c:x val="-4.4075976322417443E-3"/>
                  <c:y val="0.15048756709223737"/>
                </c:manualLayout>
              </c:layout>
              <c:spPr>
                <a:noFill/>
                <a:ln w="25400">
                  <a:noFill/>
                </a:ln>
              </c:spPr>
              <c:txPr>
                <a:bodyPr rot="-5400000" vert="horz"/>
                <a:lstStyle/>
                <a:p>
                  <a:pPr algn="ctr">
                    <a:defRPr sz="1200"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3F0-45F2-9195-69DE4DAF0B5F}"/>
                </c:ext>
              </c:extLst>
            </c:dLbl>
            <c:spPr>
              <a:noFill/>
              <a:ln w="25400">
                <a:noFill/>
              </a:ln>
            </c:spPr>
            <c:txPr>
              <a:bodyPr rot="-5400000" vert="horz" wrap="square" lIns="38100" tIns="19050" rIns="38100" bIns="19050" anchor="ctr">
                <a:spAutoFit/>
              </a:bodyPr>
              <a:lstStyle/>
              <a:p>
                <a:pPr algn="ctr">
                  <a:defRPr sz="1200" b="0" i="0" u="none" strike="noStrike" baseline="0">
                    <a:solidFill>
                      <a:srgbClr val="000000"/>
                    </a:solidFill>
                    <a:latin typeface="MathSoftText"/>
                    <a:ea typeface="MathSoftText"/>
                    <a:cs typeface="MathSoftText"/>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'Lens 20'!$F$37:$F$48</c:f>
              <c:numCache>
                <c:formatCode>0</c:formatCode>
                <c:ptCount val="12"/>
                <c:pt idx="0">
                  <c:v>463.00240363508271</c:v>
                </c:pt>
                <c:pt idx="1">
                  <c:v>680.27002305202802</c:v>
                </c:pt>
                <c:pt idx="2">
                  <c:v>699.66891764282673</c:v>
                </c:pt>
                <c:pt idx="3">
                  <c:v>746.22626466074348</c:v>
                </c:pt>
                <c:pt idx="4">
                  <c:v>781.14427492418088</c:v>
                </c:pt>
                <c:pt idx="5">
                  <c:v>816.06228518761861</c:v>
                </c:pt>
                <c:pt idx="6">
                  <c:v>854.86007436921602</c:v>
                </c:pt>
                <c:pt idx="7">
                  <c:v>885.89830571449386</c:v>
                </c:pt>
                <c:pt idx="8">
                  <c:v>928.57587381425094</c:v>
                </c:pt>
                <c:pt idx="9">
                  <c:v>959.61410515952912</c:v>
                </c:pt>
                <c:pt idx="10">
                  <c:v>979.01299975032759</c:v>
                </c:pt>
              </c:numCache>
            </c:numRef>
          </c:cat>
          <c:val>
            <c:numRef>
              <c:f>'Lens 20'!$A$37:$A$48</c:f>
              <c:numCache>
                <c:formatCode>General</c:formatCode>
                <c:ptCount val="12"/>
                <c:pt idx="0">
                  <c:v>1100</c:v>
                </c:pt>
                <c:pt idx="1">
                  <c:v>10025</c:v>
                </c:pt>
                <c:pt idx="2">
                  <c:v>34375</c:v>
                </c:pt>
                <c:pt idx="3">
                  <c:v>15734</c:v>
                </c:pt>
                <c:pt idx="4">
                  <c:v>59766</c:v>
                </c:pt>
                <c:pt idx="5">
                  <c:v>40000</c:v>
                </c:pt>
                <c:pt idx="6">
                  <c:v>102000</c:v>
                </c:pt>
                <c:pt idx="7">
                  <c:v>57000</c:v>
                </c:pt>
                <c:pt idx="8">
                  <c:v>40000</c:v>
                </c:pt>
                <c:pt idx="9">
                  <c:v>40000</c:v>
                </c:pt>
                <c:pt idx="10">
                  <c:v>8615</c:v>
                </c:pt>
              </c:numCache>
            </c:numRef>
          </c:val>
          <c:extLst>
            <c:ext xmlns:c16="http://schemas.microsoft.com/office/drawing/2014/chart" uri="{C3380CC4-5D6E-409C-BE32-E72D297353CC}">
              <c16:uniqueId val="{0000000B-33F0-45F2-9195-69DE4DAF0B5F}"/>
            </c:ext>
          </c:extLst>
        </c:ser>
        <c:dLbls>
          <c:showLegendKey val="0"/>
          <c:showVal val="1"/>
          <c:showCatName val="0"/>
          <c:showSerName val="0"/>
          <c:showPercent val="0"/>
          <c:showBubbleSize val="0"/>
        </c:dLbls>
        <c:gapWidth val="150"/>
        <c:axId val="885876527"/>
        <c:axId val="1"/>
      </c:barChart>
      <c:catAx>
        <c:axId val="885876527"/>
        <c:scaling>
          <c:orientation val="minMax"/>
        </c:scaling>
        <c:delete val="0"/>
        <c:axPos val="b"/>
        <c:title>
          <c:tx>
            <c:rich>
              <a:bodyPr/>
              <a:lstStyle/>
              <a:p>
                <a:pPr>
                  <a:defRPr sz="1200" b="0" i="0" u="none" strike="noStrike" baseline="0">
                    <a:solidFill>
                      <a:srgbClr val="000000"/>
                    </a:solidFill>
                    <a:latin typeface="MathSoftText"/>
                    <a:ea typeface="MathSoftText"/>
                    <a:cs typeface="MathSoftText"/>
                  </a:defRPr>
                </a:pPr>
                <a:r>
                  <a:rPr lang="en-GB"/>
                  <a:t>gradient (T/m)</a:t>
                </a:r>
              </a:p>
            </c:rich>
          </c:tx>
          <c:layout>
            <c:manualLayout>
              <c:xMode val="edge"/>
              <c:yMode val="edge"/>
              <c:x val="0.42573369962770119"/>
              <c:y val="0.84920155753235549"/>
            </c:manualLayout>
          </c:layout>
          <c:overlay val="0"/>
          <c:spPr>
            <a:noFill/>
            <a:ln w="25400">
              <a:noFill/>
            </a:ln>
          </c:spPr>
        </c:title>
        <c:numFmt formatCode="0" sourceLinked="0"/>
        <c:majorTickMark val="out"/>
        <c:minorTickMark val="none"/>
        <c:tickLblPos val="nextTo"/>
        <c:spPr>
          <a:ln w="3175">
            <a:solidFill>
              <a:srgbClr val="99CC00"/>
            </a:solidFill>
            <a:prstDash val="solid"/>
          </a:ln>
        </c:spPr>
        <c:txPr>
          <a:bodyPr rot="0" vert="horz"/>
          <a:lstStyle/>
          <a:p>
            <a:pPr>
              <a:defRPr sz="1200" b="0" i="0" u="none" strike="noStrike" baseline="0">
                <a:solidFill>
                  <a:srgbClr val="000000"/>
                </a:solidFill>
                <a:latin typeface="MathSoftText"/>
                <a:ea typeface="MathSoftText"/>
                <a:cs typeface="MathSoftText"/>
              </a:defRPr>
            </a:pPr>
            <a:endParaRPr lang="en-US"/>
          </a:p>
        </c:txPr>
        <c:crossAx val="1"/>
        <c:crosses val="autoZero"/>
        <c:auto val="1"/>
        <c:lblAlgn val="ctr"/>
        <c:lblOffset val="100"/>
        <c:tickLblSkip val="1"/>
        <c:tickMarkSkip val="1"/>
        <c:noMultiLvlLbl val="0"/>
      </c:catAx>
      <c:valAx>
        <c:axId val="1"/>
        <c:scaling>
          <c:logBase val="10"/>
          <c:orientation val="minMax"/>
          <c:min val="10"/>
        </c:scaling>
        <c:delete val="0"/>
        <c:axPos val="l"/>
        <c:majorGridlines>
          <c:spPr>
            <a:ln w="3175">
              <a:solidFill>
                <a:srgbClr val="99CC00"/>
              </a:solidFill>
              <a:prstDash val="solid"/>
            </a:ln>
          </c:spPr>
        </c:majorGridlines>
        <c:title>
          <c:tx>
            <c:rich>
              <a:bodyPr/>
              <a:lstStyle/>
              <a:p>
                <a:pPr>
                  <a:defRPr sz="1200" b="0" i="0" u="none" strike="noStrike" baseline="0">
                    <a:solidFill>
                      <a:srgbClr val="000000"/>
                    </a:solidFill>
                    <a:latin typeface="MathSoftText"/>
                    <a:ea typeface="MathSoftText"/>
                    <a:cs typeface="MathSoftText"/>
                  </a:defRPr>
                </a:pPr>
                <a:r>
                  <a:rPr lang="en-GB"/>
                  <a:t>number of pulses</a:t>
                </a:r>
              </a:p>
            </c:rich>
          </c:tx>
          <c:layout>
            <c:manualLayout>
              <c:xMode val="edge"/>
              <c:yMode val="edge"/>
              <c:x val="3.436912679286129E-2"/>
              <c:y val="0.28513336968239678"/>
            </c:manualLayout>
          </c:layout>
          <c:overlay val="0"/>
          <c:spPr>
            <a:noFill/>
            <a:ln w="25400">
              <a:noFill/>
            </a:ln>
          </c:spPr>
        </c:title>
        <c:numFmt formatCode="General" sourceLinked="1"/>
        <c:majorTickMark val="out"/>
        <c:minorTickMark val="none"/>
        <c:tickLblPos val="nextTo"/>
        <c:spPr>
          <a:ln w="3175">
            <a:solidFill>
              <a:srgbClr val="99CC00"/>
            </a:solidFill>
            <a:prstDash val="solid"/>
          </a:ln>
        </c:spPr>
        <c:txPr>
          <a:bodyPr rot="0" vert="horz"/>
          <a:lstStyle/>
          <a:p>
            <a:pPr>
              <a:defRPr sz="1200" b="0" i="0" u="none" strike="noStrike" baseline="0">
                <a:solidFill>
                  <a:srgbClr val="000000"/>
                </a:solidFill>
                <a:latin typeface="MathSoftText"/>
                <a:ea typeface="MathSoftText"/>
                <a:cs typeface="MathSoftText"/>
              </a:defRPr>
            </a:pPr>
            <a:endParaRPr lang="en-US"/>
          </a:p>
        </c:txPr>
        <c:crossAx val="885876527"/>
        <c:crosses val="autoZero"/>
        <c:crossBetween val="between"/>
      </c:valAx>
      <c:spPr>
        <a:noFill/>
        <a:ln w="12700">
          <a:solidFill>
            <a:srgbClr val="99CC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200" b="0" i="0" u="none" strike="noStrike" baseline="0">
          <a:solidFill>
            <a:srgbClr val="000000"/>
          </a:solidFill>
          <a:latin typeface="MathSoftText"/>
          <a:ea typeface="MathSoftText"/>
          <a:cs typeface="MathSoftText"/>
        </a:defRPr>
      </a:pPr>
      <a:endParaRPr lang="en-US"/>
    </a:p>
  </c:txPr>
  <c:printSettings>
    <c:headerFooter alignWithMargins="0"/>
    <c:pageMargins b="1" l="0.75" r="0.75" t="1" header="0.5" footer="0.5"/>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475" b="0" i="0" u="none" strike="noStrike" baseline="0">
                <a:solidFill>
                  <a:srgbClr val="000000"/>
                </a:solidFill>
                <a:latin typeface="MathSoftText"/>
                <a:ea typeface="MathSoftText"/>
                <a:cs typeface="MathSoftText"/>
              </a:defRPr>
            </a:pPr>
            <a:r>
              <a:rPr lang="en-GB"/>
              <a:t>lens 22 pulse count vs peak current</a:t>
            </a:r>
          </a:p>
        </c:rich>
      </c:tx>
      <c:layout>
        <c:manualLayout>
          <c:xMode val="edge"/>
          <c:yMode val="edge"/>
          <c:x val="0.3894294700676606"/>
          <c:y val="6.3955474180706226E-2"/>
        </c:manualLayout>
      </c:layout>
      <c:overlay val="0"/>
      <c:spPr>
        <a:noFill/>
        <a:ln w="25400">
          <a:noFill/>
        </a:ln>
      </c:spPr>
    </c:title>
    <c:autoTitleDeleted val="0"/>
    <c:plotArea>
      <c:layout>
        <c:manualLayout>
          <c:layoutTarget val="inner"/>
          <c:xMode val="edge"/>
          <c:yMode val="edge"/>
          <c:x val="9.905348890222726E-2"/>
          <c:y val="0.29652083483781977"/>
          <c:w val="0.87384173771279938"/>
          <c:h val="0.38373284508423733"/>
        </c:manualLayout>
      </c:layout>
      <c:barChart>
        <c:barDir val="col"/>
        <c:grouping val="clustered"/>
        <c:varyColors val="0"/>
        <c:ser>
          <c:idx val="0"/>
          <c:order val="0"/>
          <c:spPr>
            <a:solidFill>
              <a:srgbClr val="9999FF"/>
            </a:solidFill>
            <a:ln w="12700">
              <a:solidFill>
                <a:srgbClr val="000000"/>
              </a:solidFill>
              <a:prstDash val="solid"/>
            </a:ln>
          </c:spPr>
          <c:invertIfNegative val="0"/>
          <c:cat>
            <c:numRef>
              <c:f>'Lens 22'!$D$26:$D$30</c:f>
              <c:numCache>
                <c:formatCode>General</c:formatCode>
                <c:ptCount val="5"/>
                <c:pt idx="0" formatCode="0.00E+00">
                  <c:v>295856.77884028893</c:v>
                </c:pt>
                <c:pt idx="1">
                  <c:v>315755.63211973367</c:v>
                </c:pt>
                <c:pt idx="2">
                  <c:v>350578.62535876187</c:v>
                </c:pt>
                <c:pt idx="3">
                  <c:v>504794.73827445868</c:v>
                </c:pt>
                <c:pt idx="4">
                  <c:v>554541.87147307058</c:v>
                </c:pt>
              </c:numCache>
            </c:numRef>
          </c:cat>
          <c:val>
            <c:numRef>
              <c:f>'Lens 22'!$A$26:$A$30</c:f>
              <c:numCache>
                <c:formatCode>General</c:formatCode>
                <c:ptCount val="5"/>
                <c:pt idx="0">
                  <c:v>8201</c:v>
                </c:pt>
                <c:pt idx="1">
                  <c:v>11761</c:v>
                </c:pt>
                <c:pt idx="2">
                  <c:v>31329</c:v>
                </c:pt>
                <c:pt idx="3">
                  <c:v>17710</c:v>
                </c:pt>
                <c:pt idx="4">
                  <c:v>10759</c:v>
                </c:pt>
              </c:numCache>
            </c:numRef>
          </c:val>
          <c:extLst>
            <c:ext xmlns:c16="http://schemas.microsoft.com/office/drawing/2014/chart" uri="{C3380CC4-5D6E-409C-BE32-E72D297353CC}">
              <c16:uniqueId val="{00000000-F13A-48E3-B8DA-8A7F0E1ACC85}"/>
            </c:ext>
          </c:extLst>
        </c:ser>
        <c:dLbls>
          <c:showLegendKey val="0"/>
          <c:showVal val="0"/>
          <c:showCatName val="0"/>
          <c:showSerName val="0"/>
          <c:showPercent val="0"/>
          <c:showBubbleSize val="0"/>
        </c:dLbls>
        <c:gapWidth val="150"/>
        <c:axId val="877462863"/>
        <c:axId val="1"/>
      </c:barChart>
      <c:catAx>
        <c:axId val="877462863"/>
        <c:scaling>
          <c:orientation val="minMax"/>
        </c:scaling>
        <c:delete val="0"/>
        <c:axPos val="b"/>
        <c:title>
          <c:tx>
            <c:rich>
              <a:bodyPr/>
              <a:lstStyle/>
              <a:p>
                <a:pPr>
                  <a:defRPr sz="400" b="0" i="0" u="none" strike="noStrike" baseline="0">
                    <a:solidFill>
                      <a:srgbClr val="000000"/>
                    </a:solidFill>
                    <a:latin typeface="MathSoftText"/>
                    <a:ea typeface="MathSoftText"/>
                    <a:cs typeface="MathSoftText"/>
                  </a:defRPr>
                </a:pPr>
                <a:r>
                  <a:rPr lang="en-GB"/>
                  <a:t>amps</a:t>
                </a:r>
              </a:p>
            </c:rich>
          </c:tx>
          <c:layout>
            <c:manualLayout>
              <c:xMode val="edge"/>
              <c:yMode val="edge"/>
              <c:x val="0.52104848956788041"/>
              <c:y val="0.79072222623418609"/>
            </c:manualLayout>
          </c:layout>
          <c:overlay val="0"/>
          <c:spPr>
            <a:noFill/>
            <a:ln w="25400">
              <a:noFill/>
            </a:ln>
          </c:spPr>
        </c:title>
        <c:numFmt formatCode="0" sourceLinked="0"/>
        <c:majorTickMark val="out"/>
        <c:minorTickMark val="none"/>
        <c:tickLblPos val="nextTo"/>
        <c:spPr>
          <a:ln w="3175">
            <a:solidFill>
              <a:srgbClr val="99CC00"/>
            </a:solidFill>
            <a:prstDash val="solid"/>
          </a:ln>
        </c:spPr>
        <c:txPr>
          <a:bodyPr rot="0" vert="horz"/>
          <a:lstStyle/>
          <a:p>
            <a:pPr>
              <a:defRPr sz="400" b="0" i="0" u="none" strike="noStrike" baseline="0">
                <a:solidFill>
                  <a:srgbClr val="000000"/>
                </a:solidFill>
                <a:latin typeface="MathSoftText"/>
                <a:ea typeface="MathSoftText"/>
                <a:cs typeface="MathSoftText"/>
              </a:defRPr>
            </a:pPr>
            <a:endParaRPr lang="en-US"/>
          </a:p>
        </c:txPr>
        <c:crossAx val="1"/>
        <c:crosses val="autoZero"/>
        <c:auto val="1"/>
        <c:lblAlgn val="ctr"/>
        <c:lblOffset val="100"/>
        <c:tickLblSkip val="1"/>
        <c:tickMarkSkip val="1"/>
        <c:noMultiLvlLbl val="0"/>
      </c:catAx>
      <c:valAx>
        <c:axId val="1"/>
        <c:scaling>
          <c:logBase val="10"/>
          <c:orientation val="minMax"/>
          <c:min val="10"/>
        </c:scaling>
        <c:delete val="0"/>
        <c:axPos val="l"/>
        <c:majorGridlines>
          <c:spPr>
            <a:ln w="3175">
              <a:solidFill>
                <a:srgbClr val="99CC00"/>
              </a:solidFill>
              <a:prstDash val="solid"/>
            </a:ln>
          </c:spPr>
        </c:majorGridlines>
        <c:title>
          <c:tx>
            <c:rich>
              <a:bodyPr/>
              <a:lstStyle/>
              <a:p>
                <a:pPr>
                  <a:defRPr sz="400" b="0" i="0" u="none" strike="noStrike" baseline="0">
                    <a:solidFill>
                      <a:srgbClr val="000000"/>
                    </a:solidFill>
                    <a:latin typeface="MathSoftText"/>
                    <a:ea typeface="MathSoftText"/>
                    <a:cs typeface="MathSoftText"/>
                  </a:defRPr>
                </a:pPr>
                <a:r>
                  <a:rPr lang="en-GB"/>
                  <a:t>number of pulses</a:t>
                </a:r>
              </a:p>
            </c:rich>
          </c:tx>
          <c:layout>
            <c:manualLayout>
              <c:xMode val="edge"/>
              <c:yMode val="edge"/>
              <c:x val="2.9851736381493146E-2"/>
              <c:y val="0.3023349688542476"/>
            </c:manualLayout>
          </c:layout>
          <c:overlay val="0"/>
          <c:spPr>
            <a:noFill/>
            <a:ln w="25400">
              <a:noFill/>
            </a:ln>
          </c:spPr>
        </c:title>
        <c:numFmt formatCode="General" sourceLinked="1"/>
        <c:majorTickMark val="out"/>
        <c:minorTickMark val="none"/>
        <c:tickLblPos val="nextTo"/>
        <c:spPr>
          <a:ln w="3175">
            <a:solidFill>
              <a:srgbClr val="99CC00"/>
            </a:solidFill>
            <a:prstDash val="solid"/>
          </a:ln>
        </c:spPr>
        <c:txPr>
          <a:bodyPr rot="0" vert="horz"/>
          <a:lstStyle/>
          <a:p>
            <a:pPr>
              <a:defRPr sz="400" b="0" i="0" u="none" strike="noStrike" baseline="0">
                <a:solidFill>
                  <a:srgbClr val="000000"/>
                </a:solidFill>
                <a:latin typeface="MathSoftText"/>
                <a:ea typeface="MathSoftText"/>
                <a:cs typeface="MathSoftText"/>
              </a:defRPr>
            </a:pPr>
            <a:endParaRPr lang="en-US"/>
          </a:p>
        </c:txPr>
        <c:crossAx val="877462863"/>
        <c:crosses val="autoZero"/>
        <c:crossBetween val="between"/>
      </c:valAx>
      <c:spPr>
        <a:noFill/>
        <a:ln w="12700">
          <a:solidFill>
            <a:srgbClr val="99CC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400" b="0" i="0" u="none" strike="noStrike" baseline="0">
          <a:solidFill>
            <a:srgbClr val="000000"/>
          </a:solidFill>
          <a:latin typeface="MathSoftText"/>
          <a:ea typeface="MathSoftText"/>
          <a:cs typeface="MathSoftText"/>
        </a:defRPr>
      </a:pPr>
      <a:endParaRPr lang="en-US"/>
    </a:p>
  </c:txPr>
  <c:printSettings>
    <c:headerFooter alignWithMargins="0"/>
    <c:pageMargins b="1" l="0.75" r="0.75" t="1" header="0.5" footer="0.5"/>
    <c:pageSetup orientation="landscape"/>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325" b="0" i="0" u="none" strike="noStrike" baseline="0">
                <a:solidFill>
                  <a:srgbClr val="000000"/>
                </a:solidFill>
                <a:latin typeface="MathSoftText"/>
                <a:ea typeface="MathSoftText"/>
                <a:cs typeface="MathSoftText"/>
              </a:defRPr>
            </a:pPr>
            <a:r>
              <a:rPr lang="en-GB"/>
              <a:t>lens 22 pulse count vs peak current</a:t>
            </a:r>
          </a:p>
        </c:rich>
      </c:tx>
      <c:layout>
        <c:manualLayout>
          <c:xMode val="edge"/>
          <c:yMode val="edge"/>
          <c:x val="0.4255454714022312"/>
          <c:y val="8.3336830285898125E-2"/>
        </c:manualLayout>
      </c:layout>
      <c:overlay val="0"/>
      <c:spPr>
        <a:noFill/>
        <a:ln w="25400">
          <a:noFill/>
        </a:ln>
      </c:spPr>
    </c:title>
    <c:autoTitleDeleted val="0"/>
    <c:plotArea>
      <c:layout>
        <c:manualLayout>
          <c:layoutTarget val="inner"/>
          <c:xMode val="edge"/>
          <c:yMode val="edge"/>
          <c:x val="5.5852843121542844E-2"/>
          <c:y val="0.38334941931513139"/>
          <c:w val="0.90428412672974134"/>
          <c:h val="0.30834627205782306"/>
        </c:manualLayout>
      </c:layout>
      <c:scatterChart>
        <c:scatterStyle val="lineMarker"/>
        <c:varyColors val="0"/>
        <c:ser>
          <c:idx val="0"/>
          <c:order val="0"/>
          <c:spPr>
            <a:ln w="19050">
              <a:noFill/>
            </a:ln>
          </c:spPr>
          <c:marker>
            <c:symbol val="diamond"/>
            <c:size val="5"/>
            <c:spPr>
              <a:solidFill>
                <a:srgbClr val="000080"/>
              </a:solidFill>
              <a:ln>
                <a:solidFill>
                  <a:srgbClr val="000080"/>
                </a:solidFill>
                <a:prstDash val="solid"/>
              </a:ln>
            </c:spPr>
          </c:marker>
          <c:xVal>
            <c:numRef>
              <c:f>'Lens 22'!$D$26:$D$30</c:f>
              <c:numCache>
                <c:formatCode>General</c:formatCode>
                <c:ptCount val="5"/>
                <c:pt idx="0" formatCode="0.00E+00">
                  <c:v>295856.77884028893</c:v>
                </c:pt>
                <c:pt idx="1">
                  <c:v>315755.63211973367</c:v>
                </c:pt>
                <c:pt idx="2">
                  <c:v>350578.62535876187</c:v>
                </c:pt>
                <c:pt idx="3">
                  <c:v>504794.73827445868</c:v>
                </c:pt>
                <c:pt idx="4">
                  <c:v>554541.87147307058</c:v>
                </c:pt>
              </c:numCache>
            </c:numRef>
          </c:xVal>
          <c:yVal>
            <c:numRef>
              <c:f>'Lens 22'!$A$26:$A$30</c:f>
              <c:numCache>
                <c:formatCode>General</c:formatCode>
                <c:ptCount val="5"/>
                <c:pt idx="0">
                  <c:v>8201</c:v>
                </c:pt>
                <c:pt idx="1">
                  <c:v>11761</c:v>
                </c:pt>
                <c:pt idx="2">
                  <c:v>31329</c:v>
                </c:pt>
                <c:pt idx="3">
                  <c:v>17710</c:v>
                </c:pt>
                <c:pt idx="4">
                  <c:v>10759</c:v>
                </c:pt>
              </c:numCache>
            </c:numRef>
          </c:yVal>
          <c:smooth val="0"/>
          <c:extLst>
            <c:ext xmlns:c16="http://schemas.microsoft.com/office/drawing/2014/chart" uri="{C3380CC4-5D6E-409C-BE32-E72D297353CC}">
              <c16:uniqueId val="{00000000-9713-427A-8E0B-120B8DC27E8B}"/>
            </c:ext>
          </c:extLst>
        </c:ser>
        <c:dLbls>
          <c:showLegendKey val="0"/>
          <c:showVal val="0"/>
          <c:showCatName val="0"/>
          <c:showSerName val="0"/>
          <c:showPercent val="0"/>
          <c:showBubbleSize val="0"/>
        </c:dLbls>
        <c:axId val="879260255"/>
        <c:axId val="1"/>
      </c:scatterChart>
      <c:valAx>
        <c:axId val="879260255"/>
        <c:scaling>
          <c:orientation val="minMax"/>
          <c:max val="700000"/>
          <c:min val="200000"/>
        </c:scaling>
        <c:delete val="0"/>
        <c:axPos val="b"/>
        <c:numFmt formatCode="0" sourceLinked="0"/>
        <c:majorTickMark val="out"/>
        <c:minorTickMark val="none"/>
        <c:tickLblPos val="nextTo"/>
        <c:spPr>
          <a:ln w="3175">
            <a:solidFill>
              <a:srgbClr val="99CC00"/>
            </a:solidFill>
            <a:prstDash val="solid"/>
          </a:ln>
        </c:spPr>
        <c:txPr>
          <a:bodyPr rot="0" vert="horz"/>
          <a:lstStyle/>
          <a:p>
            <a:pPr>
              <a:defRPr sz="275" b="0" i="0" u="none" strike="noStrike" baseline="0">
                <a:solidFill>
                  <a:srgbClr val="000000"/>
                </a:solidFill>
                <a:latin typeface="MathSoftText"/>
                <a:ea typeface="MathSoftText"/>
                <a:cs typeface="MathSoftText"/>
              </a:defRPr>
            </a:pPr>
            <a:endParaRPr lang="en-US"/>
          </a:p>
        </c:txPr>
        <c:crossAx val="1"/>
        <c:crosses val="autoZero"/>
        <c:crossBetween val="midCat"/>
        <c:majorUnit val="100000"/>
        <c:minorUnit val="20000"/>
      </c:valAx>
      <c:valAx>
        <c:axId val="1"/>
        <c:scaling>
          <c:orientation val="minMax"/>
          <c:max val="40000"/>
          <c:min val="0"/>
        </c:scaling>
        <c:delete val="0"/>
        <c:axPos val="l"/>
        <c:majorGridlines>
          <c:spPr>
            <a:ln w="3175">
              <a:solidFill>
                <a:srgbClr val="99CC00"/>
              </a:solidFill>
              <a:prstDash val="solid"/>
            </a:ln>
          </c:spPr>
        </c:majorGridlines>
        <c:numFmt formatCode="General" sourceLinked="1"/>
        <c:majorTickMark val="out"/>
        <c:minorTickMark val="none"/>
        <c:tickLblPos val="nextTo"/>
        <c:spPr>
          <a:ln w="3175">
            <a:solidFill>
              <a:srgbClr val="99CC00"/>
            </a:solidFill>
            <a:prstDash val="solid"/>
          </a:ln>
        </c:spPr>
        <c:txPr>
          <a:bodyPr rot="0" vert="horz"/>
          <a:lstStyle/>
          <a:p>
            <a:pPr>
              <a:defRPr sz="275" b="0" i="0" u="none" strike="noStrike" baseline="0">
                <a:solidFill>
                  <a:srgbClr val="000000"/>
                </a:solidFill>
                <a:latin typeface="MathSoftText"/>
                <a:ea typeface="MathSoftText"/>
                <a:cs typeface="MathSoftText"/>
              </a:defRPr>
            </a:pPr>
            <a:endParaRPr lang="en-US"/>
          </a:p>
        </c:txPr>
        <c:crossAx val="879260255"/>
        <c:crosses val="autoZero"/>
        <c:crossBetween val="midCat"/>
        <c:majorUnit val="10000"/>
        <c:minorUnit val="5000"/>
      </c:valAx>
      <c:spPr>
        <a:noFill/>
        <a:ln w="12700">
          <a:solidFill>
            <a:srgbClr val="99CC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MathSoftText"/>
          <a:ea typeface="MathSoftText"/>
          <a:cs typeface="MathSoftText"/>
        </a:defRPr>
      </a:pPr>
      <a:endParaRPr lang="en-US"/>
    </a:p>
  </c:txPr>
  <c:printSettings>
    <c:headerFooter alignWithMargins="0"/>
    <c:pageMargins b="1" l="0.75" r="0.75" t="1" header="0.5" footer="0.5"/>
    <c:pageSetup orientation="landscape" horizontalDpi="355" verticalDpi="355"/>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75" b="0" i="0" u="none" strike="noStrike" baseline="0">
                <a:solidFill>
                  <a:srgbClr val="000000"/>
                </a:solidFill>
                <a:latin typeface="MathSoftText"/>
                <a:ea typeface="MathSoftText"/>
                <a:cs typeface="MathSoftText"/>
              </a:defRPr>
            </a:pPr>
            <a:r>
              <a:rPr lang="en-GB"/>
              <a:t>lens 22 pulse count vs peak current</a:t>
            </a:r>
          </a:p>
        </c:rich>
      </c:tx>
      <c:layout>
        <c:manualLayout>
          <c:xMode val="edge"/>
          <c:yMode val="edge"/>
          <c:x val="0.22949240967709295"/>
          <c:y val="3.4421425948836362E-2"/>
        </c:manualLayout>
      </c:layout>
      <c:overlay val="0"/>
      <c:spPr>
        <a:noFill/>
        <a:ln w="25400">
          <a:noFill/>
        </a:ln>
      </c:spPr>
    </c:title>
    <c:autoTitleDeleted val="0"/>
    <c:plotArea>
      <c:layout>
        <c:manualLayout>
          <c:layoutTarget val="inner"/>
          <c:xMode val="edge"/>
          <c:yMode val="edge"/>
          <c:x val="0.13074113036149537"/>
          <c:y val="0.18297705372802489"/>
          <c:w val="0.84147216881600739"/>
          <c:h val="0.69929844296057042"/>
        </c:manualLayout>
      </c:layout>
      <c:barChart>
        <c:barDir val="col"/>
        <c:grouping val="clustered"/>
        <c:varyColors val="0"/>
        <c:ser>
          <c:idx val="0"/>
          <c:order val="0"/>
          <c:spPr>
            <a:solidFill>
              <a:srgbClr val="9999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975" b="0" i="0" u="none" strike="noStrike" baseline="0">
                    <a:solidFill>
                      <a:srgbClr val="000000"/>
                    </a:solidFill>
                    <a:latin typeface="MathSoftText"/>
                    <a:ea typeface="MathSoftText"/>
                    <a:cs typeface="MathSoftTex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'Lens 22'!$D$26:$D$30</c:f>
              <c:numCache>
                <c:formatCode>General</c:formatCode>
                <c:ptCount val="5"/>
                <c:pt idx="0" formatCode="0.00E+00">
                  <c:v>295856.77884028893</c:v>
                </c:pt>
                <c:pt idx="1">
                  <c:v>315755.63211973367</c:v>
                </c:pt>
                <c:pt idx="2">
                  <c:v>350578.62535876187</c:v>
                </c:pt>
                <c:pt idx="3">
                  <c:v>504794.73827445868</c:v>
                </c:pt>
                <c:pt idx="4">
                  <c:v>554541.87147307058</c:v>
                </c:pt>
              </c:numCache>
            </c:numRef>
          </c:cat>
          <c:val>
            <c:numRef>
              <c:f>'Lens 22'!$A$26:$A$30</c:f>
              <c:numCache>
                <c:formatCode>General</c:formatCode>
                <c:ptCount val="5"/>
                <c:pt idx="0">
                  <c:v>8201</c:v>
                </c:pt>
                <c:pt idx="1">
                  <c:v>11761</c:v>
                </c:pt>
                <c:pt idx="2">
                  <c:v>31329</c:v>
                </c:pt>
                <c:pt idx="3">
                  <c:v>17710</c:v>
                </c:pt>
                <c:pt idx="4">
                  <c:v>10759</c:v>
                </c:pt>
              </c:numCache>
            </c:numRef>
          </c:val>
          <c:extLst>
            <c:ext xmlns:c16="http://schemas.microsoft.com/office/drawing/2014/chart" uri="{C3380CC4-5D6E-409C-BE32-E72D297353CC}">
              <c16:uniqueId val="{00000000-7EE7-4D0F-A7F1-0F369B15E419}"/>
            </c:ext>
          </c:extLst>
        </c:ser>
        <c:dLbls>
          <c:showLegendKey val="0"/>
          <c:showVal val="1"/>
          <c:showCatName val="0"/>
          <c:showSerName val="0"/>
          <c:showPercent val="0"/>
          <c:showBubbleSize val="0"/>
        </c:dLbls>
        <c:gapWidth val="150"/>
        <c:axId val="877465263"/>
        <c:axId val="1"/>
      </c:barChart>
      <c:catAx>
        <c:axId val="877465263"/>
        <c:scaling>
          <c:orientation val="minMax"/>
        </c:scaling>
        <c:delete val="0"/>
        <c:axPos val="b"/>
        <c:numFmt formatCode="0" sourceLinked="0"/>
        <c:majorTickMark val="out"/>
        <c:minorTickMark val="none"/>
        <c:tickLblPos val="nextTo"/>
        <c:spPr>
          <a:ln w="3175">
            <a:solidFill>
              <a:srgbClr val="99CC00"/>
            </a:solidFill>
            <a:prstDash val="solid"/>
          </a:ln>
        </c:spPr>
        <c:txPr>
          <a:bodyPr rot="0" vert="horz"/>
          <a:lstStyle/>
          <a:p>
            <a:pPr>
              <a:defRPr sz="975" b="0" i="0" u="none" strike="noStrike" baseline="0">
                <a:solidFill>
                  <a:srgbClr val="000000"/>
                </a:solidFill>
                <a:latin typeface="MathSoftText"/>
                <a:ea typeface="MathSoftText"/>
                <a:cs typeface="MathSoftText"/>
              </a:defRPr>
            </a:pPr>
            <a:endParaRPr lang="en-US"/>
          </a:p>
        </c:txPr>
        <c:crossAx val="1"/>
        <c:crosses val="autoZero"/>
        <c:auto val="1"/>
        <c:lblAlgn val="ctr"/>
        <c:lblOffset val="100"/>
        <c:tickLblSkip val="1"/>
        <c:tickMarkSkip val="1"/>
        <c:noMultiLvlLbl val="0"/>
      </c:catAx>
      <c:valAx>
        <c:axId val="1"/>
        <c:scaling>
          <c:orientation val="minMax"/>
          <c:max val="40000"/>
          <c:min val="0"/>
        </c:scaling>
        <c:delete val="0"/>
        <c:axPos val="l"/>
        <c:majorGridlines>
          <c:spPr>
            <a:ln w="3175">
              <a:solidFill>
                <a:srgbClr val="99CC00"/>
              </a:solidFill>
              <a:prstDash val="solid"/>
            </a:ln>
          </c:spPr>
        </c:majorGridlines>
        <c:numFmt formatCode="General" sourceLinked="1"/>
        <c:majorTickMark val="out"/>
        <c:minorTickMark val="none"/>
        <c:tickLblPos val="nextTo"/>
        <c:spPr>
          <a:ln w="3175">
            <a:solidFill>
              <a:srgbClr val="99CC00"/>
            </a:solidFill>
            <a:prstDash val="solid"/>
          </a:ln>
        </c:spPr>
        <c:txPr>
          <a:bodyPr rot="0" vert="horz"/>
          <a:lstStyle/>
          <a:p>
            <a:pPr>
              <a:defRPr sz="975" b="0" i="0" u="none" strike="noStrike" baseline="0">
                <a:solidFill>
                  <a:srgbClr val="000000"/>
                </a:solidFill>
                <a:latin typeface="MathSoftText"/>
                <a:ea typeface="MathSoftText"/>
                <a:cs typeface="MathSoftText"/>
              </a:defRPr>
            </a:pPr>
            <a:endParaRPr lang="en-US"/>
          </a:p>
        </c:txPr>
        <c:crossAx val="877465263"/>
        <c:crosses val="autoZero"/>
        <c:crossBetween val="between"/>
        <c:majorUnit val="10000"/>
        <c:minorUnit val="5000"/>
      </c:valAx>
      <c:spPr>
        <a:noFill/>
        <a:ln w="12700">
          <a:solidFill>
            <a:srgbClr val="99CC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975" b="0" i="0" u="none" strike="noStrike" baseline="0">
          <a:solidFill>
            <a:srgbClr val="000000"/>
          </a:solidFill>
          <a:latin typeface="MathSoftText"/>
          <a:ea typeface="MathSoftText"/>
          <a:cs typeface="MathSoftText"/>
        </a:defRPr>
      </a:pPr>
      <a:endParaRPr lang="en-US"/>
    </a:p>
  </c:txPr>
  <c:printSettings>
    <c:headerFooter alignWithMargins="0"/>
    <c:pageMargins b="1" l="0.75" r="0.75" t="1" header="0.5" footer="0.5"/>
    <c:pageSetup orientation="landscape" horizontalDpi="355" verticalDpi="355"/>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0" i="0" u="none" strike="noStrike" baseline="0">
                <a:solidFill>
                  <a:srgbClr val="000000"/>
                </a:solidFill>
                <a:latin typeface="MathSoftText"/>
                <a:ea typeface="MathSoftText"/>
                <a:cs typeface="MathSoftText"/>
              </a:defRPr>
            </a:pPr>
            <a:r>
              <a:rPr lang="en-GB"/>
              <a:t>Lens 22 Rogowski and Bdot vs Pot</a:t>
            </a:r>
          </a:p>
        </c:rich>
      </c:tx>
      <c:layout>
        <c:manualLayout>
          <c:xMode val="edge"/>
          <c:yMode val="edge"/>
          <c:x val="0.24365531510444405"/>
          <c:y val="3.9165689224335762E-2"/>
        </c:manualLayout>
      </c:layout>
      <c:overlay val="0"/>
      <c:spPr>
        <a:noFill/>
        <a:ln w="25400">
          <a:noFill/>
        </a:ln>
      </c:spPr>
    </c:title>
    <c:autoTitleDeleted val="0"/>
    <c:plotArea>
      <c:layout>
        <c:manualLayout>
          <c:layoutTarget val="inner"/>
          <c:xMode val="edge"/>
          <c:yMode val="edge"/>
          <c:x val="0.18087296397323763"/>
          <c:y val="0.27938191646692845"/>
          <c:w val="0.37968374255539133"/>
          <c:h val="0.43082258146769342"/>
        </c:manualLayout>
      </c:layout>
      <c:scatterChart>
        <c:scatterStyle val="lineMarker"/>
        <c:varyColors val="0"/>
        <c:ser>
          <c:idx val="1"/>
          <c:order val="1"/>
          <c:tx>
            <c:v>bdot vs pot</c:v>
          </c:tx>
          <c:spPr>
            <a:ln w="19050">
              <a:noFill/>
            </a:ln>
          </c:spPr>
          <c:marker>
            <c:symbol val="square"/>
            <c:size val="5"/>
            <c:spPr>
              <a:solidFill>
                <a:srgbClr val="339966"/>
              </a:solidFill>
              <a:ln>
                <a:solidFill>
                  <a:srgbClr val="339966"/>
                </a:solidFill>
                <a:prstDash val="solid"/>
              </a:ln>
            </c:spPr>
          </c:marker>
          <c:trendline>
            <c:spPr>
              <a:ln w="12700">
                <a:solidFill>
                  <a:srgbClr val="339966"/>
                </a:solidFill>
                <a:prstDash val="solid"/>
              </a:ln>
            </c:spPr>
            <c:trendlineType val="linear"/>
            <c:dispRSqr val="1"/>
            <c:dispEq val="1"/>
            <c:trendlineLbl>
              <c:layout>
                <c:manualLayout>
                  <c:xMode val="edge"/>
                  <c:yMode val="edge"/>
                  <c:x val="0.67266804783435474"/>
                  <c:y val="0.61098475189963797"/>
                </c:manualLayout>
              </c:layout>
              <c:numFmt formatCode="General" sourceLinked="0"/>
              <c:spPr>
                <a:noFill/>
                <a:ln w="25400">
                  <a:noFill/>
                </a:ln>
              </c:spPr>
              <c:txPr>
                <a:bodyPr/>
                <a:lstStyle/>
                <a:p>
                  <a:pPr>
                    <a:defRPr sz="900" b="0" i="0" u="none" strike="noStrike" baseline="0">
                      <a:solidFill>
                        <a:srgbClr val="339966"/>
                      </a:solidFill>
                      <a:latin typeface="MathSoftText"/>
                      <a:ea typeface="MathSoftText"/>
                      <a:cs typeface="MathSoftText"/>
                    </a:defRPr>
                  </a:pPr>
                  <a:endParaRPr lang="en-US"/>
                </a:p>
              </c:txPr>
            </c:trendlineLbl>
          </c:trendline>
          <c:xVal>
            <c:numRef>
              <c:f>'Lens 22'!$A$14:$A$19</c:f>
              <c:numCache>
                <c:formatCode>General</c:formatCode>
                <c:ptCount val="6"/>
                <c:pt idx="0">
                  <c:v>1.1000000000000001</c:v>
                </c:pt>
                <c:pt idx="1">
                  <c:v>1.1000000000000001</c:v>
                </c:pt>
                <c:pt idx="2">
                  <c:v>4.2</c:v>
                </c:pt>
                <c:pt idx="3">
                  <c:v>4.2</c:v>
                </c:pt>
                <c:pt idx="4">
                  <c:v>5.2</c:v>
                </c:pt>
                <c:pt idx="5">
                  <c:v>5.2</c:v>
                </c:pt>
              </c:numCache>
            </c:numRef>
          </c:xVal>
          <c:yVal>
            <c:numRef>
              <c:f>'Lens 22'!$D$14:$D$19</c:f>
              <c:numCache>
                <c:formatCode>0.00</c:formatCode>
                <c:ptCount val="6"/>
                <c:pt idx="0">
                  <c:v>3</c:v>
                </c:pt>
                <c:pt idx="1">
                  <c:v>3</c:v>
                </c:pt>
                <c:pt idx="2">
                  <c:v>4.5999999999999996</c:v>
                </c:pt>
                <c:pt idx="3" formatCode="General">
                  <c:v>4.5999999999999996</c:v>
                </c:pt>
                <c:pt idx="4" formatCode="General">
                  <c:v>5.0999999999999996</c:v>
                </c:pt>
                <c:pt idx="5" formatCode="General">
                  <c:v>5.0999999999999996</c:v>
                </c:pt>
              </c:numCache>
            </c:numRef>
          </c:yVal>
          <c:smooth val="0"/>
          <c:extLst>
            <c:ext xmlns:c16="http://schemas.microsoft.com/office/drawing/2014/chart" uri="{C3380CC4-5D6E-409C-BE32-E72D297353CC}">
              <c16:uniqueId val="{00000001-08D6-44F1-A3C0-551F8B7D431D}"/>
            </c:ext>
          </c:extLst>
        </c:ser>
        <c:dLbls>
          <c:showLegendKey val="0"/>
          <c:showVal val="0"/>
          <c:showCatName val="0"/>
          <c:showSerName val="0"/>
          <c:showPercent val="0"/>
          <c:showBubbleSize val="0"/>
        </c:dLbls>
        <c:axId val="879261087"/>
        <c:axId val="1"/>
      </c:scatterChart>
      <c:scatterChart>
        <c:scatterStyle val="lineMarker"/>
        <c:varyColors val="0"/>
        <c:ser>
          <c:idx val="0"/>
          <c:order val="0"/>
          <c:tx>
            <c:v>rog vs pot</c:v>
          </c:tx>
          <c:spPr>
            <a:ln w="19050">
              <a:noFill/>
            </a:ln>
          </c:spPr>
          <c:marker>
            <c:symbol val="diamond"/>
            <c:size val="5"/>
            <c:spPr>
              <a:solidFill>
                <a:srgbClr val="FF0000"/>
              </a:solidFill>
              <a:ln>
                <a:solidFill>
                  <a:srgbClr val="FF0000"/>
                </a:solidFill>
                <a:prstDash val="solid"/>
              </a:ln>
            </c:spPr>
          </c:marker>
          <c:trendline>
            <c:spPr>
              <a:ln w="12700">
                <a:solidFill>
                  <a:srgbClr val="FF0000"/>
                </a:solidFill>
                <a:prstDash val="solid"/>
              </a:ln>
            </c:spPr>
            <c:trendlineType val="linear"/>
            <c:dispRSqr val="1"/>
            <c:dispEq val="1"/>
            <c:trendlineLbl>
              <c:layout>
                <c:manualLayout>
                  <c:xMode val="edge"/>
                  <c:yMode val="edge"/>
                  <c:x val="0.68163695513881284"/>
                  <c:y val="0.80942424396960577"/>
                </c:manualLayout>
              </c:layout>
              <c:numFmt formatCode="General" sourceLinked="0"/>
              <c:spPr>
                <a:noFill/>
                <a:ln w="25400">
                  <a:noFill/>
                </a:ln>
              </c:spPr>
              <c:txPr>
                <a:bodyPr/>
                <a:lstStyle/>
                <a:p>
                  <a:pPr>
                    <a:defRPr sz="900" b="0" i="0" u="none" strike="noStrike" baseline="0">
                      <a:solidFill>
                        <a:srgbClr val="FF0000"/>
                      </a:solidFill>
                      <a:latin typeface="MathSoftText"/>
                      <a:ea typeface="MathSoftText"/>
                      <a:cs typeface="MathSoftText"/>
                    </a:defRPr>
                  </a:pPr>
                  <a:endParaRPr lang="en-US"/>
                </a:p>
              </c:txPr>
            </c:trendlineLbl>
          </c:trendline>
          <c:xVal>
            <c:numRef>
              <c:f>'Lens 22'!$A$14:$A$19</c:f>
              <c:numCache>
                <c:formatCode>General</c:formatCode>
                <c:ptCount val="6"/>
                <c:pt idx="0">
                  <c:v>1.1000000000000001</c:v>
                </c:pt>
                <c:pt idx="1">
                  <c:v>1.1000000000000001</c:v>
                </c:pt>
                <c:pt idx="2">
                  <c:v>4.2</c:v>
                </c:pt>
                <c:pt idx="3">
                  <c:v>4.2</c:v>
                </c:pt>
                <c:pt idx="4">
                  <c:v>5.2</c:v>
                </c:pt>
                <c:pt idx="5">
                  <c:v>5.2</c:v>
                </c:pt>
              </c:numCache>
            </c:numRef>
          </c:xVal>
          <c:yVal>
            <c:numRef>
              <c:f>'Lens 22'!$C$14:$C$19</c:f>
              <c:numCache>
                <c:formatCode>0.000</c:formatCode>
                <c:ptCount val="6"/>
                <c:pt idx="0">
                  <c:v>0.35</c:v>
                </c:pt>
                <c:pt idx="1">
                  <c:v>0.35</c:v>
                </c:pt>
                <c:pt idx="2">
                  <c:v>0.52</c:v>
                </c:pt>
                <c:pt idx="3">
                  <c:v>0.52</c:v>
                </c:pt>
                <c:pt idx="4">
                  <c:v>0.57999999999999996</c:v>
                </c:pt>
                <c:pt idx="5">
                  <c:v>0.57999999999999996</c:v>
                </c:pt>
              </c:numCache>
            </c:numRef>
          </c:yVal>
          <c:smooth val="0"/>
          <c:extLst>
            <c:ext xmlns:c16="http://schemas.microsoft.com/office/drawing/2014/chart" uri="{C3380CC4-5D6E-409C-BE32-E72D297353CC}">
              <c16:uniqueId val="{00000003-08D6-44F1-A3C0-551F8B7D431D}"/>
            </c:ext>
          </c:extLst>
        </c:ser>
        <c:dLbls>
          <c:showLegendKey val="0"/>
          <c:showVal val="0"/>
          <c:showCatName val="0"/>
          <c:showSerName val="0"/>
          <c:showPercent val="0"/>
          <c:showBubbleSize val="0"/>
        </c:dLbls>
        <c:axId val="3"/>
        <c:axId val="4"/>
      </c:scatterChart>
      <c:valAx>
        <c:axId val="879261087"/>
        <c:scaling>
          <c:orientation val="minMax"/>
        </c:scaling>
        <c:delete val="0"/>
        <c:axPos val="b"/>
        <c:title>
          <c:tx>
            <c:rich>
              <a:bodyPr/>
              <a:lstStyle/>
              <a:p>
                <a:pPr>
                  <a:defRPr sz="900" b="0" i="0" u="none" strike="noStrike" baseline="0">
                    <a:solidFill>
                      <a:srgbClr val="000000"/>
                    </a:solidFill>
                    <a:latin typeface="MathSoftText"/>
                    <a:ea typeface="MathSoftText"/>
                    <a:cs typeface="MathSoftText"/>
                  </a:defRPr>
                </a:pPr>
                <a:r>
                  <a:rPr lang="en-GB"/>
                  <a:t>pot setting</a:t>
                </a:r>
              </a:p>
            </c:rich>
          </c:tx>
          <c:layout>
            <c:manualLayout>
              <c:xMode val="edge"/>
              <c:yMode val="edge"/>
              <c:x val="0.30494284835157415"/>
              <c:y val="0.82247947371105101"/>
            </c:manualLayout>
          </c:layout>
          <c:overlay val="0"/>
          <c:spPr>
            <a:noFill/>
            <a:ln w="25400">
              <a:noFill/>
            </a:ln>
          </c:spPr>
        </c:title>
        <c:numFmt formatCode="General" sourceLinked="1"/>
        <c:majorTickMark val="out"/>
        <c:minorTickMark val="none"/>
        <c:tickLblPos val="nextTo"/>
        <c:spPr>
          <a:ln w="3175">
            <a:solidFill>
              <a:srgbClr val="99CC00"/>
            </a:solidFill>
            <a:prstDash val="solid"/>
          </a:ln>
        </c:spPr>
        <c:txPr>
          <a:bodyPr rot="0" vert="horz"/>
          <a:lstStyle/>
          <a:p>
            <a:pPr>
              <a:defRPr sz="900" b="0" i="0" u="none" strike="noStrike" baseline="0">
                <a:solidFill>
                  <a:srgbClr val="000000"/>
                </a:solidFill>
                <a:latin typeface="MathSoftText"/>
                <a:ea typeface="MathSoftText"/>
                <a:cs typeface="MathSoftText"/>
              </a:defRPr>
            </a:pPr>
            <a:endParaRPr lang="en-US"/>
          </a:p>
        </c:txPr>
        <c:crossAx val="1"/>
        <c:crosses val="autoZero"/>
        <c:crossBetween val="midCat"/>
      </c:valAx>
      <c:valAx>
        <c:axId val="1"/>
        <c:scaling>
          <c:orientation val="minMax"/>
        </c:scaling>
        <c:delete val="0"/>
        <c:axPos val="l"/>
        <c:majorGridlines>
          <c:spPr>
            <a:ln w="3175">
              <a:solidFill>
                <a:srgbClr val="99CC00"/>
              </a:solidFill>
              <a:prstDash val="solid"/>
            </a:ln>
          </c:spPr>
        </c:majorGridlines>
        <c:title>
          <c:tx>
            <c:rich>
              <a:bodyPr/>
              <a:lstStyle/>
              <a:p>
                <a:pPr>
                  <a:defRPr sz="900" b="0" i="0" u="none" strike="noStrike" baseline="0">
                    <a:solidFill>
                      <a:srgbClr val="000000"/>
                    </a:solidFill>
                    <a:latin typeface="MathSoftText"/>
                    <a:ea typeface="MathSoftText"/>
                    <a:cs typeface="MathSoftText"/>
                  </a:defRPr>
                </a:pPr>
                <a:r>
                  <a:rPr lang="en-GB"/>
                  <a:t>bdot (volts)</a:t>
                </a:r>
              </a:p>
            </c:rich>
          </c:tx>
          <c:layout>
            <c:manualLayout>
              <c:xMode val="edge"/>
              <c:yMode val="edge"/>
              <c:x val="5.5308261710824723E-2"/>
              <c:y val="0.37076852465704524"/>
            </c:manualLayout>
          </c:layout>
          <c:overlay val="0"/>
          <c:spPr>
            <a:noFill/>
            <a:ln w="25400">
              <a:noFill/>
            </a:ln>
          </c:spPr>
        </c:title>
        <c:numFmt formatCode="0.00" sourceLinked="1"/>
        <c:majorTickMark val="out"/>
        <c:minorTickMark val="none"/>
        <c:tickLblPos val="nextTo"/>
        <c:spPr>
          <a:ln w="3175">
            <a:solidFill>
              <a:srgbClr val="99CC00"/>
            </a:solidFill>
            <a:prstDash val="solid"/>
          </a:ln>
        </c:spPr>
        <c:txPr>
          <a:bodyPr rot="0" vert="horz"/>
          <a:lstStyle/>
          <a:p>
            <a:pPr>
              <a:defRPr sz="900" b="0" i="0" u="none" strike="noStrike" baseline="0">
                <a:solidFill>
                  <a:srgbClr val="000000"/>
                </a:solidFill>
                <a:latin typeface="MathSoftText"/>
                <a:ea typeface="MathSoftText"/>
                <a:cs typeface="MathSoftText"/>
              </a:defRPr>
            </a:pPr>
            <a:endParaRPr lang="en-US"/>
          </a:p>
        </c:txPr>
        <c:crossAx val="879261087"/>
        <c:crosses val="autoZero"/>
        <c:crossBetween val="midCat"/>
      </c:valAx>
      <c:valAx>
        <c:axId val="3"/>
        <c:scaling>
          <c:orientation val="minMax"/>
        </c:scaling>
        <c:delete val="1"/>
        <c:axPos val="b"/>
        <c:numFmt formatCode="General" sourceLinked="1"/>
        <c:majorTickMark val="out"/>
        <c:minorTickMark val="none"/>
        <c:tickLblPos val="nextTo"/>
        <c:crossAx val="4"/>
        <c:crosses val="autoZero"/>
        <c:crossBetween val="midCat"/>
      </c:valAx>
      <c:valAx>
        <c:axId val="4"/>
        <c:scaling>
          <c:orientation val="minMax"/>
        </c:scaling>
        <c:delete val="0"/>
        <c:axPos val="r"/>
        <c:numFmt formatCode="0.000" sourceLinked="1"/>
        <c:majorTickMark val="out"/>
        <c:minorTickMark val="none"/>
        <c:tickLblPos val="nextTo"/>
        <c:spPr>
          <a:ln w="3175">
            <a:solidFill>
              <a:srgbClr val="99CC00"/>
            </a:solidFill>
            <a:prstDash val="solid"/>
          </a:ln>
        </c:spPr>
        <c:txPr>
          <a:bodyPr rot="0" vert="horz"/>
          <a:lstStyle/>
          <a:p>
            <a:pPr>
              <a:defRPr sz="900" b="0" i="0" u="none" strike="noStrike" baseline="0">
                <a:solidFill>
                  <a:srgbClr val="000000"/>
                </a:solidFill>
                <a:latin typeface="MathSoftText"/>
                <a:ea typeface="MathSoftText"/>
                <a:cs typeface="MathSoftText"/>
              </a:defRPr>
            </a:pPr>
            <a:endParaRPr lang="en-US"/>
          </a:p>
        </c:txPr>
        <c:crossAx val="3"/>
        <c:crosses val="max"/>
        <c:crossBetween val="midCat"/>
      </c:valAx>
      <c:spPr>
        <a:noFill/>
        <a:ln w="12700">
          <a:solidFill>
            <a:srgbClr val="99CC00"/>
          </a:solidFill>
          <a:prstDash val="solid"/>
        </a:ln>
      </c:spPr>
    </c:plotArea>
    <c:legend>
      <c:legendPos val="r"/>
      <c:layout>
        <c:manualLayout>
          <c:xMode val="edge"/>
          <c:yMode val="edge"/>
          <c:x val="0.66668877629804935"/>
          <c:y val="0.20888367586312406"/>
          <c:w val="0.31391175565603224"/>
          <c:h val="0.28460400836350658"/>
        </c:manualLayout>
      </c:layout>
      <c:overlay val="0"/>
      <c:spPr>
        <a:solidFill>
          <a:srgbClr val="FFFFFF"/>
        </a:solidFill>
        <a:ln w="3175">
          <a:solidFill>
            <a:srgbClr val="000000"/>
          </a:solidFill>
          <a:prstDash val="solid"/>
        </a:ln>
      </c:spPr>
      <c:txPr>
        <a:bodyPr/>
        <a:lstStyle/>
        <a:p>
          <a:pPr>
            <a:defRPr sz="825" b="0" i="0" u="none" strike="noStrike" baseline="0">
              <a:solidFill>
                <a:srgbClr val="000000"/>
              </a:solidFill>
              <a:latin typeface="MathSoftText"/>
              <a:ea typeface="MathSoftText"/>
              <a:cs typeface="MathSoftText"/>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900" b="0" i="0" u="none" strike="noStrike" baseline="0">
          <a:solidFill>
            <a:srgbClr val="000000"/>
          </a:solidFill>
          <a:latin typeface="MathSoftText"/>
          <a:ea typeface="MathSoftText"/>
          <a:cs typeface="MathSoftText"/>
        </a:defRPr>
      </a:pPr>
      <a:endParaRPr lang="en-US"/>
    </a:p>
  </c:txPr>
  <c:printSettings>
    <c:headerFooter alignWithMargins="0"/>
    <c:pageMargins b="1" l="0.75" r="0.75" t="1" header="0.5" footer="0.5"/>
    <c:pageSetup orientation="landscape" horizontalDpi="355" verticalDpi="355"/>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0" i="0" u="none" strike="noStrike" baseline="0">
                <a:solidFill>
                  <a:srgbClr val="000000"/>
                </a:solidFill>
                <a:latin typeface="MathSoftText"/>
                <a:ea typeface="MathSoftText"/>
                <a:cs typeface="MathSoftText"/>
              </a:defRPr>
            </a:pPr>
            <a:r>
              <a:rPr lang="en-GB"/>
              <a:t>Lens 22 Rogowski vs Bdot</a:t>
            </a:r>
          </a:p>
        </c:rich>
      </c:tx>
      <c:layout>
        <c:manualLayout>
          <c:xMode val="edge"/>
          <c:yMode val="edge"/>
          <c:x val="0.3094273020038032"/>
          <c:y val="4.1900827207167333E-2"/>
        </c:manualLayout>
      </c:layout>
      <c:overlay val="0"/>
      <c:spPr>
        <a:noFill/>
        <a:ln w="25400">
          <a:noFill/>
        </a:ln>
      </c:spPr>
    </c:title>
    <c:autoTitleDeleted val="0"/>
    <c:plotArea>
      <c:layout>
        <c:manualLayout>
          <c:layoutTarget val="inner"/>
          <c:xMode val="edge"/>
          <c:yMode val="edge"/>
          <c:x val="0.17339887455285591"/>
          <c:y val="0.24302479780157052"/>
          <c:w val="0.76684157453116442"/>
          <c:h val="0.4916363725640967"/>
        </c:manualLayout>
      </c:layout>
      <c:scatterChart>
        <c:scatterStyle val="lineMarker"/>
        <c:varyColors val="0"/>
        <c:ser>
          <c:idx val="0"/>
          <c:order val="0"/>
          <c:spPr>
            <a:ln w="19050">
              <a:noFill/>
            </a:ln>
          </c:spPr>
          <c:marker>
            <c:symbol val="diamond"/>
            <c:size val="5"/>
            <c:spPr>
              <a:solidFill>
                <a:srgbClr val="FF0000"/>
              </a:solidFill>
              <a:ln>
                <a:solidFill>
                  <a:srgbClr val="FF0000"/>
                </a:solidFill>
                <a:prstDash val="solid"/>
              </a:ln>
            </c:spPr>
          </c:marker>
          <c:trendline>
            <c:spPr>
              <a:ln w="3175">
                <a:solidFill>
                  <a:srgbClr val="FF0000"/>
                </a:solidFill>
                <a:prstDash val="solid"/>
              </a:ln>
            </c:spPr>
            <c:trendlineType val="linear"/>
            <c:dispRSqr val="1"/>
            <c:dispEq val="1"/>
            <c:trendlineLbl>
              <c:layout>
                <c:manualLayout>
                  <c:xMode val="edge"/>
                  <c:yMode val="edge"/>
                  <c:x val="0.72797630954517945"/>
                  <c:y val="3.631405024621169E-2"/>
                </c:manualLayout>
              </c:layout>
              <c:numFmt formatCode="General" sourceLinked="0"/>
              <c:spPr>
                <a:noFill/>
                <a:ln w="25400">
                  <a:noFill/>
                </a:ln>
              </c:spPr>
              <c:txPr>
                <a:bodyPr/>
                <a:lstStyle/>
                <a:p>
                  <a:pPr>
                    <a:defRPr sz="875" b="0" i="0" u="none" strike="noStrike" baseline="0">
                      <a:solidFill>
                        <a:srgbClr val="FF0000"/>
                      </a:solidFill>
                      <a:latin typeface="MathSoftText"/>
                      <a:ea typeface="MathSoftText"/>
                      <a:cs typeface="MathSoftText"/>
                    </a:defRPr>
                  </a:pPr>
                  <a:endParaRPr lang="en-US"/>
                </a:p>
              </c:txPr>
            </c:trendlineLbl>
          </c:trendline>
          <c:xVal>
            <c:numRef>
              <c:f>'Lens 22'!$D$14:$D$19</c:f>
              <c:numCache>
                <c:formatCode>0.00</c:formatCode>
                <c:ptCount val="6"/>
                <c:pt idx="0">
                  <c:v>3</c:v>
                </c:pt>
                <c:pt idx="1">
                  <c:v>3</c:v>
                </c:pt>
                <c:pt idx="2">
                  <c:v>4.5999999999999996</c:v>
                </c:pt>
                <c:pt idx="3" formatCode="General">
                  <c:v>4.5999999999999996</c:v>
                </c:pt>
                <c:pt idx="4" formatCode="General">
                  <c:v>5.0999999999999996</c:v>
                </c:pt>
                <c:pt idx="5" formatCode="General">
                  <c:v>5.0999999999999996</c:v>
                </c:pt>
              </c:numCache>
            </c:numRef>
          </c:xVal>
          <c:yVal>
            <c:numRef>
              <c:f>'Lens 22'!$C$14:$C$19</c:f>
              <c:numCache>
                <c:formatCode>0.000</c:formatCode>
                <c:ptCount val="6"/>
                <c:pt idx="0">
                  <c:v>0.35</c:v>
                </c:pt>
                <c:pt idx="1">
                  <c:v>0.35</c:v>
                </c:pt>
                <c:pt idx="2">
                  <c:v>0.52</c:v>
                </c:pt>
                <c:pt idx="3">
                  <c:v>0.52</c:v>
                </c:pt>
                <c:pt idx="4">
                  <c:v>0.57999999999999996</c:v>
                </c:pt>
                <c:pt idx="5">
                  <c:v>0.57999999999999996</c:v>
                </c:pt>
              </c:numCache>
            </c:numRef>
          </c:yVal>
          <c:smooth val="0"/>
          <c:extLst>
            <c:ext xmlns:c16="http://schemas.microsoft.com/office/drawing/2014/chart" uri="{C3380CC4-5D6E-409C-BE32-E72D297353CC}">
              <c16:uniqueId val="{00000001-8EA5-4E85-AC11-852263450A21}"/>
            </c:ext>
          </c:extLst>
        </c:ser>
        <c:dLbls>
          <c:showLegendKey val="0"/>
          <c:showVal val="0"/>
          <c:showCatName val="0"/>
          <c:showSerName val="0"/>
          <c:showPercent val="0"/>
          <c:showBubbleSize val="0"/>
        </c:dLbls>
        <c:axId val="700640223"/>
        <c:axId val="1"/>
      </c:scatterChart>
      <c:valAx>
        <c:axId val="700640223"/>
        <c:scaling>
          <c:orientation val="minMax"/>
          <c:min val="3"/>
        </c:scaling>
        <c:delete val="0"/>
        <c:axPos val="b"/>
        <c:title>
          <c:tx>
            <c:rich>
              <a:bodyPr/>
              <a:lstStyle/>
              <a:p>
                <a:pPr>
                  <a:defRPr sz="875" b="0" i="0" u="none" strike="noStrike" baseline="0">
                    <a:solidFill>
                      <a:srgbClr val="000000"/>
                    </a:solidFill>
                    <a:latin typeface="MathSoftText"/>
                    <a:ea typeface="MathSoftText"/>
                    <a:cs typeface="MathSoftText"/>
                  </a:defRPr>
                </a:pPr>
                <a:r>
                  <a:rPr lang="en-GB"/>
                  <a:t>Bdot (volts)</a:t>
                </a:r>
              </a:p>
            </c:rich>
          </c:tx>
          <c:layout>
            <c:manualLayout>
              <c:xMode val="edge"/>
              <c:yMode val="edge"/>
              <c:x val="0.48432099444073545"/>
              <c:y val="0.85477687502621358"/>
            </c:manualLayout>
          </c:layout>
          <c:overlay val="0"/>
          <c:spPr>
            <a:noFill/>
            <a:ln w="25400">
              <a:noFill/>
            </a:ln>
          </c:spPr>
        </c:title>
        <c:numFmt formatCode="0.00" sourceLinked="1"/>
        <c:majorTickMark val="out"/>
        <c:minorTickMark val="none"/>
        <c:tickLblPos val="nextTo"/>
        <c:spPr>
          <a:ln w="3175">
            <a:solidFill>
              <a:srgbClr val="99CC00"/>
            </a:solidFill>
            <a:prstDash val="solid"/>
          </a:ln>
        </c:spPr>
        <c:txPr>
          <a:bodyPr rot="0" vert="horz"/>
          <a:lstStyle/>
          <a:p>
            <a:pPr>
              <a:defRPr sz="875" b="0" i="0" u="none" strike="noStrike" baseline="0">
                <a:solidFill>
                  <a:srgbClr val="000000"/>
                </a:solidFill>
                <a:latin typeface="MathSoftText"/>
                <a:ea typeface="MathSoftText"/>
                <a:cs typeface="MathSoftText"/>
              </a:defRPr>
            </a:pPr>
            <a:endParaRPr lang="en-US"/>
          </a:p>
        </c:txPr>
        <c:crossAx val="1"/>
        <c:crosses val="autoZero"/>
        <c:crossBetween val="midCat"/>
        <c:minorUnit val="0.1"/>
      </c:valAx>
      <c:valAx>
        <c:axId val="1"/>
        <c:scaling>
          <c:orientation val="minMax"/>
        </c:scaling>
        <c:delete val="0"/>
        <c:axPos val="l"/>
        <c:majorGridlines>
          <c:spPr>
            <a:ln w="3175">
              <a:solidFill>
                <a:srgbClr val="99CC00"/>
              </a:solidFill>
              <a:prstDash val="solid"/>
            </a:ln>
          </c:spPr>
        </c:majorGridlines>
        <c:title>
          <c:tx>
            <c:rich>
              <a:bodyPr/>
              <a:lstStyle/>
              <a:p>
                <a:pPr>
                  <a:defRPr sz="875" b="0" i="0" u="none" strike="noStrike" baseline="0">
                    <a:solidFill>
                      <a:srgbClr val="000000"/>
                    </a:solidFill>
                    <a:latin typeface="MathSoftText"/>
                    <a:ea typeface="MathSoftText"/>
                    <a:cs typeface="MathSoftText"/>
                  </a:defRPr>
                </a:pPr>
                <a:r>
                  <a:rPr lang="en-GB"/>
                  <a:t>Rogowski (volts)</a:t>
                </a:r>
              </a:p>
            </c:rich>
          </c:tx>
          <c:layout>
            <c:manualLayout>
              <c:xMode val="edge"/>
              <c:yMode val="edge"/>
              <c:x val="3.2885993449679567E-2"/>
              <c:y val="0.29609917893064913"/>
            </c:manualLayout>
          </c:layout>
          <c:overlay val="0"/>
          <c:spPr>
            <a:noFill/>
            <a:ln w="25400">
              <a:noFill/>
            </a:ln>
          </c:spPr>
        </c:title>
        <c:numFmt formatCode="0.000" sourceLinked="1"/>
        <c:majorTickMark val="out"/>
        <c:minorTickMark val="none"/>
        <c:tickLblPos val="nextTo"/>
        <c:spPr>
          <a:ln w="3175">
            <a:solidFill>
              <a:srgbClr val="99CC00"/>
            </a:solidFill>
            <a:prstDash val="solid"/>
          </a:ln>
        </c:spPr>
        <c:txPr>
          <a:bodyPr rot="0" vert="horz"/>
          <a:lstStyle/>
          <a:p>
            <a:pPr>
              <a:defRPr sz="875" b="0" i="0" u="none" strike="noStrike" baseline="0">
                <a:solidFill>
                  <a:srgbClr val="000000"/>
                </a:solidFill>
                <a:latin typeface="MathSoftText"/>
                <a:ea typeface="MathSoftText"/>
                <a:cs typeface="MathSoftText"/>
              </a:defRPr>
            </a:pPr>
            <a:endParaRPr lang="en-US"/>
          </a:p>
        </c:txPr>
        <c:crossAx val="700640223"/>
        <c:crosses val="autoZero"/>
        <c:crossBetween val="midCat"/>
      </c:valAx>
      <c:spPr>
        <a:noFill/>
        <a:ln w="12700">
          <a:solidFill>
            <a:srgbClr val="99CC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75" b="0" i="0" u="none" strike="noStrike" baseline="0">
          <a:solidFill>
            <a:srgbClr val="000000"/>
          </a:solidFill>
          <a:latin typeface="MathSoftText"/>
          <a:ea typeface="MathSoftText"/>
          <a:cs typeface="MathSoftText"/>
        </a:defRPr>
      </a:pPr>
      <a:endParaRPr lang="en-US"/>
    </a:p>
  </c:txPr>
  <c:printSettings>
    <c:headerFooter alignWithMargins="0"/>
    <c:pageMargins b="1" l="0.75" r="0.75" t="1" header="0.5" footer="0.5"/>
    <c:pageSetup orientation="landscape"/>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375" b="0" i="0" u="none" strike="noStrike" baseline="0">
                <a:solidFill>
                  <a:srgbClr val="000000"/>
                </a:solidFill>
                <a:latin typeface="MathSoftText"/>
                <a:ea typeface="MathSoftText"/>
                <a:cs typeface="MathSoftText"/>
              </a:defRPr>
            </a:pPr>
            <a:r>
              <a:rPr lang="en-GB"/>
              <a:t>lens 23 pulse count vs peak current</a:t>
            </a:r>
          </a:p>
        </c:rich>
      </c:tx>
      <c:layout>
        <c:manualLayout>
          <c:xMode val="edge"/>
          <c:yMode val="edge"/>
          <c:x val="0.413853618016155"/>
          <c:y val="7.7468251703042959E-2"/>
        </c:manualLayout>
      </c:layout>
      <c:overlay val="0"/>
      <c:spPr>
        <a:noFill/>
        <a:ln w="25400">
          <a:noFill/>
        </a:ln>
      </c:spPr>
    </c:title>
    <c:autoTitleDeleted val="0"/>
    <c:plotArea>
      <c:layout>
        <c:manualLayout>
          <c:layoutTarget val="inner"/>
          <c:xMode val="edge"/>
          <c:yMode val="edge"/>
          <c:x val="8.9555209144479439E-2"/>
          <c:y val="0.33804328015873286"/>
          <c:w val="0.88334001747054713"/>
          <c:h val="0.27466016512897046"/>
        </c:manualLayout>
      </c:layout>
      <c:barChart>
        <c:barDir val="col"/>
        <c:grouping val="clustered"/>
        <c:varyColors val="0"/>
        <c:ser>
          <c:idx val="0"/>
          <c:order val="0"/>
          <c:spPr>
            <a:solidFill>
              <a:srgbClr val="9999FF"/>
            </a:solidFill>
            <a:ln w="12700">
              <a:solidFill>
                <a:srgbClr val="000000"/>
              </a:solidFill>
              <a:prstDash val="solid"/>
            </a:ln>
          </c:spPr>
          <c:invertIfNegative val="0"/>
          <c:cat>
            <c:numRef>
              <c:f>'Lens 23'!$D$24:$D$27</c:f>
              <c:numCache>
                <c:formatCode>0</c:formatCode>
                <c:ptCount val="4"/>
                <c:pt idx="0" formatCode="General">
                  <c:v>315755.63211973367</c:v>
                </c:pt>
                <c:pt idx="1">
                  <c:v>395351.04523751262</c:v>
                </c:pt>
                <c:pt idx="2" formatCode="General">
                  <c:v>482408.52833508328</c:v>
                </c:pt>
                <c:pt idx="3" formatCode="General">
                  <c:v>519718.87823404215</c:v>
                </c:pt>
              </c:numCache>
            </c:numRef>
          </c:cat>
          <c:val>
            <c:numRef>
              <c:f>'Lens 23'!$A$24:$A$27</c:f>
              <c:numCache>
                <c:formatCode>General</c:formatCode>
                <c:ptCount val="4"/>
                <c:pt idx="0">
                  <c:v>433</c:v>
                </c:pt>
                <c:pt idx="1">
                  <c:v>1000</c:v>
                </c:pt>
                <c:pt idx="2">
                  <c:v>45267</c:v>
                </c:pt>
                <c:pt idx="3">
                  <c:v>53300</c:v>
                </c:pt>
              </c:numCache>
            </c:numRef>
          </c:val>
          <c:extLst>
            <c:ext xmlns:c16="http://schemas.microsoft.com/office/drawing/2014/chart" uri="{C3380CC4-5D6E-409C-BE32-E72D297353CC}">
              <c16:uniqueId val="{00000000-1DDC-4201-9B90-AF90A824EAA1}"/>
            </c:ext>
          </c:extLst>
        </c:ser>
        <c:dLbls>
          <c:showLegendKey val="0"/>
          <c:showVal val="0"/>
          <c:showCatName val="0"/>
          <c:showSerName val="0"/>
          <c:showPercent val="0"/>
          <c:showBubbleSize val="0"/>
        </c:dLbls>
        <c:gapWidth val="150"/>
        <c:axId val="877464863"/>
        <c:axId val="1"/>
      </c:barChart>
      <c:catAx>
        <c:axId val="877464863"/>
        <c:scaling>
          <c:orientation val="minMax"/>
        </c:scaling>
        <c:delete val="0"/>
        <c:axPos val="b"/>
        <c:title>
          <c:tx>
            <c:rich>
              <a:bodyPr/>
              <a:lstStyle/>
              <a:p>
                <a:pPr>
                  <a:defRPr sz="325" b="0" i="0" u="none" strike="noStrike" baseline="0">
                    <a:solidFill>
                      <a:srgbClr val="000000"/>
                    </a:solidFill>
                    <a:latin typeface="MathSoftText"/>
                    <a:ea typeface="MathSoftText"/>
                    <a:cs typeface="MathSoftText"/>
                  </a:defRPr>
                </a:pPr>
                <a:r>
                  <a:rPr lang="en-GB"/>
                  <a:t>amps</a:t>
                </a:r>
              </a:p>
            </c:rich>
          </c:tx>
          <c:layout>
            <c:manualLayout>
              <c:xMode val="edge"/>
              <c:yMode val="edge"/>
              <c:x val="0.51833469535138099"/>
              <c:y val="0.74651224368386848"/>
            </c:manualLayout>
          </c:layout>
          <c:overlay val="0"/>
          <c:spPr>
            <a:noFill/>
            <a:ln w="25400">
              <a:noFill/>
            </a:ln>
          </c:spPr>
        </c:title>
        <c:numFmt formatCode="0" sourceLinked="0"/>
        <c:majorTickMark val="out"/>
        <c:minorTickMark val="none"/>
        <c:tickLblPos val="nextTo"/>
        <c:spPr>
          <a:ln w="3175">
            <a:solidFill>
              <a:srgbClr val="99CC00"/>
            </a:solidFill>
            <a:prstDash val="solid"/>
          </a:ln>
        </c:spPr>
        <c:txPr>
          <a:bodyPr rot="0" vert="horz"/>
          <a:lstStyle/>
          <a:p>
            <a:pPr>
              <a:defRPr sz="325" b="0" i="0" u="none" strike="noStrike" baseline="0">
                <a:solidFill>
                  <a:srgbClr val="000000"/>
                </a:solidFill>
                <a:latin typeface="MathSoftText"/>
                <a:ea typeface="MathSoftText"/>
                <a:cs typeface="MathSoftText"/>
              </a:defRPr>
            </a:pPr>
            <a:endParaRPr lang="en-US"/>
          </a:p>
        </c:txPr>
        <c:crossAx val="1"/>
        <c:crosses val="autoZero"/>
        <c:auto val="1"/>
        <c:lblAlgn val="ctr"/>
        <c:lblOffset val="100"/>
        <c:tickLblSkip val="1"/>
        <c:tickMarkSkip val="1"/>
        <c:noMultiLvlLbl val="0"/>
      </c:catAx>
      <c:valAx>
        <c:axId val="1"/>
        <c:scaling>
          <c:logBase val="10"/>
          <c:orientation val="minMax"/>
          <c:min val="10"/>
        </c:scaling>
        <c:delete val="0"/>
        <c:axPos val="l"/>
        <c:majorGridlines>
          <c:spPr>
            <a:ln w="3175">
              <a:solidFill>
                <a:srgbClr val="99CC00"/>
              </a:solidFill>
              <a:prstDash val="solid"/>
            </a:ln>
          </c:spPr>
        </c:majorGridlines>
        <c:title>
          <c:tx>
            <c:rich>
              <a:bodyPr/>
              <a:lstStyle/>
              <a:p>
                <a:pPr>
                  <a:defRPr sz="325" b="0" i="0" u="none" strike="noStrike" baseline="0">
                    <a:solidFill>
                      <a:srgbClr val="000000"/>
                    </a:solidFill>
                    <a:latin typeface="MathSoftText"/>
                    <a:ea typeface="MathSoftText"/>
                    <a:cs typeface="MathSoftText"/>
                  </a:defRPr>
                </a:pPr>
                <a:r>
                  <a:rPr lang="en-GB"/>
                  <a:t>number of pulses</a:t>
                </a:r>
              </a:p>
            </c:rich>
          </c:tx>
          <c:layout>
            <c:manualLayout>
              <c:xMode val="edge"/>
              <c:yMode val="edge"/>
              <c:x val="2.9851736381493146E-2"/>
              <c:y val="0.27466016512897046"/>
            </c:manualLayout>
          </c:layout>
          <c:overlay val="0"/>
          <c:spPr>
            <a:noFill/>
            <a:ln w="25400">
              <a:noFill/>
            </a:ln>
          </c:spPr>
        </c:title>
        <c:numFmt formatCode="General" sourceLinked="1"/>
        <c:majorTickMark val="out"/>
        <c:minorTickMark val="none"/>
        <c:tickLblPos val="nextTo"/>
        <c:spPr>
          <a:ln w="3175">
            <a:solidFill>
              <a:srgbClr val="99CC00"/>
            </a:solidFill>
            <a:prstDash val="solid"/>
          </a:ln>
        </c:spPr>
        <c:txPr>
          <a:bodyPr rot="0" vert="horz"/>
          <a:lstStyle/>
          <a:p>
            <a:pPr>
              <a:defRPr sz="325" b="0" i="0" u="none" strike="noStrike" baseline="0">
                <a:solidFill>
                  <a:srgbClr val="000000"/>
                </a:solidFill>
                <a:latin typeface="MathSoftText"/>
                <a:ea typeface="MathSoftText"/>
                <a:cs typeface="MathSoftText"/>
              </a:defRPr>
            </a:pPr>
            <a:endParaRPr lang="en-US"/>
          </a:p>
        </c:txPr>
        <c:crossAx val="877464863"/>
        <c:crosses val="autoZero"/>
        <c:crossBetween val="between"/>
      </c:valAx>
      <c:spPr>
        <a:noFill/>
        <a:ln w="12700">
          <a:solidFill>
            <a:srgbClr val="99CC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325" b="0" i="0" u="none" strike="noStrike" baseline="0">
          <a:solidFill>
            <a:srgbClr val="000000"/>
          </a:solidFill>
          <a:latin typeface="MathSoftText"/>
          <a:ea typeface="MathSoftText"/>
          <a:cs typeface="MathSoftText"/>
        </a:defRPr>
      </a:pPr>
      <a:endParaRPr lang="en-US"/>
    </a:p>
  </c:txPr>
  <c:printSettings>
    <c:headerFooter alignWithMargins="0"/>
    <c:pageMargins b="1" l="0.75" r="0.75" t="1" header="0.5" footer="0.5"/>
    <c:pageSetup orientation="landscape"/>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475" b="0" i="0" u="none" strike="noStrike" baseline="0">
                <a:solidFill>
                  <a:srgbClr val="000000"/>
                </a:solidFill>
                <a:latin typeface="MathSoftText"/>
                <a:ea typeface="MathSoftText"/>
                <a:cs typeface="MathSoftText"/>
              </a:defRPr>
            </a:pPr>
            <a:r>
              <a:rPr lang="en-GB"/>
              <a:t>lens 23 pulse count vs peak current</a:t>
            </a:r>
          </a:p>
        </c:rich>
      </c:tx>
      <c:layout>
        <c:manualLayout>
          <c:xMode val="edge"/>
          <c:yMode val="edge"/>
          <c:x val="0.39096990185079994"/>
          <c:y val="6.5091355036350773E-2"/>
        </c:manualLayout>
      </c:layout>
      <c:overlay val="0"/>
      <c:spPr>
        <a:noFill/>
        <a:ln w="25400">
          <a:noFill/>
        </a:ln>
      </c:spPr>
    </c:title>
    <c:autoTitleDeleted val="0"/>
    <c:plotArea>
      <c:layout>
        <c:manualLayout>
          <c:layoutTarget val="inner"/>
          <c:xMode val="edge"/>
          <c:yMode val="edge"/>
          <c:x val="7.4470457495390455E-2"/>
          <c:y val="0.30178719153217176"/>
          <c:w val="0.87635770516896994"/>
          <c:h val="0.46747427707924649"/>
        </c:manualLayout>
      </c:layout>
      <c:scatterChart>
        <c:scatterStyle val="lineMarker"/>
        <c:varyColors val="0"/>
        <c:ser>
          <c:idx val="0"/>
          <c:order val="0"/>
          <c:spPr>
            <a:ln w="19050">
              <a:noFill/>
            </a:ln>
          </c:spPr>
          <c:marker>
            <c:symbol val="diamond"/>
            <c:size val="5"/>
            <c:spPr>
              <a:solidFill>
                <a:srgbClr val="000080"/>
              </a:solidFill>
              <a:ln>
                <a:solidFill>
                  <a:srgbClr val="000080"/>
                </a:solidFill>
                <a:prstDash val="solid"/>
              </a:ln>
            </c:spPr>
          </c:marker>
          <c:xVal>
            <c:numRef>
              <c:f>'Lens 23'!$D$24:$D$27</c:f>
              <c:numCache>
                <c:formatCode>0</c:formatCode>
                <c:ptCount val="4"/>
                <c:pt idx="0" formatCode="General">
                  <c:v>315755.63211973367</c:v>
                </c:pt>
                <c:pt idx="1">
                  <c:v>395351.04523751262</c:v>
                </c:pt>
                <c:pt idx="2" formatCode="General">
                  <c:v>482408.52833508328</c:v>
                </c:pt>
                <c:pt idx="3" formatCode="General">
                  <c:v>519718.87823404215</c:v>
                </c:pt>
              </c:numCache>
            </c:numRef>
          </c:xVal>
          <c:yVal>
            <c:numRef>
              <c:f>'Lens 23'!$A$24:$A$27</c:f>
              <c:numCache>
                <c:formatCode>General</c:formatCode>
                <c:ptCount val="4"/>
                <c:pt idx="0">
                  <c:v>433</c:v>
                </c:pt>
                <c:pt idx="1">
                  <c:v>1000</c:v>
                </c:pt>
                <c:pt idx="2">
                  <c:v>45267</c:v>
                </c:pt>
                <c:pt idx="3">
                  <c:v>53300</c:v>
                </c:pt>
              </c:numCache>
            </c:numRef>
          </c:yVal>
          <c:smooth val="0"/>
          <c:extLst>
            <c:ext xmlns:c16="http://schemas.microsoft.com/office/drawing/2014/chart" uri="{C3380CC4-5D6E-409C-BE32-E72D297353CC}">
              <c16:uniqueId val="{00000000-8010-421A-9662-67F9E8A3D813}"/>
            </c:ext>
          </c:extLst>
        </c:ser>
        <c:dLbls>
          <c:showLegendKey val="0"/>
          <c:showVal val="0"/>
          <c:showCatName val="0"/>
          <c:showSerName val="0"/>
          <c:showPercent val="0"/>
          <c:showBubbleSize val="0"/>
        </c:dLbls>
        <c:axId val="951442095"/>
        <c:axId val="1"/>
      </c:scatterChart>
      <c:valAx>
        <c:axId val="951442095"/>
        <c:scaling>
          <c:orientation val="minMax"/>
          <c:max val="700000"/>
          <c:min val="200000"/>
        </c:scaling>
        <c:delete val="0"/>
        <c:axPos val="b"/>
        <c:numFmt formatCode="0" sourceLinked="0"/>
        <c:majorTickMark val="out"/>
        <c:minorTickMark val="none"/>
        <c:tickLblPos val="nextTo"/>
        <c:spPr>
          <a:ln w="3175">
            <a:solidFill>
              <a:srgbClr val="99CC00"/>
            </a:solidFill>
            <a:prstDash val="solid"/>
          </a:ln>
        </c:spPr>
        <c:txPr>
          <a:bodyPr rot="0" vert="horz"/>
          <a:lstStyle/>
          <a:p>
            <a:pPr>
              <a:defRPr sz="400" b="0" i="0" u="none" strike="noStrike" baseline="0">
                <a:solidFill>
                  <a:srgbClr val="000000"/>
                </a:solidFill>
                <a:latin typeface="MathSoftText"/>
                <a:ea typeface="MathSoftText"/>
                <a:cs typeface="MathSoftText"/>
              </a:defRPr>
            </a:pPr>
            <a:endParaRPr lang="en-US"/>
          </a:p>
        </c:txPr>
        <c:crossAx val="1"/>
        <c:crosses val="autoZero"/>
        <c:crossBetween val="midCat"/>
        <c:majorUnit val="100000"/>
        <c:minorUnit val="20000"/>
      </c:valAx>
      <c:valAx>
        <c:axId val="1"/>
        <c:scaling>
          <c:orientation val="minMax"/>
          <c:max val="125000"/>
          <c:min val="0"/>
        </c:scaling>
        <c:delete val="0"/>
        <c:axPos val="l"/>
        <c:majorGridlines>
          <c:spPr>
            <a:ln w="3175">
              <a:solidFill>
                <a:srgbClr val="99CC00"/>
              </a:solidFill>
              <a:prstDash val="solid"/>
            </a:ln>
          </c:spPr>
        </c:majorGridlines>
        <c:numFmt formatCode="General" sourceLinked="1"/>
        <c:majorTickMark val="out"/>
        <c:minorTickMark val="none"/>
        <c:tickLblPos val="nextTo"/>
        <c:spPr>
          <a:ln w="3175">
            <a:solidFill>
              <a:srgbClr val="99CC00"/>
            </a:solidFill>
            <a:prstDash val="solid"/>
          </a:ln>
        </c:spPr>
        <c:txPr>
          <a:bodyPr rot="0" vert="horz"/>
          <a:lstStyle/>
          <a:p>
            <a:pPr>
              <a:defRPr sz="400" b="0" i="0" u="none" strike="noStrike" baseline="0">
                <a:solidFill>
                  <a:srgbClr val="000000"/>
                </a:solidFill>
                <a:latin typeface="MathSoftText"/>
                <a:ea typeface="MathSoftText"/>
                <a:cs typeface="MathSoftText"/>
              </a:defRPr>
            </a:pPr>
            <a:endParaRPr lang="en-US"/>
          </a:p>
        </c:txPr>
        <c:crossAx val="951442095"/>
        <c:crosses val="autoZero"/>
        <c:crossBetween val="midCat"/>
        <c:majorUnit val="25000"/>
        <c:minorUnit val="5000"/>
      </c:valAx>
      <c:spPr>
        <a:noFill/>
        <a:ln w="12700">
          <a:solidFill>
            <a:srgbClr val="99CC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400" b="0" i="0" u="none" strike="noStrike" baseline="0">
          <a:solidFill>
            <a:srgbClr val="000000"/>
          </a:solidFill>
          <a:latin typeface="MathSoftText"/>
          <a:ea typeface="MathSoftText"/>
          <a:cs typeface="MathSoftText"/>
        </a:defRPr>
      </a:pPr>
      <a:endParaRPr lang="en-US"/>
    </a:p>
  </c:txPr>
  <c:printSettings>
    <c:headerFooter alignWithMargins="0"/>
    <c:pageMargins b="1" l="0.75" r="0.75" t="1" header="0.5" footer="0.5"/>
    <c:pageSetup orientation="landscape" horizontalDpi="355" verticalDpi="355"/>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75" b="0" i="0" u="none" strike="noStrike" baseline="0">
                <a:solidFill>
                  <a:srgbClr val="000000"/>
                </a:solidFill>
                <a:latin typeface="MathSoftText"/>
                <a:ea typeface="MathSoftText"/>
                <a:cs typeface="MathSoftText"/>
              </a:defRPr>
            </a:pPr>
            <a:r>
              <a:rPr lang="en-GB"/>
              <a:t>lens 23 pulse count vs peak current</a:t>
            </a:r>
          </a:p>
        </c:rich>
      </c:tx>
      <c:layout>
        <c:manualLayout>
          <c:xMode val="edge"/>
          <c:yMode val="edge"/>
          <c:x val="0.22949240967709295"/>
          <c:y val="3.4359194174380617E-2"/>
        </c:manualLayout>
      </c:layout>
      <c:overlay val="0"/>
      <c:spPr>
        <a:noFill/>
        <a:ln w="25400">
          <a:noFill/>
        </a:ln>
      </c:spPr>
    </c:title>
    <c:autoTitleDeleted val="0"/>
    <c:plotArea>
      <c:layout>
        <c:manualLayout>
          <c:layoutTarget val="inner"/>
          <c:xMode val="edge"/>
          <c:yMode val="edge"/>
          <c:x val="0.13074113036149537"/>
          <c:y val="0.1844546213572012"/>
          <c:w val="0.84147216881600739"/>
          <c:h val="0.69803415533215352"/>
        </c:manualLayout>
      </c:layout>
      <c:barChart>
        <c:barDir val="col"/>
        <c:grouping val="clustered"/>
        <c:varyColors val="0"/>
        <c:ser>
          <c:idx val="0"/>
          <c:order val="0"/>
          <c:spPr>
            <a:solidFill>
              <a:srgbClr val="9999FF"/>
            </a:solidFill>
            <a:ln w="12700">
              <a:solidFill>
                <a:srgbClr val="000000"/>
              </a:solidFill>
              <a:prstDash val="solid"/>
            </a:ln>
          </c:spPr>
          <c:invertIfNegative val="0"/>
          <c:cat>
            <c:numRef>
              <c:f>'Lens 23'!$D$24:$D$27</c:f>
              <c:numCache>
                <c:formatCode>0</c:formatCode>
                <c:ptCount val="4"/>
                <c:pt idx="0" formatCode="General">
                  <c:v>315755.63211973367</c:v>
                </c:pt>
                <c:pt idx="1">
                  <c:v>395351.04523751262</c:v>
                </c:pt>
                <c:pt idx="2" formatCode="General">
                  <c:v>482408.52833508328</c:v>
                </c:pt>
                <c:pt idx="3" formatCode="General">
                  <c:v>519718.87823404215</c:v>
                </c:pt>
              </c:numCache>
            </c:numRef>
          </c:cat>
          <c:val>
            <c:numRef>
              <c:f>'Lens 23'!$A$24:$A$27</c:f>
              <c:numCache>
                <c:formatCode>General</c:formatCode>
                <c:ptCount val="4"/>
                <c:pt idx="0">
                  <c:v>433</c:v>
                </c:pt>
                <c:pt idx="1">
                  <c:v>1000</c:v>
                </c:pt>
                <c:pt idx="2">
                  <c:v>45267</c:v>
                </c:pt>
                <c:pt idx="3">
                  <c:v>53300</c:v>
                </c:pt>
              </c:numCache>
            </c:numRef>
          </c:val>
          <c:extLst>
            <c:ext xmlns:c16="http://schemas.microsoft.com/office/drawing/2014/chart" uri="{C3380CC4-5D6E-409C-BE32-E72D297353CC}">
              <c16:uniqueId val="{00000000-4D53-4104-9668-AC878B263DEC}"/>
            </c:ext>
          </c:extLst>
        </c:ser>
        <c:dLbls>
          <c:showLegendKey val="0"/>
          <c:showVal val="0"/>
          <c:showCatName val="0"/>
          <c:showSerName val="0"/>
          <c:showPercent val="0"/>
          <c:showBubbleSize val="0"/>
        </c:dLbls>
        <c:gapWidth val="150"/>
        <c:axId val="877461663"/>
        <c:axId val="1"/>
      </c:barChart>
      <c:catAx>
        <c:axId val="877461663"/>
        <c:scaling>
          <c:orientation val="minMax"/>
        </c:scaling>
        <c:delete val="0"/>
        <c:axPos val="b"/>
        <c:numFmt formatCode="0" sourceLinked="0"/>
        <c:majorTickMark val="out"/>
        <c:minorTickMark val="none"/>
        <c:tickLblPos val="nextTo"/>
        <c:spPr>
          <a:ln w="3175">
            <a:solidFill>
              <a:srgbClr val="99CC00"/>
            </a:solidFill>
            <a:prstDash val="solid"/>
          </a:ln>
        </c:spPr>
        <c:txPr>
          <a:bodyPr rot="0" vert="horz"/>
          <a:lstStyle/>
          <a:p>
            <a:pPr>
              <a:defRPr sz="975" b="0" i="0" u="none" strike="noStrike" baseline="0">
                <a:solidFill>
                  <a:srgbClr val="000000"/>
                </a:solidFill>
                <a:latin typeface="MathSoftText"/>
                <a:ea typeface="MathSoftText"/>
                <a:cs typeface="MathSoftText"/>
              </a:defRPr>
            </a:pPr>
            <a:endParaRPr lang="en-US"/>
          </a:p>
        </c:txPr>
        <c:crossAx val="1"/>
        <c:crosses val="autoZero"/>
        <c:auto val="1"/>
        <c:lblAlgn val="ctr"/>
        <c:lblOffset val="100"/>
        <c:tickLblSkip val="1"/>
        <c:tickMarkSkip val="1"/>
        <c:noMultiLvlLbl val="0"/>
      </c:catAx>
      <c:valAx>
        <c:axId val="1"/>
        <c:scaling>
          <c:orientation val="minMax"/>
          <c:max val="75000"/>
          <c:min val="0"/>
        </c:scaling>
        <c:delete val="0"/>
        <c:axPos val="l"/>
        <c:majorGridlines>
          <c:spPr>
            <a:ln w="3175">
              <a:solidFill>
                <a:srgbClr val="99CC00"/>
              </a:solidFill>
              <a:prstDash val="solid"/>
            </a:ln>
          </c:spPr>
        </c:majorGridlines>
        <c:numFmt formatCode="General" sourceLinked="1"/>
        <c:majorTickMark val="out"/>
        <c:minorTickMark val="none"/>
        <c:tickLblPos val="nextTo"/>
        <c:spPr>
          <a:ln w="3175">
            <a:solidFill>
              <a:srgbClr val="99CC00"/>
            </a:solidFill>
            <a:prstDash val="solid"/>
          </a:ln>
        </c:spPr>
        <c:txPr>
          <a:bodyPr rot="0" vert="horz"/>
          <a:lstStyle/>
          <a:p>
            <a:pPr>
              <a:defRPr sz="975" b="0" i="0" u="none" strike="noStrike" baseline="0">
                <a:solidFill>
                  <a:srgbClr val="000000"/>
                </a:solidFill>
                <a:latin typeface="MathSoftText"/>
                <a:ea typeface="MathSoftText"/>
                <a:cs typeface="MathSoftText"/>
              </a:defRPr>
            </a:pPr>
            <a:endParaRPr lang="en-US"/>
          </a:p>
        </c:txPr>
        <c:crossAx val="877461663"/>
        <c:crosses val="autoZero"/>
        <c:crossBetween val="between"/>
        <c:majorUnit val="25000"/>
        <c:minorUnit val="5000"/>
      </c:valAx>
      <c:spPr>
        <a:noFill/>
        <a:ln w="12700">
          <a:solidFill>
            <a:srgbClr val="99CC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975" b="0" i="0" u="none" strike="noStrike" baseline="0">
          <a:solidFill>
            <a:srgbClr val="000000"/>
          </a:solidFill>
          <a:latin typeface="MathSoftText"/>
          <a:ea typeface="MathSoftText"/>
          <a:cs typeface="MathSoftText"/>
        </a:defRPr>
      </a:pPr>
      <a:endParaRPr lang="en-US"/>
    </a:p>
  </c:txPr>
  <c:printSettings>
    <c:headerFooter alignWithMargins="0"/>
    <c:pageMargins b="1" l="0.75" r="0.75" t="1" header="0.5" footer="0.5"/>
    <c:pageSetup orientation="landscape" horizontalDpi="355" verticalDpi="355"/>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0" i="0" u="none" strike="noStrike" baseline="0">
                <a:solidFill>
                  <a:srgbClr val="000000"/>
                </a:solidFill>
                <a:latin typeface="MathSoftText"/>
                <a:ea typeface="MathSoftText"/>
                <a:cs typeface="MathSoftText"/>
              </a:defRPr>
            </a:pPr>
            <a:r>
              <a:rPr lang="en-GB"/>
              <a:t>Lens 23 Rogowski and Bdot vs Pot</a:t>
            </a:r>
          </a:p>
        </c:rich>
      </c:tx>
      <c:layout>
        <c:manualLayout>
          <c:xMode val="edge"/>
          <c:yMode val="edge"/>
          <c:x val="0.25075467490310571"/>
          <c:y val="4.1900827207167333E-2"/>
        </c:manualLayout>
      </c:layout>
      <c:overlay val="0"/>
      <c:spPr>
        <a:noFill/>
        <a:ln w="25400">
          <a:noFill/>
        </a:ln>
      </c:spPr>
    </c:title>
    <c:autoTitleDeleted val="0"/>
    <c:plotArea>
      <c:layout>
        <c:manualLayout>
          <c:layoutTarget val="inner"/>
          <c:xMode val="edge"/>
          <c:yMode val="edge"/>
          <c:x val="0.18060306942426066"/>
          <c:y val="0.28771901348921569"/>
          <c:w val="0.46270207869025459"/>
          <c:h val="0.40783471814976202"/>
        </c:manualLayout>
      </c:layout>
      <c:scatterChart>
        <c:scatterStyle val="lineMarker"/>
        <c:varyColors val="0"/>
        <c:ser>
          <c:idx val="1"/>
          <c:order val="0"/>
          <c:tx>
            <c:v>bdot vs pot</c:v>
          </c:tx>
          <c:spPr>
            <a:ln w="19050">
              <a:noFill/>
            </a:ln>
          </c:spPr>
          <c:marker>
            <c:symbol val="square"/>
            <c:size val="5"/>
            <c:spPr>
              <a:solidFill>
                <a:srgbClr val="339966"/>
              </a:solidFill>
              <a:ln>
                <a:solidFill>
                  <a:srgbClr val="339966"/>
                </a:solidFill>
                <a:prstDash val="solid"/>
              </a:ln>
            </c:spPr>
          </c:marker>
          <c:trendline>
            <c:spPr>
              <a:ln w="12700">
                <a:solidFill>
                  <a:srgbClr val="339966"/>
                </a:solidFill>
                <a:prstDash val="solid"/>
              </a:ln>
            </c:spPr>
            <c:trendlineType val="linear"/>
            <c:dispRSqr val="1"/>
            <c:dispEq val="1"/>
            <c:trendlineLbl>
              <c:layout>
                <c:manualLayout>
                  <c:xMode val="edge"/>
                  <c:yMode val="edge"/>
                  <c:x val="0.72838262709949753"/>
                  <c:y val="0.56147108457604222"/>
                </c:manualLayout>
              </c:layout>
              <c:numFmt formatCode="General" sourceLinked="0"/>
              <c:spPr>
                <a:noFill/>
                <a:ln w="25400">
                  <a:noFill/>
                </a:ln>
              </c:spPr>
              <c:txPr>
                <a:bodyPr/>
                <a:lstStyle/>
                <a:p>
                  <a:pPr>
                    <a:defRPr sz="875" b="0" i="0" u="none" strike="noStrike" baseline="0">
                      <a:solidFill>
                        <a:srgbClr val="339966"/>
                      </a:solidFill>
                      <a:latin typeface="MathSoftText"/>
                      <a:ea typeface="MathSoftText"/>
                      <a:cs typeface="MathSoftText"/>
                    </a:defRPr>
                  </a:pPr>
                  <a:endParaRPr lang="en-US"/>
                </a:p>
              </c:txPr>
            </c:trendlineLbl>
          </c:trendline>
          <c:xVal>
            <c:numRef>
              <c:f>'Lens 23'!$A$9:$A$18</c:f>
              <c:numCache>
                <c:formatCode>General</c:formatCode>
                <c:ptCount val="10"/>
                <c:pt idx="0">
                  <c:v>3.75</c:v>
                </c:pt>
                <c:pt idx="1">
                  <c:v>3.75</c:v>
                </c:pt>
                <c:pt idx="2">
                  <c:v>3.75</c:v>
                </c:pt>
                <c:pt idx="3">
                  <c:v>0.4</c:v>
                </c:pt>
                <c:pt idx="4">
                  <c:v>0.4</c:v>
                </c:pt>
                <c:pt idx="5">
                  <c:v>3.75</c:v>
                </c:pt>
                <c:pt idx="6">
                  <c:v>3.75</c:v>
                </c:pt>
                <c:pt idx="7">
                  <c:v>3.75</c:v>
                </c:pt>
                <c:pt idx="8">
                  <c:v>4.5</c:v>
                </c:pt>
                <c:pt idx="9">
                  <c:v>4.5</c:v>
                </c:pt>
              </c:numCache>
            </c:numRef>
          </c:xVal>
          <c:yVal>
            <c:numRef>
              <c:f>'Lens 23'!$D$9:$D$18</c:f>
              <c:numCache>
                <c:formatCode>0.00</c:formatCode>
                <c:ptCount val="10"/>
                <c:pt idx="0">
                  <c:v>4.3</c:v>
                </c:pt>
                <c:pt idx="1">
                  <c:v>4.3</c:v>
                </c:pt>
                <c:pt idx="2">
                  <c:v>4.3</c:v>
                </c:pt>
                <c:pt idx="3">
                  <c:v>3</c:v>
                </c:pt>
                <c:pt idx="4">
                  <c:v>3</c:v>
                </c:pt>
                <c:pt idx="5">
                  <c:v>4.3</c:v>
                </c:pt>
                <c:pt idx="6">
                  <c:v>4.3</c:v>
                </c:pt>
                <c:pt idx="7">
                  <c:v>4.3</c:v>
                </c:pt>
                <c:pt idx="8">
                  <c:v>4.7</c:v>
                </c:pt>
                <c:pt idx="9" formatCode="General">
                  <c:v>4.7</c:v>
                </c:pt>
              </c:numCache>
            </c:numRef>
          </c:yVal>
          <c:smooth val="0"/>
          <c:extLst>
            <c:ext xmlns:c16="http://schemas.microsoft.com/office/drawing/2014/chart" uri="{C3380CC4-5D6E-409C-BE32-E72D297353CC}">
              <c16:uniqueId val="{00000001-A0FD-440C-AAED-83361C64E3D5}"/>
            </c:ext>
          </c:extLst>
        </c:ser>
        <c:dLbls>
          <c:showLegendKey val="0"/>
          <c:showVal val="0"/>
          <c:showCatName val="0"/>
          <c:showSerName val="0"/>
          <c:showPercent val="0"/>
          <c:showBubbleSize val="0"/>
        </c:dLbls>
        <c:axId val="951437103"/>
        <c:axId val="1"/>
      </c:scatterChart>
      <c:valAx>
        <c:axId val="951437103"/>
        <c:scaling>
          <c:orientation val="minMax"/>
        </c:scaling>
        <c:delete val="0"/>
        <c:axPos val="b"/>
        <c:title>
          <c:tx>
            <c:rich>
              <a:bodyPr/>
              <a:lstStyle/>
              <a:p>
                <a:pPr>
                  <a:defRPr sz="875" b="0" i="0" u="none" strike="noStrike" baseline="0">
                    <a:solidFill>
                      <a:srgbClr val="000000"/>
                    </a:solidFill>
                    <a:latin typeface="MathSoftText"/>
                    <a:ea typeface="MathSoftText"/>
                    <a:cs typeface="MathSoftText"/>
                  </a:defRPr>
                </a:pPr>
                <a:r>
                  <a:rPr lang="en-GB"/>
                  <a:t>pot setting</a:t>
                </a:r>
              </a:p>
            </c:rich>
          </c:tx>
          <c:layout>
            <c:manualLayout>
              <c:xMode val="edge"/>
              <c:yMode val="edge"/>
              <c:x val="0.3462802653423841"/>
              <c:y val="0.81566943629952404"/>
            </c:manualLayout>
          </c:layout>
          <c:overlay val="0"/>
          <c:spPr>
            <a:noFill/>
            <a:ln w="25400">
              <a:noFill/>
            </a:ln>
          </c:spPr>
        </c:title>
        <c:numFmt formatCode="General" sourceLinked="1"/>
        <c:majorTickMark val="out"/>
        <c:minorTickMark val="none"/>
        <c:tickLblPos val="nextTo"/>
        <c:spPr>
          <a:ln w="3175">
            <a:solidFill>
              <a:srgbClr val="99CC00"/>
            </a:solidFill>
            <a:prstDash val="solid"/>
          </a:ln>
        </c:spPr>
        <c:txPr>
          <a:bodyPr rot="0" vert="horz"/>
          <a:lstStyle/>
          <a:p>
            <a:pPr>
              <a:defRPr sz="875" b="0" i="0" u="none" strike="noStrike" baseline="0">
                <a:solidFill>
                  <a:srgbClr val="000000"/>
                </a:solidFill>
                <a:latin typeface="MathSoftText"/>
                <a:ea typeface="MathSoftText"/>
                <a:cs typeface="MathSoftText"/>
              </a:defRPr>
            </a:pPr>
            <a:endParaRPr lang="en-US"/>
          </a:p>
        </c:txPr>
        <c:crossAx val="1"/>
        <c:crosses val="autoZero"/>
        <c:crossBetween val="midCat"/>
      </c:valAx>
      <c:valAx>
        <c:axId val="1"/>
        <c:scaling>
          <c:orientation val="minMax"/>
        </c:scaling>
        <c:delete val="0"/>
        <c:axPos val="l"/>
        <c:majorGridlines>
          <c:spPr>
            <a:ln w="3175">
              <a:solidFill>
                <a:srgbClr val="99CC00"/>
              </a:solidFill>
              <a:prstDash val="solid"/>
            </a:ln>
          </c:spPr>
        </c:majorGridlines>
        <c:title>
          <c:tx>
            <c:rich>
              <a:bodyPr/>
              <a:lstStyle/>
              <a:p>
                <a:pPr>
                  <a:defRPr sz="875" b="0" i="0" u="none" strike="noStrike" baseline="0">
                    <a:solidFill>
                      <a:srgbClr val="000000"/>
                    </a:solidFill>
                    <a:latin typeface="MathSoftText"/>
                    <a:ea typeface="MathSoftText"/>
                    <a:cs typeface="MathSoftText"/>
                  </a:defRPr>
                </a:pPr>
                <a:r>
                  <a:rPr lang="en-GB"/>
                  <a:t>bdot (volts)</a:t>
                </a:r>
              </a:p>
            </c:rich>
          </c:tx>
          <c:layout>
            <c:manualLayout>
              <c:xMode val="edge"/>
              <c:yMode val="edge"/>
              <c:x val="5.522573197270781E-2"/>
              <c:y val="0.36034711398163904"/>
            </c:manualLayout>
          </c:layout>
          <c:overlay val="0"/>
          <c:spPr>
            <a:noFill/>
            <a:ln w="25400">
              <a:noFill/>
            </a:ln>
          </c:spPr>
        </c:title>
        <c:numFmt formatCode="0.00" sourceLinked="1"/>
        <c:majorTickMark val="out"/>
        <c:minorTickMark val="none"/>
        <c:tickLblPos val="nextTo"/>
        <c:spPr>
          <a:ln w="3175">
            <a:solidFill>
              <a:srgbClr val="99CC00"/>
            </a:solidFill>
            <a:prstDash val="solid"/>
          </a:ln>
        </c:spPr>
        <c:txPr>
          <a:bodyPr rot="0" vert="horz"/>
          <a:lstStyle/>
          <a:p>
            <a:pPr>
              <a:defRPr sz="875" b="0" i="0" u="none" strike="noStrike" baseline="0">
                <a:solidFill>
                  <a:srgbClr val="000000"/>
                </a:solidFill>
                <a:latin typeface="MathSoftText"/>
                <a:ea typeface="MathSoftText"/>
                <a:cs typeface="MathSoftText"/>
              </a:defRPr>
            </a:pPr>
            <a:endParaRPr lang="en-US"/>
          </a:p>
        </c:txPr>
        <c:crossAx val="951437103"/>
        <c:crosses val="autoZero"/>
        <c:crossBetween val="midCat"/>
      </c:valAx>
      <c:spPr>
        <a:noFill/>
        <a:ln w="12700">
          <a:solidFill>
            <a:srgbClr val="99CC00"/>
          </a:solidFill>
          <a:prstDash val="solid"/>
        </a:ln>
      </c:spPr>
    </c:plotArea>
    <c:legend>
      <c:legendPos val="r"/>
      <c:layout>
        <c:manualLayout>
          <c:xMode val="edge"/>
          <c:yMode val="edge"/>
          <c:x val="0.66718654572433489"/>
          <c:y val="0.28213223652826003"/>
          <c:w val="0.31344334362888215"/>
          <c:h val="0.15363636642628023"/>
        </c:manualLayout>
      </c:layout>
      <c:overlay val="0"/>
      <c:spPr>
        <a:solidFill>
          <a:srgbClr val="FFFFFF"/>
        </a:solidFill>
        <a:ln w="3175">
          <a:solidFill>
            <a:srgbClr val="000000"/>
          </a:solidFill>
          <a:prstDash val="solid"/>
        </a:ln>
      </c:spPr>
      <c:txPr>
        <a:bodyPr/>
        <a:lstStyle/>
        <a:p>
          <a:pPr>
            <a:defRPr sz="805" b="0" i="0" u="none" strike="noStrike" baseline="0">
              <a:solidFill>
                <a:srgbClr val="000000"/>
              </a:solidFill>
              <a:latin typeface="MathSoftText"/>
              <a:ea typeface="MathSoftText"/>
              <a:cs typeface="MathSoftText"/>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75" b="0" i="0" u="none" strike="noStrike" baseline="0">
          <a:solidFill>
            <a:srgbClr val="000000"/>
          </a:solidFill>
          <a:latin typeface="MathSoftText"/>
          <a:ea typeface="MathSoftText"/>
          <a:cs typeface="MathSoftText"/>
        </a:defRPr>
      </a:pPr>
      <a:endParaRPr lang="en-US"/>
    </a:p>
  </c:txPr>
  <c:printSettings>
    <c:headerFooter alignWithMargins="0"/>
    <c:pageMargins b="1" l="0.75" r="0.75" t="1" header="0.5" footer="0.5"/>
    <c:pageSetup orientation="landscape" horizontalDpi="355" verticalDpi="355"/>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0" i="0" u="none" strike="noStrike" baseline="0">
                <a:solidFill>
                  <a:srgbClr val="000000"/>
                </a:solidFill>
                <a:latin typeface="MathSoftText"/>
                <a:ea typeface="MathSoftText"/>
                <a:cs typeface="MathSoftText"/>
              </a:defRPr>
            </a:pPr>
            <a:r>
              <a:rPr lang="en-GB"/>
              <a:t>lens 24 pulse count vs peak current</a:t>
            </a:r>
          </a:p>
        </c:rich>
      </c:tx>
      <c:layout>
        <c:manualLayout>
          <c:xMode val="edge"/>
          <c:yMode val="edge"/>
          <c:x val="0.337312739100111"/>
          <c:y val="5.6873831147135526E-2"/>
        </c:manualLayout>
      </c:layout>
      <c:overlay val="0"/>
      <c:spPr>
        <a:noFill/>
        <a:ln w="25400">
          <a:noFill/>
        </a:ln>
      </c:spPr>
    </c:title>
    <c:autoTitleDeleted val="0"/>
    <c:plotArea>
      <c:layout>
        <c:manualLayout>
          <c:layoutTarget val="inner"/>
          <c:xMode val="edge"/>
          <c:yMode val="edge"/>
          <c:x val="0.11772875992121522"/>
          <c:y val="0.29858761352246149"/>
          <c:w val="0.85584840077557578"/>
          <c:h val="0.41233527581673257"/>
        </c:manualLayout>
      </c:layout>
      <c:barChart>
        <c:barDir val="col"/>
        <c:grouping val="clustered"/>
        <c:varyColors val="0"/>
        <c:ser>
          <c:idx val="0"/>
          <c:order val="0"/>
          <c:spPr>
            <a:solidFill>
              <a:srgbClr val="9999FF"/>
            </a:solidFill>
            <a:ln w="12700">
              <a:solidFill>
                <a:srgbClr val="000000"/>
              </a:solidFill>
              <a:prstDash val="solid"/>
            </a:ln>
          </c:spPr>
          <c:invertIfNegative val="0"/>
          <c:cat>
            <c:numRef>
              <c:f>'Lens 24'!$D$31:$D$33</c:f>
              <c:numCache>
                <c:formatCode>General</c:formatCode>
                <c:ptCount val="3"/>
                <c:pt idx="0">
                  <c:v>295856.77884028893</c:v>
                </c:pt>
                <c:pt idx="1">
                  <c:v>435148.7517964021</c:v>
                </c:pt>
                <c:pt idx="2">
                  <c:v>552054.51481313992</c:v>
                </c:pt>
              </c:numCache>
            </c:numRef>
          </c:cat>
          <c:val>
            <c:numRef>
              <c:f>'Lens 24'!$A$31:$A$33</c:f>
              <c:numCache>
                <c:formatCode>General</c:formatCode>
                <c:ptCount val="3"/>
                <c:pt idx="0">
                  <c:v>1923</c:v>
                </c:pt>
                <c:pt idx="1">
                  <c:v>86877</c:v>
                </c:pt>
                <c:pt idx="2">
                  <c:v>110150</c:v>
                </c:pt>
              </c:numCache>
            </c:numRef>
          </c:val>
          <c:extLst>
            <c:ext xmlns:c16="http://schemas.microsoft.com/office/drawing/2014/chart" uri="{C3380CC4-5D6E-409C-BE32-E72D297353CC}">
              <c16:uniqueId val="{00000000-AA8C-449A-A734-2B9BD1417EB9}"/>
            </c:ext>
          </c:extLst>
        </c:ser>
        <c:dLbls>
          <c:showLegendKey val="0"/>
          <c:showVal val="0"/>
          <c:showCatName val="0"/>
          <c:showSerName val="0"/>
          <c:showPercent val="0"/>
          <c:showBubbleSize val="0"/>
        </c:dLbls>
        <c:gapWidth val="150"/>
        <c:axId val="877462063"/>
        <c:axId val="1"/>
      </c:barChart>
      <c:catAx>
        <c:axId val="877462063"/>
        <c:scaling>
          <c:orientation val="minMax"/>
        </c:scaling>
        <c:delete val="0"/>
        <c:axPos val="b"/>
        <c:title>
          <c:tx>
            <c:rich>
              <a:bodyPr/>
              <a:lstStyle/>
              <a:p>
                <a:pPr>
                  <a:defRPr sz="500" b="0" i="0" u="none" strike="noStrike" baseline="0">
                    <a:solidFill>
                      <a:srgbClr val="000000"/>
                    </a:solidFill>
                    <a:latin typeface="MathSoftText"/>
                    <a:ea typeface="MathSoftText"/>
                    <a:cs typeface="MathSoftText"/>
                  </a:defRPr>
                </a:pPr>
                <a:r>
                  <a:rPr lang="en-GB"/>
                  <a:t>amps</a:t>
                </a:r>
              </a:p>
            </c:rich>
          </c:tx>
          <c:layout>
            <c:manualLayout>
              <c:xMode val="edge"/>
              <c:yMode val="edge"/>
              <c:x val="0.52647243200723215"/>
              <c:y val="0.81993106570453711"/>
            </c:manualLayout>
          </c:layout>
          <c:overlay val="0"/>
          <c:spPr>
            <a:noFill/>
            <a:ln w="25400">
              <a:noFill/>
            </a:ln>
          </c:spPr>
        </c:title>
        <c:numFmt formatCode="0" sourceLinked="0"/>
        <c:majorTickMark val="out"/>
        <c:minorTickMark val="none"/>
        <c:tickLblPos val="nextTo"/>
        <c:spPr>
          <a:ln w="3175">
            <a:solidFill>
              <a:srgbClr val="99CC00"/>
            </a:solidFill>
            <a:prstDash val="solid"/>
          </a:ln>
        </c:spPr>
        <c:txPr>
          <a:bodyPr rot="0" vert="horz"/>
          <a:lstStyle/>
          <a:p>
            <a:pPr>
              <a:defRPr sz="500" b="0" i="0" u="none" strike="noStrike" baseline="0">
                <a:solidFill>
                  <a:srgbClr val="000000"/>
                </a:solidFill>
                <a:latin typeface="MathSoftText"/>
                <a:ea typeface="MathSoftText"/>
                <a:cs typeface="MathSoftText"/>
              </a:defRPr>
            </a:pPr>
            <a:endParaRPr lang="en-US"/>
          </a:p>
        </c:txPr>
        <c:crossAx val="1"/>
        <c:crosses val="autoZero"/>
        <c:auto val="1"/>
        <c:lblAlgn val="ctr"/>
        <c:lblOffset val="100"/>
        <c:tickLblSkip val="1"/>
        <c:tickMarkSkip val="1"/>
        <c:noMultiLvlLbl val="0"/>
      </c:catAx>
      <c:valAx>
        <c:axId val="1"/>
        <c:scaling>
          <c:logBase val="10"/>
          <c:orientation val="minMax"/>
          <c:min val="10"/>
        </c:scaling>
        <c:delete val="0"/>
        <c:axPos val="l"/>
        <c:majorGridlines>
          <c:spPr>
            <a:ln w="3175">
              <a:solidFill>
                <a:srgbClr val="99CC00"/>
              </a:solidFill>
              <a:prstDash val="solid"/>
            </a:ln>
          </c:spPr>
        </c:majorGridlines>
        <c:title>
          <c:tx>
            <c:rich>
              <a:bodyPr/>
              <a:lstStyle/>
              <a:p>
                <a:pPr>
                  <a:defRPr sz="500" b="0" i="0" u="none" strike="noStrike" baseline="0">
                    <a:solidFill>
                      <a:srgbClr val="000000"/>
                    </a:solidFill>
                    <a:latin typeface="MathSoftText"/>
                    <a:ea typeface="MathSoftText"/>
                    <a:cs typeface="MathSoftText"/>
                  </a:defRPr>
                </a:pPr>
                <a:r>
                  <a:rPr lang="en-GB"/>
                  <a:t>number of pulses</a:t>
                </a:r>
              </a:p>
            </c:rich>
          </c:tx>
          <c:layout>
            <c:manualLayout>
              <c:xMode val="edge"/>
              <c:yMode val="edge"/>
              <c:x val="2.9101491216480167E-2"/>
              <c:y val="0.30806658538031745"/>
            </c:manualLayout>
          </c:layout>
          <c:overlay val="0"/>
          <c:spPr>
            <a:noFill/>
            <a:ln w="25400">
              <a:noFill/>
            </a:ln>
          </c:spPr>
        </c:title>
        <c:numFmt formatCode="General" sourceLinked="1"/>
        <c:majorTickMark val="out"/>
        <c:minorTickMark val="none"/>
        <c:tickLblPos val="nextTo"/>
        <c:spPr>
          <a:ln w="3175">
            <a:solidFill>
              <a:srgbClr val="99CC00"/>
            </a:solidFill>
            <a:prstDash val="solid"/>
          </a:ln>
        </c:spPr>
        <c:txPr>
          <a:bodyPr rot="0" vert="horz"/>
          <a:lstStyle/>
          <a:p>
            <a:pPr>
              <a:defRPr sz="500" b="0" i="0" u="none" strike="noStrike" baseline="0">
                <a:solidFill>
                  <a:srgbClr val="000000"/>
                </a:solidFill>
                <a:latin typeface="MathSoftText"/>
                <a:ea typeface="MathSoftText"/>
                <a:cs typeface="MathSoftText"/>
              </a:defRPr>
            </a:pPr>
            <a:endParaRPr lang="en-US"/>
          </a:p>
        </c:txPr>
        <c:crossAx val="877462063"/>
        <c:crosses val="autoZero"/>
        <c:crossBetween val="between"/>
      </c:valAx>
      <c:spPr>
        <a:noFill/>
        <a:ln w="12700">
          <a:solidFill>
            <a:srgbClr val="99CC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500" b="0" i="0" u="none" strike="noStrike" baseline="0">
          <a:solidFill>
            <a:srgbClr val="000000"/>
          </a:solidFill>
          <a:latin typeface="MathSoftText"/>
          <a:ea typeface="MathSoftText"/>
          <a:cs typeface="MathSoftText"/>
        </a:defRPr>
      </a:pPr>
      <a:endParaRPr lang="en-US"/>
    </a:p>
  </c:txPr>
  <c:printSettings>
    <c:headerFooter alignWithMargins="0"/>
    <c:pageMargins b="1" l="0.75" r="0.75" t="1" header="0.5" footer="0.5"/>
    <c:pageSetup orientation="landscape"/>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550" b="0" i="0" u="none" strike="noStrike" baseline="0">
                <a:solidFill>
                  <a:srgbClr val="000000"/>
                </a:solidFill>
                <a:latin typeface="MathSoftText"/>
                <a:ea typeface="MathSoftText"/>
                <a:cs typeface="MathSoftText"/>
              </a:defRPr>
            </a:pPr>
            <a:r>
              <a:rPr lang="en-GB"/>
              <a:t>lens 24 pulse count vs peak current</a:t>
            </a:r>
          </a:p>
        </c:rich>
      </c:tx>
      <c:layout>
        <c:manualLayout>
          <c:xMode val="edge"/>
          <c:yMode val="edge"/>
          <c:x val="0.37682329090226269"/>
          <c:y val="6.1226730079116602E-2"/>
        </c:manualLayout>
      </c:layout>
      <c:overlay val="0"/>
      <c:spPr>
        <a:noFill/>
        <a:ln w="25400">
          <a:noFill/>
        </a:ln>
      </c:spPr>
    </c:title>
    <c:autoTitleDeleted val="0"/>
    <c:plotArea>
      <c:layout>
        <c:manualLayout>
          <c:layoutTarget val="inner"/>
          <c:xMode val="edge"/>
          <c:yMode val="edge"/>
          <c:x val="7.7736273298019229E-2"/>
          <c:y val="0.27552028535602469"/>
          <c:w val="0.87354490163706355"/>
          <c:h val="0.510222750659305"/>
        </c:manualLayout>
      </c:layout>
      <c:scatterChart>
        <c:scatterStyle val="lineMarker"/>
        <c:varyColors val="0"/>
        <c:ser>
          <c:idx val="0"/>
          <c:order val="0"/>
          <c:spPr>
            <a:ln w="19050">
              <a:noFill/>
            </a:ln>
          </c:spPr>
          <c:marker>
            <c:symbol val="diamond"/>
            <c:size val="5"/>
            <c:spPr>
              <a:solidFill>
                <a:srgbClr val="000080"/>
              </a:solidFill>
              <a:ln>
                <a:solidFill>
                  <a:srgbClr val="000080"/>
                </a:solidFill>
                <a:prstDash val="solid"/>
              </a:ln>
            </c:spPr>
          </c:marker>
          <c:xVal>
            <c:numRef>
              <c:f>'Lens 24'!$D$31:$D$33</c:f>
              <c:numCache>
                <c:formatCode>General</c:formatCode>
                <c:ptCount val="3"/>
                <c:pt idx="0">
                  <c:v>295856.77884028893</c:v>
                </c:pt>
                <c:pt idx="1">
                  <c:v>435148.7517964021</c:v>
                </c:pt>
                <c:pt idx="2">
                  <c:v>552054.51481313992</c:v>
                </c:pt>
              </c:numCache>
            </c:numRef>
          </c:xVal>
          <c:yVal>
            <c:numRef>
              <c:f>'Lens 24'!$A$31:$A$33</c:f>
              <c:numCache>
                <c:formatCode>General</c:formatCode>
                <c:ptCount val="3"/>
                <c:pt idx="0">
                  <c:v>1923</c:v>
                </c:pt>
                <c:pt idx="1">
                  <c:v>86877</c:v>
                </c:pt>
                <c:pt idx="2">
                  <c:v>110150</c:v>
                </c:pt>
              </c:numCache>
            </c:numRef>
          </c:yVal>
          <c:smooth val="0"/>
          <c:extLst>
            <c:ext xmlns:c16="http://schemas.microsoft.com/office/drawing/2014/chart" uri="{C3380CC4-5D6E-409C-BE32-E72D297353CC}">
              <c16:uniqueId val="{00000000-BF90-4EC3-8BEF-84E5AF33F221}"/>
            </c:ext>
          </c:extLst>
        </c:ser>
        <c:dLbls>
          <c:showLegendKey val="0"/>
          <c:showVal val="0"/>
          <c:showCatName val="0"/>
          <c:showSerName val="0"/>
          <c:showPercent val="0"/>
          <c:showBubbleSize val="0"/>
        </c:dLbls>
        <c:axId val="951438351"/>
        <c:axId val="1"/>
      </c:scatterChart>
      <c:valAx>
        <c:axId val="951438351"/>
        <c:scaling>
          <c:orientation val="minMax"/>
          <c:max val="700000"/>
          <c:min val="200000"/>
        </c:scaling>
        <c:delete val="0"/>
        <c:axPos val="b"/>
        <c:numFmt formatCode="0" sourceLinked="0"/>
        <c:majorTickMark val="out"/>
        <c:minorTickMark val="none"/>
        <c:tickLblPos val="nextTo"/>
        <c:spPr>
          <a:ln w="3175">
            <a:solidFill>
              <a:srgbClr val="99CC00"/>
            </a:solidFill>
            <a:prstDash val="solid"/>
          </a:ln>
        </c:spPr>
        <c:txPr>
          <a:bodyPr rot="0" vert="horz"/>
          <a:lstStyle/>
          <a:p>
            <a:pPr>
              <a:defRPr sz="450" b="0" i="0" u="none" strike="noStrike" baseline="0">
                <a:solidFill>
                  <a:srgbClr val="000000"/>
                </a:solidFill>
                <a:latin typeface="MathSoftText"/>
                <a:ea typeface="MathSoftText"/>
                <a:cs typeface="MathSoftText"/>
              </a:defRPr>
            </a:pPr>
            <a:endParaRPr lang="en-US"/>
          </a:p>
        </c:txPr>
        <c:crossAx val="1"/>
        <c:crosses val="autoZero"/>
        <c:crossBetween val="midCat"/>
        <c:majorUnit val="100000"/>
        <c:minorUnit val="20000"/>
      </c:valAx>
      <c:valAx>
        <c:axId val="1"/>
        <c:scaling>
          <c:orientation val="minMax"/>
          <c:max val="125000"/>
          <c:min val="0"/>
        </c:scaling>
        <c:delete val="0"/>
        <c:axPos val="l"/>
        <c:majorGridlines>
          <c:spPr>
            <a:ln w="3175">
              <a:solidFill>
                <a:srgbClr val="99CC00"/>
              </a:solidFill>
              <a:prstDash val="solid"/>
            </a:ln>
          </c:spPr>
        </c:majorGridlines>
        <c:numFmt formatCode="General" sourceLinked="1"/>
        <c:majorTickMark val="out"/>
        <c:minorTickMark val="none"/>
        <c:tickLblPos val="nextTo"/>
        <c:spPr>
          <a:ln w="3175">
            <a:solidFill>
              <a:srgbClr val="99CC00"/>
            </a:solidFill>
            <a:prstDash val="solid"/>
          </a:ln>
        </c:spPr>
        <c:txPr>
          <a:bodyPr rot="0" vert="horz"/>
          <a:lstStyle/>
          <a:p>
            <a:pPr>
              <a:defRPr sz="450" b="0" i="0" u="none" strike="noStrike" baseline="0">
                <a:solidFill>
                  <a:srgbClr val="000000"/>
                </a:solidFill>
                <a:latin typeface="MathSoftText"/>
                <a:ea typeface="MathSoftText"/>
                <a:cs typeface="MathSoftText"/>
              </a:defRPr>
            </a:pPr>
            <a:endParaRPr lang="en-US"/>
          </a:p>
        </c:txPr>
        <c:crossAx val="951438351"/>
        <c:crosses val="autoZero"/>
        <c:crossBetween val="midCat"/>
        <c:majorUnit val="25000"/>
        <c:minorUnit val="5000"/>
      </c:valAx>
      <c:spPr>
        <a:noFill/>
        <a:ln w="12700">
          <a:solidFill>
            <a:srgbClr val="99CC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450" b="0" i="0" u="none" strike="noStrike" baseline="0">
          <a:solidFill>
            <a:srgbClr val="000000"/>
          </a:solidFill>
          <a:latin typeface="MathSoftText"/>
          <a:ea typeface="MathSoftText"/>
          <a:cs typeface="MathSoftText"/>
        </a:defRPr>
      </a:pPr>
      <a:endParaRPr lang="en-US"/>
    </a:p>
  </c:txPr>
  <c:printSettings>
    <c:headerFooter alignWithMargins="0"/>
    <c:pageMargins b="1" l="0.75" r="0.75" t="1" header="0.5" footer="0.5"/>
    <c:pageSetup orientation="landscape" horizontalDpi="355" verticalDpi="355"/>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425" b="0" i="0" u="none" strike="noStrike" baseline="0">
                <a:solidFill>
                  <a:srgbClr val="000000"/>
                </a:solidFill>
                <a:latin typeface="MathSoftText"/>
                <a:ea typeface="MathSoftText"/>
                <a:cs typeface="MathSoftText"/>
              </a:defRPr>
            </a:pPr>
            <a:r>
              <a:rPr lang="en-GB"/>
              <a:t>lens 24 pulse count vs peak current</a:t>
            </a:r>
          </a:p>
        </c:rich>
      </c:tx>
      <c:layout>
        <c:manualLayout>
          <c:xMode val="edge"/>
          <c:yMode val="edge"/>
          <c:x val="0.39836495774117436"/>
          <c:y val="7.0515344924559215E-2"/>
        </c:manualLayout>
      </c:layout>
      <c:overlay val="0"/>
      <c:spPr>
        <a:noFill/>
        <a:ln w="25400">
          <a:noFill/>
        </a:ln>
      </c:spPr>
    </c:title>
    <c:autoTitleDeleted val="0"/>
    <c:plotArea>
      <c:layout>
        <c:manualLayout>
          <c:layoutTarget val="inner"/>
          <c:xMode val="edge"/>
          <c:yMode val="edge"/>
          <c:x val="6.8683613403650756E-2"/>
          <c:y val="0.32052429511163277"/>
          <c:w val="0.90387635239204389"/>
          <c:h val="0.42950255544958793"/>
        </c:manualLayout>
      </c:layout>
      <c:barChart>
        <c:barDir val="col"/>
        <c:grouping val="clustered"/>
        <c:varyColors val="0"/>
        <c:ser>
          <c:idx val="0"/>
          <c:order val="0"/>
          <c:spPr>
            <a:solidFill>
              <a:srgbClr val="9999FF"/>
            </a:solidFill>
            <a:ln w="12700">
              <a:solidFill>
                <a:srgbClr val="000000"/>
              </a:solidFill>
              <a:prstDash val="solid"/>
            </a:ln>
          </c:spPr>
          <c:invertIfNegative val="0"/>
          <c:cat>
            <c:numRef>
              <c:f>'Lens 24'!$D$31:$D$33</c:f>
              <c:numCache>
                <c:formatCode>General</c:formatCode>
                <c:ptCount val="3"/>
                <c:pt idx="0">
                  <c:v>295856.77884028893</c:v>
                </c:pt>
                <c:pt idx="1">
                  <c:v>435148.7517964021</c:v>
                </c:pt>
                <c:pt idx="2">
                  <c:v>552054.51481313992</c:v>
                </c:pt>
              </c:numCache>
            </c:numRef>
          </c:cat>
          <c:val>
            <c:numRef>
              <c:f>'Lens 24'!$A$31:$A$33</c:f>
              <c:numCache>
                <c:formatCode>General</c:formatCode>
                <c:ptCount val="3"/>
                <c:pt idx="0">
                  <c:v>1923</c:v>
                </c:pt>
                <c:pt idx="1">
                  <c:v>86877</c:v>
                </c:pt>
                <c:pt idx="2">
                  <c:v>110150</c:v>
                </c:pt>
              </c:numCache>
            </c:numRef>
          </c:val>
          <c:extLst>
            <c:ext xmlns:c16="http://schemas.microsoft.com/office/drawing/2014/chart" uri="{C3380CC4-5D6E-409C-BE32-E72D297353CC}">
              <c16:uniqueId val="{00000000-9960-4302-AFB4-AC3D20BF33E9}"/>
            </c:ext>
          </c:extLst>
        </c:ser>
        <c:dLbls>
          <c:showLegendKey val="0"/>
          <c:showVal val="0"/>
          <c:showCatName val="0"/>
          <c:showSerName val="0"/>
          <c:showPercent val="0"/>
          <c:showBubbleSize val="0"/>
        </c:dLbls>
        <c:gapWidth val="150"/>
        <c:axId val="877463263"/>
        <c:axId val="1"/>
      </c:barChart>
      <c:catAx>
        <c:axId val="877463263"/>
        <c:scaling>
          <c:orientation val="minMax"/>
        </c:scaling>
        <c:delete val="0"/>
        <c:axPos val="b"/>
        <c:numFmt formatCode="0" sourceLinked="0"/>
        <c:majorTickMark val="out"/>
        <c:minorTickMark val="none"/>
        <c:tickLblPos val="nextTo"/>
        <c:spPr>
          <a:ln w="3175">
            <a:solidFill>
              <a:srgbClr val="99CC00"/>
            </a:solidFill>
            <a:prstDash val="solid"/>
          </a:ln>
        </c:spPr>
        <c:txPr>
          <a:bodyPr rot="0" vert="horz"/>
          <a:lstStyle/>
          <a:p>
            <a:pPr>
              <a:defRPr sz="350" b="0" i="0" u="none" strike="noStrike" baseline="0">
                <a:solidFill>
                  <a:srgbClr val="000000"/>
                </a:solidFill>
                <a:latin typeface="MathSoftText"/>
                <a:ea typeface="MathSoftText"/>
                <a:cs typeface="MathSoftText"/>
              </a:defRPr>
            </a:pPr>
            <a:endParaRPr lang="en-US"/>
          </a:p>
        </c:txPr>
        <c:crossAx val="1"/>
        <c:crosses val="autoZero"/>
        <c:auto val="1"/>
        <c:lblAlgn val="ctr"/>
        <c:lblOffset val="100"/>
        <c:tickLblSkip val="1"/>
        <c:tickMarkSkip val="1"/>
        <c:noMultiLvlLbl val="0"/>
      </c:catAx>
      <c:valAx>
        <c:axId val="1"/>
        <c:scaling>
          <c:orientation val="minMax"/>
          <c:max val="125000"/>
          <c:min val="0"/>
        </c:scaling>
        <c:delete val="0"/>
        <c:axPos val="l"/>
        <c:majorGridlines>
          <c:spPr>
            <a:ln w="3175">
              <a:solidFill>
                <a:srgbClr val="99CC00"/>
              </a:solidFill>
              <a:prstDash val="solid"/>
            </a:ln>
          </c:spPr>
        </c:majorGridlines>
        <c:numFmt formatCode="General" sourceLinked="1"/>
        <c:majorTickMark val="out"/>
        <c:minorTickMark val="none"/>
        <c:tickLblPos val="nextTo"/>
        <c:spPr>
          <a:ln w="3175">
            <a:solidFill>
              <a:srgbClr val="99CC00"/>
            </a:solidFill>
            <a:prstDash val="solid"/>
          </a:ln>
        </c:spPr>
        <c:txPr>
          <a:bodyPr rot="0" vert="horz"/>
          <a:lstStyle/>
          <a:p>
            <a:pPr>
              <a:defRPr sz="350" b="0" i="0" u="none" strike="noStrike" baseline="0">
                <a:solidFill>
                  <a:srgbClr val="000000"/>
                </a:solidFill>
                <a:latin typeface="MathSoftText"/>
                <a:ea typeface="MathSoftText"/>
                <a:cs typeface="MathSoftText"/>
              </a:defRPr>
            </a:pPr>
            <a:endParaRPr lang="en-US"/>
          </a:p>
        </c:txPr>
        <c:crossAx val="877463263"/>
        <c:crosses val="autoZero"/>
        <c:crossBetween val="between"/>
        <c:majorUnit val="25000"/>
        <c:minorUnit val="5000"/>
      </c:valAx>
      <c:spPr>
        <a:noFill/>
        <a:ln w="12700">
          <a:solidFill>
            <a:srgbClr val="99CC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350" b="0" i="0" u="none" strike="noStrike" baseline="0">
          <a:solidFill>
            <a:srgbClr val="000000"/>
          </a:solidFill>
          <a:latin typeface="MathSoftText"/>
          <a:ea typeface="MathSoftText"/>
          <a:cs typeface="MathSoftText"/>
        </a:defRPr>
      </a:pPr>
      <a:endParaRPr lang="en-US"/>
    </a:p>
  </c:txPr>
  <c:printSettings>
    <c:headerFooter alignWithMargins="0"/>
    <c:pageMargins b="1" l="0.75" r="0.75" t="1" header="0.5" footer="0.5"/>
    <c:pageSetup orientation="landscape" horizontalDpi="355" verticalDpi="355"/>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0" i="0" u="none" strike="noStrike" baseline="0">
                <a:solidFill>
                  <a:srgbClr val="000000"/>
                </a:solidFill>
                <a:latin typeface="MathSoftText"/>
                <a:ea typeface="MathSoftText"/>
                <a:cs typeface="MathSoftText"/>
              </a:defRPr>
            </a:pPr>
            <a:r>
              <a:rPr lang="en-GB"/>
              <a:t>Lens 24 Rogowski and Bdot vs Pot</a:t>
            </a:r>
          </a:p>
        </c:rich>
      </c:tx>
      <c:layout>
        <c:manualLayout>
          <c:xMode val="edge"/>
          <c:yMode val="edge"/>
          <c:x val="0.24365531510444405"/>
          <c:y val="3.9165689224335762E-2"/>
        </c:manualLayout>
      </c:layout>
      <c:overlay val="0"/>
      <c:spPr>
        <a:noFill/>
        <a:ln w="25400">
          <a:noFill/>
        </a:ln>
      </c:spPr>
    </c:title>
    <c:autoTitleDeleted val="0"/>
    <c:plotArea>
      <c:layout>
        <c:manualLayout>
          <c:layoutTarget val="inner"/>
          <c:xMode val="edge"/>
          <c:yMode val="edge"/>
          <c:x val="0.18087296397323763"/>
          <c:y val="0.27938191646692845"/>
          <c:w val="0.40958010023691821"/>
          <c:h val="0.43082258146769342"/>
        </c:manualLayout>
      </c:layout>
      <c:scatterChart>
        <c:scatterStyle val="lineMarker"/>
        <c:varyColors val="0"/>
        <c:ser>
          <c:idx val="1"/>
          <c:order val="1"/>
          <c:tx>
            <c:v>bdot vs pot</c:v>
          </c:tx>
          <c:spPr>
            <a:ln w="19050">
              <a:noFill/>
            </a:ln>
          </c:spPr>
          <c:marker>
            <c:symbol val="square"/>
            <c:size val="5"/>
            <c:spPr>
              <a:solidFill>
                <a:srgbClr val="339966"/>
              </a:solidFill>
              <a:ln>
                <a:solidFill>
                  <a:srgbClr val="339966"/>
                </a:solidFill>
                <a:prstDash val="solid"/>
              </a:ln>
            </c:spPr>
          </c:marker>
          <c:trendline>
            <c:spPr>
              <a:ln w="12700">
                <a:solidFill>
                  <a:srgbClr val="339966"/>
                </a:solidFill>
                <a:prstDash val="solid"/>
              </a:ln>
            </c:spPr>
            <c:trendlineType val="linear"/>
            <c:dispRSqr val="1"/>
            <c:dispEq val="1"/>
            <c:trendlineLbl>
              <c:layout>
                <c:manualLayout>
                  <c:xMode val="edge"/>
                  <c:yMode val="edge"/>
                  <c:x val="0.72797630954517945"/>
                  <c:y val="0.62142893569279412"/>
                </c:manualLayout>
              </c:layout>
              <c:numFmt formatCode="General" sourceLinked="0"/>
              <c:spPr>
                <a:noFill/>
                <a:ln w="25400">
                  <a:noFill/>
                </a:ln>
              </c:spPr>
              <c:txPr>
                <a:bodyPr/>
                <a:lstStyle/>
                <a:p>
                  <a:pPr>
                    <a:defRPr sz="900" b="0" i="0" u="none" strike="noStrike" baseline="0">
                      <a:solidFill>
                        <a:srgbClr val="339966"/>
                      </a:solidFill>
                      <a:latin typeface="MathSoftText"/>
                      <a:ea typeface="MathSoftText"/>
                      <a:cs typeface="MathSoftText"/>
                    </a:defRPr>
                  </a:pPr>
                  <a:endParaRPr lang="en-US"/>
                </a:p>
              </c:txPr>
            </c:trendlineLbl>
          </c:trendline>
          <c:xVal>
            <c:numRef>
              <c:f>'Lens 24'!$A$7:$A$25</c:f>
              <c:numCache>
                <c:formatCode>General</c:formatCode>
                <c:ptCount val="19"/>
                <c:pt idx="0">
                  <c:v>0</c:v>
                </c:pt>
                <c:pt idx="1">
                  <c:v>0</c:v>
                </c:pt>
                <c:pt idx="2">
                  <c:v>0</c:v>
                </c:pt>
                <c:pt idx="3">
                  <c:v>2.8</c:v>
                </c:pt>
                <c:pt idx="4">
                  <c:v>2.8</c:v>
                </c:pt>
                <c:pt idx="5">
                  <c:v>2.8</c:v>
                </c:pt>
                <c:pt idx="6">
                  <c:v>5.15</c:v>
                </c:pt>
                <c:pt idx="7">
                  <c:v>5.15</c:v>
                </c:pt>
                <c:pt idx="8">
                  <c:v>0</c:v>
                </c:pt>
                <c:pt idx="9">
                  <c:v>0</c:v>
                </c:pt>
                <c:pt idx="10">
                  <c:v>2.8</c:v>
                </c:pt>
                <c:pt idx="11">
                  <c:v>2.8</c:v>
                </c:pt>
                <c:pt idx="12">
                  <c:v>5.15</c:v>
                </c:pt>
                <c:pt idx="13">
                  <c:v>5.15</c:v>
                </c:pt>
                <c:pt idx="14">
                  <c:v>2.8</c:v>
                </c:pt>
                <c:pt idx="15">
                  <c:v>2.8</c:v>
                </c:pt>
                <c:pt idx="16">
                  <c:v>5.15</c:v>
                </c:pt>
                <c:pt idx="17">
                  <c:v>5.15</c:v>
                </c:pt>
                <c:pt idx="18">
                  <c:v>5.15</c:v>
                </c:pt>
              </c:numCache>
            </c:numRef>
          </c:xVal>
          <c:yVal>
            <c:numRef>
              <c:f>'Lens 24'!$D$7:$D$25</c:f>
              <c:numCache>
                <c:formatCode>0.00</c:formatCode>
                <c:ptCount val="19"/>
                <c:pt idx="0">
                  <c:v>2.6</c:v>
                </c:pt>
                <c:pt idx="1">
                  <c:v>2.6</c:v>
                </c:pt>
                <c:pt idx="2">
                  <c:v>2.6</c:v>
                </c:pt>
                <c:pt idx="3">
                  <c:v>3.92</c:v>
                </c:pt>
                <c:pt idx="4">
                  <c:v>3.92</c:v>
                </c:pt>
                <c:pt idx="5">
                  <c:v>3.92</c:v>
                </c:pt>
                <c:pt idx="6">
                  <c:v>4.96</c:v>
                </c:pt>
                <c:pt idx="7">
                  <c:v>4.96</c:v>
                </c:pt>
                <c:pt idx="8">
                  <c:v>2.64</c:v>
                </c:pt>
                <c:pt idx="9">
                  <c:v>2.64</c:v>
                </c:pt>
                <c:pt idx="10">
                  <c:v>3.92</c:v>
                </c:pt>
                <c:pt idx="11">
                  <c:v>3.92</c:v>
                </c:pt>
                <c:pt idx="12">
                  <c:v>4.96</c:v>
                </c:pt>
                <c:pt idx="13">
                  <c:v>4.96</c:v>
                </c:pt>
                <c:pt idx="14">
                  <c:v>3.92</c:v>
                </c:pt>
                <c:pt idx="15">
                  <c:v>3.92</c:v>
                </c:pt>
                <c:pt idx="16" formatCode="General">
                  <c:v>4.88</c:v>
                </c:pt>
                <c:pt idx="17" formatCode="General">
                  <c:v>4.88</c:v>
                </c:pt>
                <c:pt idx="18" formatCode="General">
                  <c:v>4.88</c:v>
                </c:pt>
              </c:numCache>
            </c:numRef>
          </c:yVal>
          <c:smooth val="0"/>
          <c:extLst>
            <c:ext xmlns:c16="http://schemas.microsoft.com/office/drawing/2014/chart" uri="{C3380CC4-5D6E-409C-BE32-E72D297353CC}">
              <c16:uniqueId val="{00000001-F0C1-4D6D-921E-897F90D89B77}"/>
            </c:ext>
          </c:extLst>
        </c:ser>
        <c:dLbls>
          <c:showLegendKey val="0"/>
          <c:showVal val="0"/>
          <c:showCatName val="0"/>
          <c:showSerName val="0"/>
          <c:showPercent val="0"/>
          <c:showBubbleSize val="0"/>
        </c:dLbls>
        <c:axId val="951437519"/>
        <c:axId val="1"/>
      </c:scatterChart>
      <c:scatterChart>
        <c:scatterStyle val="lineMarker"/>
        <c:varyColors val="0"/>
        <c:ser>
          <c:idx val="0"/>
          <c:order val="0"/>
          <c:tx>
            <c:v>rog vs pot</c:v>
          </c:tx>
          <c:spPr>
            <a:ln w="19050">
              <a:noFill/>
            </a:ln>
          </c:spPr>
          <c:marker>
            <c:symbol val="diamond"/>
            <c:size val="5"/>
            <c:spPr>
              <a:solidFill>
                <a:srgbClr val="FF0000"/>
              </a:solidFill>
              <a:ln>
                <a:solidFill>
                  <a:srgbClr val="FF0000"/>
                </a:solidFill>
                <a:prstDash val="solid"/>
              </a:ln>
            </c:spPr>
          </c:marker>
          <c:trendline>
            <c:spPr>
              <a:ln w="12700">
                <a:solidFill>
                  <a:srgbClr val="FF0000"/>
                </a:solidFill>
                <a:prstDash val="solid"/>
              </a:ln>
            </c:spPr>
            <c:trendlineType val="linear"/>
            <c:dispRSqr val="1"/>
            <c:dispEq val="1"/>
            <c:trendlineLbl>
              <c:layout>
                <c:manualLayout>
                  <c:xMode val="edge"/>
                  <c:yMode val="edge"/>
                  <c:x val="0.72349185589295051"/>
                  <c:y val="0.75981437095211379"/>
                </c:manualLayout>
              </c:layout>
              <c:numFmt formatCode="General" sourceLinked="0"/>
              <c:spPr>
                <a:noFill/>
                <a:ln w="25400">
                  <a:noFill/>
                </a:ln>
              </c:spPr>
              <c:txPr>
                <a:bodyPr/>
                <a:lstStyle/>
                <a:p>
                  <a:pPr>
                    <a:defRPr sz="900" b="0" i="0" u="none" strike="noStrike" baseline="0">
                      <a:solidFill>
                        <a:srgbClr val="FF0000"/>
                      </a:solidFill>
                      <a:latin typeface="MathSoftText"/>
                      <a:ea typeface="MathSoftText"/>
                      <a:cs typeface="MathSoftText"/>
                    </a:defRPr>
                  </a:pPr>
                  <a:endParaRPr lang="en-US"/>
                </a:p>
              </c:txPr>
            </c:trendlineLbl>
          </c:trendline>
          <c:xVal>
            <c:numRef>
              <c:f>'Lens 24'!$A$7:$A$25</c:f>
              <c:numCache>
                <c:formatCode>General</c:formatCode>
                <c:ptCount val="19"/>
                <c:pt idx="0">
                  <c:v>0</c:v>
                </c:pt>
                <c:pt idx="1">
                  <c:v>0</c:v>
                </c:pt>
                <c:pt idx="2">
                  <c:v>0</c:v>
                </c:pt>
                <c:pt idx="3">
                  <c:v>2.8</c:v>
                </c:pt>
                <c:pt idx="4">
                  <c:v>2.8</c:v>
                </c:pt>
                <c:pt idx="5">
                  <c:v>2.8</c:v>
                </c:pt>
                <c:pt idx="6">
                  <c:v>5.15</c:v>
                </c:pt>
                <c:pt idx="7">
                  <c:v>5.15</c:v>
                </c:pt>
                <c:pt idx="8">
                  <c:v>0</c:v>
                </c:pt>
                <c:pt idx="9">
                  <c:v>0</c:v>
                </c:pt>
                <c:pt idx="10">
                  <c:v>2.8</c:v>
                </c:pt>
                <c:pt idx="11">
                  <c:v>2.8</c:v>
                </c:pt>
                <c:pt idx="12">
                  <c:v>5.15</c:v>
                </c:pt>
                <c:pt idx="13">
                  <c:v>5.15</c:v>
                </c:pt>
                <c:pt idx="14">
                  <c:v>2.8</c:v>
                </c:pt>
                <c:pt idx="15">
                  <c:v>2.8</c:v>
                </c:pt>
                <c:pt idx="16">
                  <c:v>5.15</c:v>
                </c:pt>
                <c:pt idx="17">
                  <c:v>5.15</c:v>
                </c:pt>
                <c:pt idx="18">
                  <c:v>5.15</c:v>
                </c:pt>
              </c:numCache>
            </c:numRef>
          </c:xVal>
          <c:yVal>
            <c:numRef>
              <c:f>'Lens 24'!$C$7:$C$25</c:f>
              <c:numCache>
                <c:formatCode>0.000</c:formatCode>
                <c:ptCount val="19"/>
                <c:pt idx="0" formatCode="General">
                  <c:v>0.34</c:v>
                </c:pt>
                <c:pt idx="1">
                  <c:v>0.34</c:v>
                </c:pt>
                <c:pt idx="2">
                  <c:v>0.34</c:v>
                </c:pt>
                <c:pt idx="3">
                  <c:v>0.52</c:v>
                </c:pt>
                <c:pt idx="4">
                  <c:v>0.52</c:v>
                </c:pt>
                <c:pt idx="5">
                  <c:v>0.52</c:v>
                </c:pt>
                <c:pt idx="6">
                  <c:v>0.66</c:v>
                </c:pt>
                <c:pt idx="7">
                  <c:v>0.66</c:v>
                </c:pt>
                <c:pt idx="8">
                  <c:v>0.33600000000000002</c:v>
                </c:pt>
                <c:pt idx="9">
                  <c:v>0.33600000000000002</c:v>
                </c:pt>
                <c:pt idx="10">
                  <c:v>0.52</c:v>
                </c:pt>
                <c:pt idx="11">
                  <c:v>0.52</c:v>
                </c:pt>
                <c:pt idx="12">
                  <c:v>0.65600000000000003</c:v>
                </c:pt>
                <c:pt idx="13">
                  <c:v>0.65600000000000003</c:v>
                </c:pt>
                <c:pt idx="14">
                  <c:v>0.52</c:v>
                </c:pt>
                <c:pt idx="15">
                  <c:v>0.52</c:v>
                </c:pt>
                <c:pt idx="16" formatCode="General">
                  <c:v>0.64800000000000002</c:v>
                </c:pt>
                <c:pt idx="17" formatCode="General">
                  <c:v>0.64800000000000002</c:v>
                </c:pt>
                <c:pt idx="18" formatCode="General">
                  <c:v>0.64800000000000002</c:v>
                </c:pt>
              </c:numCache>
            </c:numRef>
          </c:yVal>
          <c:smooth val="0"/>
          <c:extLst>
            <c:ext xmlns:c16="http://schemas.microsoft.com/office/drawing/2014/chart" uri="{C3380CC4-5D6E-409C-BE32-E72D297353CC}">
              <c16:uniqueId val="{00000003-F0C1-4D6D-921E-897F90D89B77}"/>
            </c:ext>
          </c:extLst>
        </c:ser>
        <c:dLbls>
          <c:showLegendKey val="0"/>
          <c:showVal val="0"/>
          <c:showCatName val="0"/>
          <c:showSerName val="0"/>
          <c:showPercent val="0"/>
          <c:showBubbleSize val="0"/>
        </c:dLbls>
        <c:axId val="3"/>
        <c:axId val="4"/>
      </c:scatterChart>
      <c:valAx>
        <c:axId val="951437519"/>
        <c:scaling>
          <c:orientation val="minMax"/>
        </c:scaling>
        <c:delete val="0"/>
        <c:axPos val="b"/>
        <c:title>
          <c:tx>
            <c:rich>
              <a:bodyPr/>
              <a:lstStyle/>
              <a:p>
                <a:pPr>
                  <a:defRPr sz="900" b="0" i="0" u="none" strike="noStrike" baseline="0">
                    <a:solidFill>
                      <a:srgbClr val="000000"/>
                    </a:solidFill>
                    <a:latin typeface="MathSoftText"/>
                    <a:ea typeface="MathSoftText"/>
                    <a:cs typeface="MathSoftText"/>
                  </a:defRPr>
                </a:pPr>
                <a:r>
                  <a:rPr lang="en-GB"/>
                  <a:t>pot setting</a:t>
                </a:r>
              </a:p>
            </c:rich>
          </c:tx>
          <c:layout>
            <c:manualLayout>
              <c:xMode val="edge"/>
              <c:yMode val="edge"/>
              <c:x val="0.31989102719233758"/>
              <c:y val="0.82247947371105101"/>
            </c:manualLayout>
          </c:layout>
          <c:overlay val="0"/>
          <c:spPr>
            <a:noFill/>
            <a:ln w="25400">
              <a:noFill/>
            </a:ln>
          </c:spPr>
        </c:title>
        <c:numFmt formatCode="General" sourceLinked="1"/>
        <c:majorTickMark val="out"/>
        <c:minorTickMark val="none"/>
        <c:tickLblPos val="nextTo"/>
        <c:spPr>
          <a:ln w="3175">
            <a:solidFill>
              <a:srgbClr val="99CC00"/>
            </a:solidFill>
            <a:prstDash val="solid"/>
          </a:ln>
        </c:spPr>
        <c:txPr>
          <a:bodyPr rot="0" vert="horz"/>
          <a:lstStyle/>
          <a:p>
            <a:pPr>
              <a:defRPr sz="900" b="0" i="0" u="none" strike="noStrike" baseline="0">
                <a:solidFill>
                  <a:srgbClr val="000000"/>
                </a:solidFill>
                <a:latin typeface="MathSoftText"/>
                <a:ea typeface="MathSoftText"/>
                <a:cs typeface="MathSoftText"/>
              </a:defRPr>
            </a:pPr>
            <a:endParaRPr lang="en-US"/>
          </a:p>
        </c:txPr>
        <c:crossAx val="1"/>
        <c:crosses val="autoZero"/>
        <c:crossBetween val="midCat"/>
      </c:valAx>
      <c:valAx>
        <c:axId val="1"/>
        <c:scaling>
          <c:orientation val="minMax"/>
        </c:scaling>
        <c:delete val="0"/>
        <c:axPos val="l"/>
        <c:majorGridlines>
          <c:spPr>
            <a:ln w="3175">
              <a:solidFill>
                <a:srgbClr val="99CC00"/>
              </a:solidFill>
              <a:prstDash val="solid"/>
            </a:ln>
          </c:spPr>
        </c:majorGridlines>
        <c:title>
          <c:tx>
            <c:rich>
              <a:bodyPr/>
              <a:lstStyle/>
              <a:p>
                <a:pPr>
                  <a:defRPr sz="900" b="0" i="0" u="none" strike="noStrike" baseline="0">
                    <a:solidFill>
                      <a:srgbClr val="000000"/>
                    </a:solidFill>
                    <a:latin typeface="MathSoftText"/>
                    <a:ea typeface="MathSoftText"/>
                    <a:cs typeface="MathSoftText"/>
                  </a:defRPr>
                </a:pPr>
                <a:r>
                  <a:rPr lang="en-GB"/>
                  <a:t>bdot (volts)</a:t>
                </a:r>
              </a:p>
            </c:rich>
          </c:tx>
          <c:layout>
            <c:manualLayout>
              <c:xMode val="edge"/>
              <c:yMode val="edge"/>
              <c:x val="5.5308261710824723E-2"/>
              <c:y val="0.37076852465704524"/>
            </c:manualLayout>
          </c:layout>
          <c:overlay val="0"/>
          <c:spPr>
            <a:noFill/>
            <a:ln w="25400">
              <a:noFill/>
            </a:ln>
          </c:spPr>
        </c:title>
        <c:numFmt formatCode="0.00" sourceLinked="1"/>
        <c:majorTickMark val="out"/>
        <c:minorTickMark val="none"/>
        <c:tickLblPos val="nextTo"/>
        <c:spPr>
          <a:ln w="3175">
            <a:solidFill>
              <a:srgbClr val="99CC00"/>
            </a:solidFill>
            <a:prstDash val="solid"/>
          </a:ln>
        </c:spPr>
        <c:txPr>
          <a:bodyPr rot="0" vert="horz"/>
          <a:lstStyle/>
          <a:p>
            <a:pPr>
              <a:defRPr sz="900" b="0" i="0" u="none" strike="noStrike" baseline="0">
                <a:solidFill>
                  <a:srgbClr val="000000"/>
                </a:solidFill>
                <a:latin typeface="MathSoftText"/>
                <a:ea typeface="MathSoftText"/>
                <a:cs typeface="MathSoftText"/>
              </a:defRPr>
            </a:pPr>
            <a:endParaRPr lang="en-US"/>
          </a:p>
        </c:txPr>
        <c:crossAx val="951437519"/>
        <c:crosses val="autoZero"/>
        <c:crossBetween val="midCat"/>
      </c:valAx>
      <c:valAx>
        <c:axId val="3"/>
        <c:scaling>
          <c:orientation val="minMax"/>
        </c:scaling>
        <c:delete val="1"/>
        <c:axPos val="b"/>
        <c:numFmt formatCode="General" sourceLinked="1"/>
        <c:majorTickMark val="out"/>
        <c:minorTickMark val="none"/>
        <c:tickLblPos val="nextTo"/>
        <c:crossAx val="4"/>
        <c:crosses val="autoZero"/>
        <c:crossBetween val="midCat"/>
      </c:valAx>
      <c:valAx>
        <c:axId val="4"/>
        <c:scaling>
          <c:orientation val="minMax"/>
        </c:scaling>
        <c:delete val="0"/>
        <c:axPos val="r"/>
        <c:numFmt formatCode="General" sourceLinked="1"/>
        <c:majorTickMark val="out"/>
        <c:minorTickMark val="none"/>
        <c:tickLblPos val="nextTo"/>
        <c:spPr>
          <a:ln w="3175">
            <a:solidFill>
              <a:srgbClr val="99CC00"/>
            </a:solidFill>
            <a:prstDash val="solid"/>
          </a:ln>
        </c:spPr>
        <c:txPr>
          <a:bodyPr rot="0" vert="horz"/>
          <a:lstStyle/>
          <a:p>
            <a:pPr>
              <a:defRPr sz="900" b="0" i="0" u="none" strike="noStrike" baseline="0">
                <a:solidFill>
                  <a:srgbClr val="000000"/>
                </a:solidFill>
                <a:latin typeface="MathSoftText"/>
                <a:ea typeface="MathSoftText"/>
                <a:cs typeface="MathSoftText"/>
              </a:defRPr>
            </a:pPr>
            <a:endParaRPr lang="en-US"/>
          </a:p>
        </c:txPr>
        <c:crossAx val="3"/>
        <c:crosses val="max"/>
        <c:crossBetween val="midCat"/>
      </c:valAx>
      <c:spPr>
        <a:noFill/>
        <a:ln w="12700">
          <a:solidFill>
            <a:srgbClr val="99CC00"/>
          </a:solidFill>
          <a:prstDash val="solid"/>
        </a:ln>
      </c:spPr>
    </c:plotArea>
    <c:legend>
      <c:legendPos val="r"/>
      <c:layout>
        <c:manualLayout>
          <c:xMode val="edge"/>
          <c:yMode val="edge"/>
          <c:x val="0.66668877629804935"/>
          <c:y val="0.20888367586312406"/>
          <c:w val="0.31391175565603224"/>
          <c:h val="0.28460400836350658"/>
        </c:manualLayout>
      </c:layout>
      <c:overlay val="0"/>
      <c:spPr>
        <a:solidFill>
          <a:srgbClr val="FFFFFF"/>
        </a:solidFill>
        <a:ln w="3175">
          <a:solidFill>
            <a:srgbClr val="000000"/>
          </a:solidFill>
          <a:prstDash val="solid"/>
        </a:ln>
      </c:spPr>
      <c:txPr>
        <a:bodyPr/>
        <a:lstStyle/>
        <a:p>
          <a:pPr>
            <a:defRPr sz="825" b="0" i="0" u="none" strike="noStrike" baseline="0">
              <a:solidFill>
                <a:srgbClr val="000000"/>
              </a:solidFill>
              <a:latin typeface="MathSoftText"/>
              <a:ea typeface="MathSoftText"/>
              <a:cs typeface="MathSoftText"/>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900" b="0" i="0" u="none" strike="noStrike" baseline="0">
          <a:solidFill>
            <a:srgbClr val="000000"/>
          </a:solidFill>
          <a:latin typeface="MathSoftText"/>
          <a:ea typeface="MathSoftText"/>
          <a:cs typeface="MathSoftText"/>
        </a:defRPr>
      </a:pPr>
      <a:endParaRPr lang="en-US"/>
    </a:p>
  </c:txPr>
  <c:printSettings>
    <c:headerFooter alignWithMargins="0"/>
    <c:pageMargins b="1" l="0.75" r="0.75" t="1" header="0.5" footer="0.5"/>
    <c:pageSetup orientation="landscape" horizontalDpi="355" verticalDpi="355"/>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0" i="0" u="none" strike="noStrike" baseline="0">
                <a:solidFill>
                  <a:srgbClr val="000000"/>
                </a:solidFill>
                <a:latin typeface="MathSoftText"/>
                <a:ea typeface="MathSoftText"/>
                <a:cs typeface="MathSoftText"/>
              </a:defRPr>
            </a:pPr>
            <a:r>
              <a:rPr lang="en-GB"/>
              <a:t>Lens 24 Bdot vs Rogowski</a:t>
            </a:r>
          </a:p>
        </c:rich>
      </c:tx>
      <c:layout>
        <c:manualLayout>
          <c:xMode val="edge"/>
          <c:yMode val="edge"/>
          <c:x val="0.3094273020038032"/>
          <c:y val="4.1900827207167333E-2"/>
        </c:manualLayout>
      </c:layout>
      <c:overlay val="0"/>
      <c:spPr>
        <a:noFill/>
        <a:ln w="25400">
          <a:noFill/>
        </a:ln>
      </c:spPr>
    </c:title>
    <c:autoTitleDeleted val="0"/>
    <c:plotArea>
      <c:layout>
        <c:manualLayout>
          <c:layoutTarget val="inner"/>
          <c:xMode val="edge"/>
          <c:yMode val="edge"/>
          <c:x val="0.14350251687132901"/>
          <c:y val="0.24302479780157052"/>
          <c:w val="0.79673793221269129"/>
          <c:h val="0.4916363725640967"/>
        </c:manualLayout>
      </c:layout>
      <c:scatterChart>
        <c:scatterStyle val="lineMarker"/>
        <c:varyColors val="0"/>
        <c:ser>
          <c:idx val="0"/>
          <c:order val="0"/>
          <c:spPr>
            <a:ln w="19050">
              <a:noFill/>
            </a:ln>
          </c:spPr>
          <c:marker>
            <c:symbol val="diamond"/>
            <c:size val="5"/>
            <c:spPr>
              <a:solidFill>
                <a:srgbClr val="FF0000"/>
              </a:solidFill>
              <a:ln>
                <a:solidFill>
                  <a:srgbClr val="FF0000"/>
                </a:solidFill>
                <a:prstDash val="solid"/>
              </a:ln>
            </c:spPr>
          </c:marker>
          <c:trendline>
            <c:spPr>
              <a:ln w="3175">
                <a:solidFill>
                  <a:srgbClr val="FF0000"/>
                </a:solidFill>
                <a:prstDash val="solid"/>
              </a:ln>
            </c:spPr>
            <c:trendlineType val="linear"/>
            <c:dispRSqr val="1"/>
            <c:dispEq val="1"/>
            <c:trendlineLbl>
              <c:layout>
                <c:manualLayout>
                  <c:xMode val="edge"/>
                  <c:yMode val="edge"/>
                  <c:x val="0.73545039896556119"/>
                  <c:y val="2.2347107843822579E-2"/>
                </c:manualLayout>
              </c:layout>
              <c:numFmt formatCode="General" sourceLinked="0"/>
              <c:spPr>
                <a:noFill/>
                <a:ln w="25400">
                  <a:noFill/>
                </a:ln>
              </c:spPr>
              <c:txPr>
                <a:bodyPr/>
                <a:lstStyle/>
                <a:p>
                  <a:pPr>
                    <a:defRPr sz="875" b="0" i="0" u="none" strike="noStrike" baseline="0">
                      <a:solidFill>
                        <a:srgbClr val="FF0000"/>
                      </a:solidFill>
                      <a:latin typeface="MathSoftText"/>
                      <a:ea typeface="MathSoftText"/>
                      <a:cs typeface="MathSoftText"/>
                    </a:defRPr>
                  </a:pPr>
                  <a:endParaRPr lang="en-US"/>
                </a:p>
              </c:txPr>
            </c:trendlineLbl>
          </c:trendline>
          <c:xVal>
            <c:numRef>
              <c:f>'Lens 24'!$D$7:$D$25</c:f>
              <c:numCache>
                <c:formatCode>0.00</c:formatCode>
                <c:ptCount val="19"/>
                <c:pt idx="0">
                  <c:v>2.6</c:v>
                </c:pt>
                <c:pt idx="1">
                  <c:v>2.6</c:v>
                </c:pt>
                <c:pt idx="2">
                  <c:v>2.6</c:v>
                </c:pt>
                <c:pt idx="3">
                  <c:v>3.92</c:v>
                </c:pt>
                <c:pt idx="4">
                  <c:v>3.92</c:v>
                </c:pt>
                <c:pt idx="5">
                  <c:v>3.92</c:v>
                </c:pt>
                <c:pt idx="6">
                  <c:v>4.96</c:v>
                </c:pt>
                <c:pt idx="7">
                  <c:v>4.96</c:v>
                </c:pt>
                <c:pt idx="8">
                  <c:v>2.64</c:v>
                </c:pt>
                <c:pt idx="9">
                  <c:v>2.64</c:v>
                </c:pt>
                <c:pt idx="10">
                  <c:v>3.92</c:v>
                </c:pt>
                <c:pt idx="11">
                  <c:v>3.92</c:v>
                </c:pt>
                <c:pt idx="12">
                  <c:v>4.96</c:v>
                </c:pt>
                <c:pt idx="13">
                  <c:v>4.96</c:v>
                </c:pt>
                <c:pt idx="14">
                  <c:v>3.92</c:v>
                </c:pt>
                <c:pt idx="15">
                  <c:v>3.92</c:v>
                </c:pt>
                <c:pt idx="16" formatCode="General">
                  <c:v>4.88</c:v>
                </c:pt>
                <c:pt idx="17" formatCode="General">
                  <c:v>4.88</c:v>
                </c:pt>
                <c:pt idx="18" formatCode="General">
                  <c:v>4.88</c:v>
                </c:pt>
              </c:numCache>
            </c:numRef>
          </c:xVal>
          <c:yVal>
            <c:numRef>
              <c:f>'Lens 24'!$C$7:$C$25</c:f>
              <c:numCache>
                <c:formatCode>0.000</c:formatCode>
                <c:ptCount val="19"/>
                <c:pt idx="0" formatCode="General">
                  <c:v>0.34</c:v>
                </c:pt>
                <c:pt idx="1">
                  <c:v>0.34</c:v>
                </c:pt>
                <c:pt idx="2">
                  <c:v>0.34</c:v>
                </c:pt>
                <c:pt idx="3">
                  <c:v>0.52</c:v>
                </c:pt>
                <c:pt idx="4">
                  <c:v>0.52</c:v>
                </c:pt>
                <c:pt idx="5">
                  <c:v>0.52</c:v>
                </c:pt>
                <c:pt idx="6">
                  <c:v>0.66</c:v>
                </c:pt>
                <c:pt idx="7">
                  <c:v>0.66</c:v>
                </c:pt>
                <c:pt idx="8">
                  <c:v>0.33600000000000002</c:v>
                </c:pt>
                <c:pt idx="9">
                  <c:v>0.33600000000000002</c:v>
                </c:pt>
                <c:pt idx="10">
                  <c:v>0.52</c:v>
                </c:pt>
                <c:pt idx="11">
                  <c:v>0.52</c:v>
                </c:pt>
                <c:pt idx="12">
                  <c:v>0.65600000000000003</c:v>
                </c:pt>
                <c:pt idx="13">
                  <c:v>0.65600000000000003</c:v>
                </c:pt>
                <c:pt idx="14">
                  <c:v>0.52</c:v>
                </c:pt>
                <c:pt idx="15">
                  <c:v>0.52</c:v>
                </c:pt>
                <c:pt idx="16" formatCode="General">
                  <c:v>0.64800000000000002</c:v>
                </c:pt>
                <c:pt idx="17" formatCode="General">
                  <c:v>0.64800000000000002</c:v>
                </c:pt>
                <c:pt idx="18" formatCode="General">
                  <c:v>0.64800000000000002</c:v>
                </c:pt>
              </c:numCache>
            </c:numRef>
          </c:yVal>
          <c:smooth val="0"/>
          <c:extLst>
            <c:ext xmlns:c16="http://schemas.microsoft.com/office/drawing/2014/chart" uri="{C3380CC4-5D6E-409C-BE32-E72D297353CC}">
              <c16:uniqueId val="{00000001-5979-4A31-8E66-BC27BFF853CA}"/>
            </c:ext>
          </c:extLst>
        </c:ser>
        <c:dLbls>
          <c:showLegendKey val="0"/>
          <c:showVal val="0"/>
          <c:showCatName val="0"/>
          <c:showSerName val="0"/>
          <c:showPercent val="0"/>
          <c:showBubbleSize val="0"/>
        </c:dLbls>
        <c:axId val="951442511"/>
        <c:axId val="1"/>
      </c:scatterChart>
      <c:valAx>
        <c:axId val="951442511"/>
        <c:scaling>
          <c:orientation val="minMax"/>
          <c:max val="5"/>
          <c:min val="2.5"/>
        </c:scaling>
        <c:delete val="0"/>
        <c:axPos val="b"/>
        <c:title>
          <c:tx>
            <c:rich>
              <a:bodyPr/>
              <a:lstStyle/>
              <a:p>
                <a:pPr>
                  <a:defRPr sz="875" b="0" i="0" u="none" strike="noStrike" baseline="0">
                    <a:solidFill>
                      <a:srgbClr val="000000"/>
                    </a:solidFill>
                    <a:latin typeface="MathSoftText"/>
                    <a:ea typeface="MathSoftText"/>
                    <a:cs typeface="MathSoftText"/>
                  </a:defRPr>
                </a:pPr>
                <a:r>
                  <a:rPr lang="en-GB"/>
                  <a:t>Bdot (volts)</a:t>
                </a:r>
              </a:p>
            </c:rich>
          </c:tx>
          <c:layout>
            <c:manualLayout>
              <c:xMode val="edge"/>
              <c:yMode val="edge"/>
              <c:x val="0.46937281559997202"/>
              <c:y val="0.85477687502621358"/>
            </c:manualLayout>
          </c:layout>
          <c:overlay val="0"/>
          <c:spPr>
            <a:noFill/>
            <a:ln w="25400">
              <a:noFill/>
            </a:ln>
          </c:spPr>
        </c:title>
        <c:numFmt formatCode="0.00" sourceLinked="1"/>
        <c:majorTickMark val="out"/>
        <c:minorTickMark val="none"/>
        <c:tickLblPos val="nextTo"/>
        <c:spPr>
          <a:ln w="3175">
            <a:solidFill>
              <a:srgbClr val="99CC00"/>
            </a:solidFill>
            <a:prstDash val="solid"/>
          </a:ln>
        </c:spPr>
        <c:txPr>
          <a:bodyPr rot="0" vert="horz"/>
          <a:lstStyle/>
          <a:p>
            <a:pPr>
              <a:defRPr sz="875" b="0" i="0" u="none" strike="noStrike" baseline="0">
                <a:solidFill>
                  <a:srgbClr val="000000"/>
                </a:solidFill>
                <a:latin typeface="MathSoftText"/>
                <a:ea typeface="MathSoftText"/>
                <a:cs typeface="MathSoftText"/>
              </a:defRPr>
            </a:pPr>
            <a:endParaRPr lang="en-US"/>
          </a:p>
        </c:txPr>
        <c:crossAx val="1"/>
        <c:crosses val="autoZero"/>
        <c:crossBetween val="midCat"/>
        <c:minorUnit val="0.1"/>
      </c:valAx>
      <c:valAx>
        <c:axId val="1"/>
        <c:scaling>
          <c:orientation val="minMax"/>
        </c:scaling>
        <c:delete val="0"/>
        <c:axPos val="l"/>
        <c:majorGridlines>
          <c:spPr>
            <a:ln w="3175">
              <a:solidFill>
                <a:srgbClr val="99CC00"/>
              </a:solidFill>
              <a:prstDash val="solid"/>
            </a:ln>
          </c:spPr>
        </c:majorGridlines>
        <c:title>
          <c:tx>
            <c:rich>
              <a:bodyPr/>
              <a:lstStyle/>
              <a:p>
                <a:pPr>
                  <a:defRPr sz="875" b="0" i="0" u="none" strike="noStrike" baseline="0">
                    <a:solidFill>
                      <a:srgbClr val="000000"/>
                    </a:solidFill>
                    <a:latin typeface="MathSoftText"/>
                    <a:ea typeface="MathSoftText"/>
                    <a:cs typeface="MathSoftText"/>
                  </a:defRPr>
                </a:pPr>
                <a:r>
                  <a:rPr lang="en-GB"/>
                  <a:t>Rogowski (volts)</a:t>
                </a:r>
              </a:p>
            </c:rich>
          </c:tx>
          <c:layout>
            <c:manualLayout>
              <c:xMode val="edge"/>
              <c:yMode val="edge"/>
              <c:x val="3.2885993449679567E-2"/>
              <c:y val="0.29609917893064913"/>
            </c:manualLayout>
          </c:layout>
          <c:overlay val="0"/>
          <c:spPr>
            <a:noFill/>
            <a:ln w="25400">
              <a:noFill/>
            </a:ln>
          </c:spPr>
        </c:title>
        <c:numFmt formatCode="General" sourceLinked="1"/>
        <c:majorTickMark val="out"/>
        <c:minorTickMark val="none"/>
        <c:tickLblPos val="nextTo"/>
        <c:spPr>
          <a:ln w="3175">
            <a:solidFill>
              <a:srgbClr val="99CC00"/>
            </a:solidFill>
            <a:prstDash val="solid"/>
          </a:ln>
        </c:spPr>
        <c:txPr>
          <a:bodyPr rot="0" vert="horz"/>
          <a:lstStyle/>
          <a:p>
            <a:pPr>
              <a:defRPr sz="875" b="0" i="0" u="none" strike="noStrike" baseline="0">
                <a:solidFill>
                  <a:srgbClr val="000000"/>
                </a:solidFill>
                <a:latin typeface="MathSoftText"/>
                <a:ea typeface="MathSoftText"/>
                <a:cs typeface="MathSoftText"/>
              </a:defRPr>
            </a:pPr>
            <a:endParaRPr lang="en-US"/>
          </a:p>
        </c:txPr>
        <c:crossAx val="951442511"/>
        <c:crosses val="autoZero"/>
        <c:crossBetween val="midCat"/>
      </c:valAx>
      <c:spPr>
        <a:noFill/>
        <a:ln w="12700">
          <a:solidFill>
            <a:srgbClr val="99CC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75" b="0" i="0" u="none" strike="noStrike" baseline="0">
          <a:solidFill>
            <a:srgbClr val="000000"/>
          </a:solidFill>
          <a:latin typeface="MathSoftText"/>
          <a:ea typeface="MathSoftText"/>
          <a:cs typeface="MathSoftText"/>
        </a:defRPr>
      </a:pPr>
      <a:endParaRPr lang="en-US"/>
    </a:p>
  </c:txPr>
  <c:printSettings>
    <c:headerFooter alignWithMargins="0"/>
    <c:pageMargins b="1" l="0.75" r="0.75" t="1" header="0.5" footer="0.5"/>
    <c:pageSetup orientation="landscape"/>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0" i="0" u="none" strike="noStrike" baseline="0">
                <a:solidFill>
                  <a:srgbClr val="000000"/>
                </a:solidFill>
                <a:latin typeface="MathSoftText"/>
                <a:ea typeface="MathSoftText"/>
                <a:cs typeface="MathSoftText"/>
              </a:defRPr>
            </a:pPr>
            <a:r>
              <a:rPr lang="en-GB"/>
              <a:t>lens 25 pulse count vs peak current</a:t>
            </a:r>
          </a:p>
        </c:rich>
      </c:tx>
      <c:layout>
        <c:manualLayout>
          <c:xMode val="edge"/>
          <c:yMode val="edge"/>
          <c:x val="0.33334449867492205"/>
          <c:y val="5.0001613962477424E-2"/>
        </c:manualLayout>
      </c:layout>
      <c:overlay val="0"/>
      <c:spPr>
        <a:noFill/>
        <a:ln w="25400">
          <a:noFill/>
        </a:ln>
      </c:spPr>
    </c:title>
    <c:autoTitleDeleted val="0"/>
    <c:plotArea>
      <c:layout>
        <c:manualLayout>
          <c:layoutTarget val="inner"/>
          <c:xMode val="edge"/>
          <c:yMode val="edge"/>
          <c:x val="0.15989695464894635"/>
          <c:y val="0.26923945979795538"/>
          <c:w val="0.81303536262176113"/>
          <c:h val="0.41155174569116038"/>
        </c:manualLayout>
      </c:layout>
      <c:barChart>
        <c:barDir val="col"/>
        <c:grouping val="clustered"/>
        <c:varyColors val="0"/>
        <c:ser>
          <c:idx val="0"/>
          <c:order val="0"/>
          <c:spPr>
            <a:solidFill>
              <a:srgbClr val="9999FF"/>
            </a:solidFill>
            <a:ln w="12700">
              <a:solidFill>
                <a:srgbClr val="000000"/>
              </a:solidFill>
              <a:prstDash val="solid"/>
            </a:ln>
          </c:spPr>
          <c:invertIfNegative val="0"/>
          <c:cat>
            <c:numRef>
              <c:f>'Lens 25'!$D$26:$D$32</c:f>
              <c:numCache>
                <c:formatCode>0</c:formatCode>
                <c:ptCount val="7"/>
                <c:pt idx="0">
                  <c:v>295863.45722298301</c:v>
                </c:pt>
                <c:pt idx="1">
                  <c:v>370485.84143588052</c:v>
                </c:pt>
                <c:pt idx="2">
                  <c:v>395359.96950684639</c:v>
                </c:pt>
                <c:pt idx="3">
                  <c:v>420234.09757781215</c:v>
                </c:pt>
                <c:pt idx="4">
                  <c:v>445108.22564877814</c:v>
                </c:pt>
                <c:pt idx="5">
                  <c:v>469982.35371974384</c:v>
                </c:pt>
                <c:pt idx="6">
                  <c:v>527192.84828296548</c:v>
                </c:pt>
              </c:numCache>
            </c:numRef>
          </c:cat>
          <c:val>
            <c:numRef>
              <c:f>'Lens 25'!$A$26:$A$32</c:f>
              <c:numCache>
                <c:formatCode>0</c:formatCode>
                <c:ptCount val="7"/>
                <c:pt idx="0">
                  <c:v>15200</c:v>
                </c:pt>
                <c:pt idx="1">
                  <c:v>8800</c:v>
                </c:pt>
                <c:pt idx="2">
                  <c:v>30800</c:v>
                </c:pt>
                <c:pt idx="3">
                  <c:v>3700</c:v>
                </c:pt>
                <c:pt idx="4">
                  <c:v>5300</c:v>
                </c:pt>
                <c:pt idx="5">
                  <c:v>4600</c:v>
                </c:pt>
                <c:pt idx="6">
                  <c:v>85950</c:v>
                </c:pt>
              </c:numCache>
            </c:numRef>
          </c:val>
          <c:extLst>
            <c:ext xmlns:c16="http://schemas.microsoft.com/office/drawing/2014/chart" uri="{C3380CC4-5D6E-409C-BE32-E72D297353CC}">
              <c16:uniqueId val="{00000000-D8E3-4FB4-8600-4BD251E5794E}"/>
            </c:ext>
          </c:extLst>
        </c:ser>
        <c:dLbls>
          <c:showLegendKey val="0"/>
          <c:showVal val="0"/>
          <c:showCatName val="0"/>
          <c:showSerName val="0"/>
          <c:showPercent val="0"/>
          <c:showBubbleSize val="0"/>
        </c:dLbls>
        <c:gapWidth val="150"/>
        <c:axId val="855928335"/>
        <c:axId val="1"/>
      </c:barChart>
      <c:catAx>
        <c:axId val="855928335"/>
        <c:scaling>
          <c:orientation val="minMax"/>
        </c:scaling>
        <c:delete val="0"/>
        <c:axPos val="b"/>
        <c:title>
          <c:tx>
            <c:rich>
              <a:bodyPr/>
              <a:lstStyle/>
              <a:p>
                <a:pPr>
                  <a:defRPr sz="800" b="0" i="0" u="none" strike="noStrike" baseline="0">
                    <a:solidFill>
                      <a:srgbClr val="000000"/>
                    </a:solidFill>
                    <a:latin typeface="MathSoftText"/>
                    <a:ea typeface="MathSoftText"/>
                    <a:cs typeface="MathSoftText"/>
                  </a:defRPr>
                </a:pPr>
                <a:r>
                  <a:rPr lang="en-GB"/>
                  <a:t>amps</a:t>
                </a:r>
              </a:p>
            </c:rich>
          </c:tx>
          <c:layout>
            <c:manualLayout>
              <c:xMode val="edge"/>
              <c:yMode val="edge"/>
              <c:x val="0.53660333933036231"/>
              <c:y val="0.81925721338520707"/>
            </c:manualLayout>
          </c:layout>
          <c:overlay val="0"/>
          <c:spPr>
            <a:noFill/>
            <a:ln w="25400">
              <a:noFill/>
            </a:ln>
          </c:spPr>
        </c:title>
        <c:numFmt formatCode="0" sourceLinked="0"/>
        <c:majorTickMark val="out"/>
        <c:minorTickMark val="none"/>
        <c:tickLblPos val="nextTo"/>
        <c:spPr>
          <a:ln w="3175">
            <a:solidFill>
              <a:srgbClr val="99CC00"/>
            </a:solidFill>
            <a:prstDash val="solid"/>
          </a:ln>
        </c:spPr>
        <c:txPr>
          <a:bodyPr rot="0" vert="horz"/>
          <a:lstStyle/>
          <a:p>
            <a:pPr>
              <a:defRPr sz="800" b="0" i="0" u="none" strike="noStrike" baseline="0">
                <a:solidFill>
                  <a:srgbClr val="000000"/>
                </a:solidFill>
                <a:latin typeface="MathSoftText"/>
                <a:ea typeface="MathSoftText"/>
                <a:cs typeface="MathSoftText"/>
              </a:defRPr>
            </a:pPr>
            <a:endParaRPr lang="en-US"/>
          </a:p>
        </c:txPr>
        <c:crossAx val="1"/>
        <c:crosses val="autoZero"/>
        <c:auto val="1"/>
        <c:lblAlgn val="ctr"/>
        <c:lblOffset val="100"/>
        <c:tickLblSkip val="1"/>
        <c:tickMarkSkip val="1"/>
        <c:noMultiLvlLbl val="0"/>
      </c:catAx>
      <c:valAx>
        <c:axId val="1"/>
        <c:scaling>
          <c:logBase val="10"/>
          <c:orientation val="minMax"/>
          <c:min val="10"/>
        </c:scaling>
        <c:delete val="0"/>
        <c:axPos val="l"/>
        <c:majorGridlines>
          <c:spPr>
            <a:ln w="3175">
              <a:solidFill>
                <a:srgbClr val="99CC00"/>
              </a:solidFill>
              <a:prstDash val="solid"/>
            </a:ln>
          </c:spPr>
        </c:majorGridlines>
        <c:title>
          <c:tx>
            <c:rich>
              <a:bodyPr/>
              <a:lstStyle/>
              <a:p>
                <a:pPr>
                  <a:defRPr sz="800" b="0" i="0" u="none" strike="noStrike" baseline="0">
                    <a:solidFill>
                      <a:srgbClr val="000000"/>
                    </a:solidFill>
                    <a:latin typeface="MathSoftText"/>
                    <a:ea typeface="MathSoftText"/>
                    <a:cs typeface="MathSoftText"/>
                  </a:defRPr>
                </a:pPr>
                <a:r>
                  <a:rPr lang="en-GB"/>
                  <a:t>number of pulses</a:t>
                </a:r>
              </a:p>
            </c:rich>
          </c:tx>
          <c:layout>
            <c:manualLayout>
              <c:xMode val="edge"/>
              <c:yMode val="edge"/>
              <c:x val="2.9811296629464575E-2"/>
              <c:y val="0.23462295782393253"/>
            </c:manualLayout>
          </c:layout>
          <c:overlay val="0"/>
          <c:spPr>
            <a:noFill/>
            <a:ln w="25400">
              <a:noFill/>
            </a:ln>
          </c:spPr>
        </c:title>
        <c:numFmt formatCode="0" sourceLinked="1"/>
        <c:majorTickMark val="out"/>
        <c:minorTickMark val="none"/>
        <c:tickLblPos val="nextTo"/>
        <c:spPr>
          <a:ln w="3175">
            <a:solidFill>
              <a:srgbClr val="99CC00"/>
            </a:solidFill>
            <a:prstDash val="solid"/>
          </a:ln>
        </c:spPr>
        <c:txPr>
          <a:bodyPr rot="0" vert="horz"/>
          <a:lstStyle/>
          <a:p>
            <a:pPr>
              <a:defRPr sz="800" b="0" i="0" u="none" strike="noStrike" baseline="0">
                <a:solidFill>
                  <a:srgbClr val="000000"/>
                </a:solidFill>
                <a:latin typeface="MathSoftText"/>
                <a:ea typeface="MathSoftText"/>
                <a:cs typeface="MathSoftText"/>
              </a:defRPr>
            </a:pPr>
            <a:endParaRPr lang="en-US"/>
          </a:p>
        </c:txPr>
        <c:crossAx val="855928335"/>
        <c:crosses val="autoZero"/>
        <c:crossBetween val="between"/>
      </c:valAx>
      <c:spPr>
        <a:noFill/>
        <a:ln w="12700">
          <a:solidFill>
            <a:srgbClr val="99CC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MathSoftText"/>
          <a:ea typeface="MathSoftText"/>
          <a:cs typeface="MathSoftText"/>
        </a:defRPr>
      </a:pPr>
      <a:endParaRPr lang="en-US"/>
    </a:p>
  </c:txPr>
  <c:printSettings>
    <c:headerFooter alignWithMargins="0"/>
    <c:pageMargins b="1" l="0.75" r="0.75" t="1" header="0.5" footer="0.5"/>
    <c:pageSetup orientation="landscape"/>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0" i="0" u="none" strike="noStrike" baseline="0">
                <a:solidFill>
                  <a:srgbClr val="000000"/>
                </a:solidFill>
                <a:latin typeface="MathSoftText"/>
                <a:ea typeface="MathSoftText"/>
                <a:cs typeface="MathSoftText"/>
              </a:defRPr>
            </a:pPr>
            <a:r>
              <a:rPr lang="en-GB"/>
              <a:t>lens 25 pulse count vs peak current</a:t>
            </a:r>
          </a:p>
        </c:rich>
      </c:tx>
      <c:layout>
        <c:manualLayout>
          <c:xMode val="edge"/>
          <c:yMode val="edge"/>
          <c:x val="0.27660455641145026"/>
          <c:y val="4.1323807917605281E-2"/>
        </c:manualLayout>
      </c:layout>
      <c:overlay val="0"/>
      <c:spPr>
        <a:noFill/>
        <a:ln w="25400">
          <a:noFill/>
        </a:ln>
      </c:spPr>
    </c:title>
    <c:autoTitleDeleted val="0"/>
    <c:plotArea>
      <c:layout>
        <c:manualLayout>
          <c:layoutTarget val="inner"/>
          <c:xMode val="edge"/>
          <c:yMode val="edge"/>
          <c:x val="0.17420767735528839"/>
          <c:y val="0.2396780859221106"/>
          <c:w val="0.75534321173896035"/>
          <c:h val="0.49864061553910366"/>
        </c:manualLayout>
      </c:layout>
      <c:scatterChart>
        <c:scatterStyle val="lineMarker"/>
        <c:varyColors val="0"/>
        <c:ser>
          <c:idx val="0"/>
          <c:order val="0"/>
          <c:spPr>
            <a:ln w="19050">
              <a:noFill/>
            </a:ln>
          </c:spPr>
          <c:marker>
            <c:symbol val="diamond"/>
            <c:size val="5"/>
            <c:spPr>
              <a:solidFill>
                <a:srgbClr val="000080"/>
              </a:solidFill>
              <a:ln>
                <a:solidFill>
                  <a:srgbClr val="000080"/>
                </a:solidFill>
                <a:prstDash val="solid"/>
              </a:ln>
            </c:spPr>
          </c:marker>
          <c:xVal>
            <c:numRef>
              <c:f>'Lens 25'!$D$26:$D$32</c:f>
              <c:numCache>
                <c:formatCode>0</c:formatCode>
                <c:ptCount val="7"/>
                <c:pt idx="0">
                  <c:v>295863.45722298301</c:v>
                </c:pt>
                <c:pt idx="1">
                  <c:v>370485.84143588052</c:v>
                </c:pt>
                <c:pt idx="2">
                  <c:v>395359.96950684639</c:v>
                </c:pt>
                <c:pt idx="3">
                  <c:v>420234.09757781215</c:v>
                </c:pt>
                <c:pt idx="4">
                  <c:v>445108.22564877814</c:v>
                </c:pt>
                <c:pt idx="5">
                  <c:v>469982.35371974384</c:v>
                </c:pt>
                <c:pt idx="6">
                  <c:v>527192.84828296548</c:v>
                </c:pt>
              </c:numCache>
            </c:numRef>
          </c:xVal>
          <c:yVal>
            <c:numRef>
              <c:f>'Lens 25'!$A$26:$A$32</c:f>
              <c:numCache>
                <c:formatCode>0</c:formatCode>
                <c:ptCount val="7"/>
                <c:pt idx="0">
                  <c:v>15200</c:v>
                </c:pt>
                <c:pt idx="1">
                  <c:v>8800</c:v>
                </c:pt>
                <c:pt idx="2">
                  <c:v>30800</c:v>
                </c:pt>
                <c:pt idx="3">
                  <c:v>3700</c:v>
                </c:pt>
                <c:pt idx="4">
                  <c:v>5300</c:v>
                </c:pt>
                <c:pt idx="5">
                  <c:v>4600</c:v>
                </c:pt>
                <c:pt idx="6">
                  <c:v>85950</c:v>
                </c:pt>
              </c:numCache>
            </c:numRef>
          </c:yVal>
          <c:smooth val="0"/>
          <c:extLst>
            <c:ext xmlns:c16="http://schemas.microsoft.com/office/drawing/2014/chart" uri="{C3380CC4-5D6E-409C-BE32-E72D297353CC}">
              <c16:uniqueId val="{00000000-862C-4978-AF83-7B7F327626FD}"/>
            </c:ext>
          </c:extLst>
        </c:ser>
        <c:dLbls>
          <c:showLegendKey val="0"/>
          <c:showVal val="0"/>
          <c:showCatName val="0"/>
          <c:showSerName val="0"/>
          <c:showPercent val="0"/>
          <c:showBubbleSize val="0"/>
        </c:dLbls>
        <c:axId val="1070209903"/>
        <c:axId val="1"/>
      </c:scatterChart>
      <c:valAx>
        <c:axId val="1070209903"/>
        <c:scaling>
          <c:orientation val="minMax"/>
          <c:max val="700000"/>
          <c:min val="200000"/>
        </c:scaling>
        <c:delete val="0"/>
        <c:axPos val="b"/>
        <c:title>
          <c:tx>
            <c:rich>
              <a:bodyPr/>
              <a:lstStyle/>
              <a:p>
                <a:pPr>
                  <a:defRPr sz="875" b="0" i="0" u="none" strike="noStrike" baseline="0">
                    <a:solidFill>
                      <a:srgbClr val="000000"/>
                    </a:solidFill>
                    <a:latin typeface="MathSoftText"/>
                    <a:ea typeface="MathSoftText"/>
                    <a:cs typeface="MathSoftText"/>
                  </a:defRPr>
                </a:pPr>
                <a:r>
                  <a:rPr lang="en-GB"/>
                  <a:t>amps</a:t>
                </a:r>
              </a:p>
            </c:rich>
          </c:tx>
          <c:layout>
            <c:manualLayout>
              <c:xMode val="edge"/>
              <c:yMode val="edge"/>
              <c:x val="0.51996337286960126"/>
              <c:y val="0.85678028415834939"/>
            </c:manualLayout>
          </c:layout>
          <c:overlay val="0"/>
          <c:spPr>
            <a:noFill/>
            <a:ln w="25400">
              <a:noFill/>
            </a:ln>
          </c:spPr>
        </c:title>
        <c:numFmt formatCode="0" sourceLinked="0"/>
        <c:majorTickMark val="out"/>
        <c:minorTickMark val="none"/>
        <c:tickLblPos val="nextTo"/>
        <c:spPr>
          <a:ln w="3175">
            <a:solidFill>
              <a:srgbClr val="99CC00"/>
            </a:solidFill>
            <a:prstDash val="solid"/>
          </a:ln>
        </c:spPr>
        <c:txPr>
          <a:bodyPr rot="0" vert="horz"/>
          <a:lstStyle/>
          <a:p>
            <a:pPr>
              <a:defRPr sz="875" b="0" i="0" u="none" strike="noStrike" baseline="0">
                <a:solidFill>
                  <a:srgbClr val="000000"/>
                </a:solidFill>
                <a:latin typeface="MathSoftText"/>
                <a:ea typeface="MathSoftText"/>
                <a:cs typeface="MathSoftText"/>
              </a:defRPr>
            </a:pPr>
            <a:endParaRPr lang="en-US"/>
          </a:p>
        </c:txPr>
        <c:crossAx val="1"/>
        <c:crosses val="autoZero"/>
        <c:crossBetween val="midCat"/>
      </c:valAx>
      <c:valAx>
        <c:axId val="1"/>
        <c:scaling>
          <c:orientation val="minMax"/>
          <c:max val="100000"/>
          <c:min val="0"/>
        </c:scaling>
        <c:delete val="0"/>
        <c:axPos val="l"/>
        <c:majorGridlines>
          <c:spPr>
            <a:ln w="3175">
              <a:solidFill>
                <a:srgbClr val="99CC00"/>
              </a:solidFill>
              <a:prstDash val="solid"/>
            </a:ln>
          </c:spPr>
        </c:majorGridlines>
        <c:title>
          <c:tx>
            <c:rich>
              <a:bodyPr/>
              <a:lstStyle/>
              <a:p>
                <a:pPr>
                  <a:defRPr sz="875" b="0" i="0" u="none" strike="noStrike" baseline="0">
                    <a:solidFill>
                      <a:srgbClr val="000000"/>
                    </a:solidFill>
                    <a:latin typeface="MathSoftText"/>
                    <a:ea typeface="MathSoftText"/>
                    <a:cs typeface="MathSoftText"/>
                  </a:defRPr>
                </a:pPr>
                <a:r>
                  <a:rPr lang="en-GB"/>
                  <a:t>number of pulses</a:t>
                </a:r>
              </a:p>
            </c:rich>
          </c:tx>
          <c:layout>
            <c:manualLayout>
              <c:xMode val="edge"/>
              <c:yMode val="edge"/>
              <c:x val="2.9256251158903394E-2"/>
              <c:y val="0.29202157595107731"/>
            </c:manualLayout>
          </c:layout>
          <c:overlay val="0"/>
          <c:spPr>
            <a:noFill/>
            <a:ln w="25400">
              <a:noFill/>
            </a:ln>
          </c:spPr>
        </c:title>
        <c:numFmt formatCode="0" sourceLinked="1"/>
        <c:majorTickMark val="out"/>
        <c:minorTickMark val="none"/>
        <c:tickLblPos val="nextTo"/>
        <c:spPr>
          <a:ln w="3175">
            <a:solidFill>
              <a:srgbClr val="99CC00"/>
            </a:solidFill>
            <a:prstDash val="solid"/>
          </a:ln>
        </c:spPr>
        <c:txPr>
          <a:bodyPr rot="0" vert="horz"/>
          <a:lstStyle/>
          <a:p>
            <a:pPr>
              <a:defRPr sz="875" b="0" i="0" u="none" strike="noStrike" baseline="0">
                <a:solidFill>
                  <a:srgbClr val="000000"/>
                </a:solidFill>
                <a:latin typeface="MathSoftText"/>
                <a:ea typeface="MathSoftText"/>
                <a:cs typeface="MathSoftText"/>
              </a:defRPr>
            </a:pPr>
            <a:endParaRPr lang="en-US"/>
          </a:p>
        </c:txPr>
        <c:crossAx val="1070209903"/>
        <c:crosses val="autoZero"/>
        <c:crossBetween val="midCat"/>
      </c:valAx>
      <c:spPr>
        <a:noFill/>
        <a:ln w="12700">
          <a:solidFill>
            <a:srgbClr val="99CC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75" b="0" i="0" u="none" strike="noStrike" baseline="0">
          <a:solidFill>
            <a:srgbClr val="000000"/>
          </a:solidFill>
          <a:latin typeface="MathSoftText"/>
          <a:ea typeface="MathSoftText"/>
          <a:cs typeface="MathSoftText"/>
        </a:defRPr>
      </a:pPr>
      <a:endParaRPr lang="en-US"/>
    </a:p>
  </c:txPr>
  <c:printSettings>
    <c:headerFooter alignWithMargins="0"/>
    <c:pageMargins b="1" l="0.75" r="0.75" t="1" header="0.5" footer="0.5"/>
    <c:pageSetup orientation="landscape" horizontalDpi="355" verticalDpi="355"/>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75" b="0" i="0" u="none" strike="noStrike" baseline="0">
                <a:solidFill>
                  <a:srgbClr val="000000"/>
                </a:solidFill>
                <a:latin typeface="MathSoftText"/>
                <a:ea typeface="MathSoftText"/>
                <a:cs typeface="MathSoftText"/>
              </a:defRPr>
            </a:pPr>
            <a:r>
              <a:rPr lang="en-GB"/>
              <a:t>lens 25 pulse count vs peak current</a:t>
            </a:r>
          </a:p>
        </c:rich>
      </c:tx>
      <c:layout>
        <c:manualLayout>
          <c:xMode val="edge"/>
          <c:yMode val="edge"/>
          <c:x val="0.2302429660184844"/>
          <c:y val="3.4297188905460504E-2"/>
        </c:manualLayout>
      </c:layout>
      <c:overlay val="0"/>
      <c:spPr>
        <a:noFill/>
        <a:ln w="25400">
          <a:noFill/>
        </a:ln>
      </c:spPr>
    </c:title>
    <c:autoTitleDeleted val="0"/>
    <c:plotArea>
      <c:layout>
        <c:manualLayout>
          <c:layoutTarget val="inner"/>
          <c:xMode val="edge"/>
          <c:yMode val="edge"/>
          <c:x val="0.17753674488172291"/>
          <c:y val="0.18412175096615641"/>
          <c:w val="0.79475433450958777"/>
          <c:h val="0.63720566755934516"/>
        </c:manualLayout>
      </c:layout>
      <c:barChart>
        <c:barDir val="col"/>
        <c:grouping val="clustered"/>
        <c:varyColors val="0"/>
        <c:ser>
          <c:idx val="0"/>
          <c:order val="0"/>
          <c:spPr>
            <a:solidFill>
              <a:srgbClr val="9999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975" b="0" i="0" u="none" strike="noStrike" baseline="0">
                    <a:solidFill>
                      <a:srgbClr val="000000"/>
                    </a:solidFill>
                    <a:latin typeface="MathSoftText"/>
                    <a:ea typeface="MathSoftText"/>
                    <a:cs typeface="MathSoftTex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'Lens 25'!$D$26:$D$32</c:f>
              <c:numCache>
                <c:formatCode>0</c:formatCode>
                <c:ptCount val="7"/>
                <c:pt idx="0">
                  <c:v>295863.45722298301</c:v>
                </c:pt>
                <c:pt idx="1">
                  <c:v>370485.84143588052</c:v>
                </c:pt>
                <c:pt idx="2">
                  <c:v>395359.96950684639</c:v>
                </c:pt>
                <c:pt idx="3">
                  <c:v>420234.09757781215</c:v>
                </c:pt>
                <c:pt idx="4">
                  <c:v>445108.22564877814</c:v>
                </c:pt>
                <c:pt idx="5">
                  <c:v>469982.35371974384</c:v>
                </c:pt>
                <c:pt idx="6">
                  <c:v>527192.84828296548</c:v>
                </c:pt>
              </c:numCache>
            </c:numRef>
          </c:cat>
          <c:val>
            <c:numRef>
              <c:f>'Lens 25'!$A$26:$A$32</c:f>
              <c:numCache>
                <c:formatCode>0</c:formatCode>
                <c:ptCount val="7"/>
                <c:pt idx="0">
                  <c:v>15200</c:v>
                </c:pt>
                <c:pt idx="1">
                  <c:v>8800</c:v>
                </c:pt>
                <c:pt idx="2">
                  <c:v>30800</c:v>
                </c:pt>
                <c:pt idx="3">
                  <c:v>3700</c:v>
                </c:pt>
                <c:pt idx="4">
                  <c:v>5300</c:v>
                </c:pt>
                <c:pt idx="5">
                  <c:v>4600</c:v>
                </c:pt>
                <c:pt idx="6">
                  <c:v>85950</c:v>
                </c:pt>
              </c:numCache>
            </c:numRef>
          </c:val>
          <c:extLst>
            <c:ext xmlns:c16="http://schemas.microsoft.com/office/drawing/2014/chart" uri="{C3380CC4-5D6E-409C-BE32-E72D297353CC}">
              <c16:uniqueId val="{00000000-A3CE-4809-9EB3-713A7E2ED6C5}"/>
            </c:ext>
          </c:extLst>
        </c:ser>
        <c:dLbls>
          <c:showLegendKey val="0"/>
          <c:showVal val="1"/>
          <c:showCatName val="0"/>
          <c:showSerName val="0"/>
          <c:showPercent val="0"/>
          <c:showBubbleSize val="0"/>
        </c:dLbls>
        <c:gapWidth val="150"/>
        <c:axId val="855926335"/>
        <c:axId val="1"/>
      </c:barChart>
      <c:catAx>
        <c:axId val="855926335"/>
        <c:scaling>
          <c:orientation val="minMax"/>
        </c:scaling>
        <c:delete val="0"/>
        <c:axPos val="b"/>
        <c:title>
          <c:tx>
            <c:rich>
              <a:bodyPr/>
              <a:lstStyle/>
              <a:p>
                <a:pPr>
                  <a:defRPr sz="975" b="0" i="0" u="none" strike="noStrike" baseline="0">
                    <a:solidFill>
                      <a:srgbClr val="000000"/>
                    </a:solidFill>
                    <a:latin typeface="MathSoftText"/>
                    <a:ea typeface="MathSoftText"/>
                    <a:cs typeface="MathSoftText"/>
                  </a:defRPr>
                </a:pPr>
                <a:r>
                  <a:rPr lang="en-GB"/>
                  <a:t>amps</a:t>
                </a:r>
              </a:p>
            </c:rich>
          </c:tx>
          <c:layout>
            <c:manualLayout>
              <c:xMode val="edge"/>
              <c:yMode val="edge"/>
              <c:x val="0.5367712521033341"/>
              <c:y val="0.90255760277527652"/>
            </c:manualLayout>
          </c:layout>
          <c:overlay val="0"/>
          <c:spPr>
            <a:noFill/>
            <a:ln w="25400">
              <a:noFill/>
            </a:ln>
          </c:spPr>
        </c:title>
        <c:numFmt formatCode="0" sourceLinked="0"/>
        <c:majorTickMark val="out"/>
        <c:minorTickMark val="none"/>
        <c:tickLblPos val="nextTo"/>
        <c:spPr>
          <a:ln w="3175">
            <a:solidFill>
              <a:srgbClr val="99CC00"/>
            </a:solidFill>
            <a:prstDash val="solid"/>
          </a:ln>
        </c:spPr>
        <c:txPr>
          <a:bodyPr rot="0" vert="horz"/>
          <a:lstStyle/>
          <a:p>
            <a:pPr>
              <a:defRPr sz="975" b="0" i="0" u="none" strike="noStrike" baseline="0">
                <a:solidFill>
                  <a:srgbClr val="000000"/>
                </a:solidFill>
                <a:latin typeface="MathSoftText"/>
                <a:ea typeface="MathSoftText"/>
                <a:cs typeface="MathSoftText"/>
              </a:defRPr>
            </a:pPr>
            <a:endParaRPr lang="en-US"/>
          </a:p>
        </c:txPr>
        <c:crossAx val="1"/>
        <c:crosses val="autoZero"/>
        <c:auto val="1"/>
        <c:lblAlgn val="ctr"/>
        <c:lblOffset val="100"/>
        <c:tickLblSkip val="1"/>
        <c:tickMarkSkip val="1"/>
        <c:noMultiLvlLbl val="0"/>
      </c:catAx>
      <c:valAx>
        <c:axId val="1"/>
        <c:scaling>
          <c:orientation val="minMax"/>
          <c:max val="40000"/>
          <c:min val="0"/>
        </c:scaling>
        <c:delete val="0"/>
        <c:axPos val="l"/>
        <c:majorGridlines>
          <c:spPr>
            <a:ln w="3175">
              <a:solidFill>
                <a:srgbClr val="99CC00"/>
              </a:solidFill>
              <a:prstDash val="solid"/>
            </a:ln>
          </c:spPr>
        </c:majorGridlines>
        <c:title>
          <c:tx>
            <c:rich>
              <a:bodyPr/>
              <a:lstStyle/>
              <a:p>
                <a:pPr>
                  <a:defRPr sz="975" b="0" i="0" u="none" strike="noStrike" baseline="0">
                    <a:solidFill>
                      <a:srgbClr val="000000"/>
                    </a:solidFill>
                    <a:latin typeface="MathSoftText"/>
                    <a:ea typeface="MathSoftText"/>
                    <a:cs typeface="MathSoftText"/>
                  </a:defRPr>
                </a:pPr>
                <a:r>
                  <a:rPr lang="en-GB"/>
                  <a:t>number of pulses</a:t>
                </a:r>
              </a:p>
            </c:rich>
          </c:tx>
          <c:layout>
            <c:manualLayout>
              <c:xMode val="edge"/>
              <c:yMode val="edge"/>
              <c:x val="3.0514128026546128E-2"/>
              <c:y val="0.36102304111011058"/>
            </c:manualLayout>
          </c:layout>
          <c:overlay val="0"/>
          <c:spPr>
            <a:noFill/>
            <a:ln w="25400">
              <a:noFill/>
            </a:ln>
          </c:spPr>
        </c:title>
        <c:numFmt formatCode="0" sourceLinked="1"/>
        <c:majorTickMark val="out"/>
        <c:minorTickMark val="none"/>
        <c:tickLblPos val="nextTo"/>
        <c:spPr>
          <a:ln w="3175">
            <a:solidFill>
              <a:srgbClr val="99CC00"/>
            </a:solidFill>
            <a:prstDash val="solid"/>
          </a:ln>
        </c:spPr>
        <c:txPr>
          <a:bodyPr rot="0" vert="horz"/>
          <a:lstStyle/>
          <a:p>
            <a:pPr>
              <a:defRPr sz="975" b="0" i="0" u="none" strike="noStrike" baseline="0">
                <a:solidFill>
                  <a:srgbClr val="000000"/>
                </a:solidFill>
                <a:latin typeface="MathSoftText"/>
                <a:ea typeface="MathSoftText"/>
                <a:cs typeface="MathSoftText"/>
              </a:defRPr>
            </a:pPr>
            <a:endParaRPr lang="en-US"/>
          </a:p>
        </c:txPr>
        <c:crossAx val="855926335"/>
        <c:crosses val="autoZero"/>
        <c:crossBetween val="between"/>
      </c:valAx>
      <c:spPr>
        <a:noFill/>
        <a:ln w="12700">
          <a:solidFill>
            <a:srgbClr val="99CC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975" b="0" i="0" u="none" strike="noStrike" baseline="0">
          <a:solidFill>
            <a:srgbClr val="000000"/>
          </a:solidFill>
          <a:latin typeface="MathSoftText"/>
          <a:ea typeface="MathSoftText"/>
          <a:cs typeface="MathSoftText"/>
        </a:defRPr>
      </a:pPr>
      <a:endParaRPr lang="en-US"/>
    </a:p>
  </c:txPr>
  <c:printSettings>
    <c:headerFooter alignWithMargins="0"/>
    <c:pageMargins b="1" l="0.75" r="0.75" t="1" header="0.5" footer="0.5"/>
    <c:pageSetup orientation="landscape" horizontalDpi="355" verticalDpi="355"/>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0" i="0" u="none" strike="noStrike" baseline="0">
                <a:solidFill>
                  <a:srgbClr val="000000"/>
                </a:solidFill>
                <a:latin typeface="MathSoftText"/>
                <a:ea typeface="MathSoftText"/>
                <a:cs typeface="MathSoftText"/>
              </a:defRPr>
            </a:pPr>
            <a:r>
              <a:rPr lang="en-GB"/>
              <a:t>Lens 25 Rogowski and Bdot vs Pot</a:t>
            </a:r>
          </a:p>
        </c:rich>
      </c:tx>
      <c:layout>
        <c:manualLayout>
          <c:xMode val="edge"/>
          <c:yMode val="edge"/>
          <c:x val="0.24365531510444405"/>
          <c:y val="3.9165689224335762E-2"/>
        </c:manualLayout>
      </c:layout>
      <c:overlay val="0"/>
      <c:spPr>
        <a:noFill/>
        <a:ln w="25400">
          <a:noFill/>
        </a:ln>
      </c:spPr>
    </c:title>
    <c:autoTitleDeleted val="0"/>
    <c:plotArea>
      <c:layout>
        <c:manualLayout>
          <c:layoutTarget val="inner"/>
          <c:xMode val="edge"/>
          <c:yMode val="edge"/>
          <c:x val="0.18087296397323763"/>
          <c:y val="0.27938191646692845"/>
          <c:w val="0.40958010023691821"/>
          <c:h val="0.43082258146769342"/>
        </c:manualLayout>
      </c:layout>
      <c:scatterChart>
        <c:scatterStyle val="lineMarker"/>
        <c:varyColors val="0"/>
        <c:ser>
          <c:idx val="1"/>
          <c:order val="1"/>
          <c:tx>
            <c:v>bdot vs pot</c:v>
          </c:tx>
          <c:spPr>
            <a:ln w="19050">
              <a:noFill/>
            </a:ln>
          </c:spPr>
          <c:marker>
            <c:symbol val="square"/>
            <c:size val="5"/>
            <c:spPr>
              <a:solidFill>
                <a:srgbClr val="339966"/>
              </a:solidFill>
              <a:ln>
                <a:solidFill>
                  <a:srgbClr val="339966"/>
                </a:solidFill>
                <a:prstDash val="solid"/>
              </a:ln>
            </c:spPr>
          </c:marker>
          <c:trendline>
            <c:spPr>
              <a:ln w="12700">
                <a:solidFill>
                  <a:srgbClr val="339966"/>
                </a:solidFill>
                <a:prstDash val="solid"/>
              </a:ln>
            </c:spPr>
            <c:trendlineType val="linear"/>
            <c:dispRSqr val="1"/>
            <c:dispEq val="1"/>
            <c:trendlineLbl>
              <c:layout>
                <c:manualLayout>
                  <c:xMode val="edge"/>
                  <c:yMode val="edge"/>
                  <c:x val="0.69509031609549987"/>
                  <c:y val="0.56920801672701316"/>
                </c:manualLayout>
              </c:layout>
              <c:numFmt formatCode="General" sourceLinked="0"/>
              <c:spPr>
                <a:noFill/>
                <a:ln w="25400">
                  <a:noFill/>
                </a:ln>
              </c:spPr>
              <c:txPr>
                <a:bodyPr/>
                <a:lstStyle/>
                <a:p>
                  <a:pPr>
                    <a:defRPr sz="900" b="0" i="0" u="none" strike="noStrike" baseline="0">
                      <a:solidFill>
                        <a:srgbClr val="339966"/>
                      </a:solidFill>
                      <a:latin typeface="MathSoftText"/>
                      <a:ea typeface="MathSoftText"/>
                      <a:cs typeface="MathSoftText"/>
                    </a:defRPr>
                  </a:pPr>
                  <a:endParaRPr lang="en-US"/>
                </a:p>
              </c:txPr>
            </c:trendlineLbl>
          </c:trendline>
          <c:xVal>
            <c:numRef>
              <c:f>'Lens 25'!$A$7:$A$21</c:f>
              <c:numCache>
                <c:formatCode>General</c:formatCode>
                <c:ptCount val="15"/>
                <c:pt idx="0">
                  <c:v>0</c:v>
                </c:pt>
                <c:pt idx="1">
                  <c:v>0</c:v>
                </c:pt>
                <c:pt idx="2">
                  <c:v>0</c:v>
                </c:pt>
                <c:pt idx="3">
                  <c:v>1.5</c:v>
                </c:pt>
                <c:pt idx="4">
                  <c:v>1.5</c:v>
                </c:pt>
                <c:pt idx="5">
                  <c:v>2</c:v>
                </c:pt>
                <c:pt idx="6">
                  <c:v>2</c:v>
                </c:pt>
                <c:pt idx="7">
                  <c:v>2.5</c:v>
                </c:pt>
                <c:pt idx="8">
                  <c:v>2.5</c:v>
                </c:pt>
                <c:pt idx="9">
                  <c:v>3</c:v>
                </c:pt>
                <c:pt idx="10">
                  <c:v>3</c:v>
                </c:pt>
                <c:pt idx="11">
                  <c:v>3.5</c:v>
                </c:pt>
                <c:pt idx="12">
                  <c:v>3.5</c:v>
                </c:pt>
                <c:pt idx="13">
                  <c:v>4.6500000000000004</c:v>
                </c:pt>
                <c:pt idx="14">
                  <c:v>4.6500000000000004</c:v>
                </c:pt>
              </c:numCache>
            </c:numRef>
          </c:xVal>
          <c:yVal>
            <c:numRef>
              <c:f>'Lens 25'!$D$7:$D$21</c:f>
              <c:numCache>
                <c:formatCode>0.00</c:formatCode>
                <c:ptCount val="15"/>
                <c:pt idx="0">
                  <c:v>2.5</c:v>
                </c:pt>
                <c:pt idx="1">
                  <c:v>2.6</c:v>
                </c:pt>
                <c:pt idx="2">
                  <c:v>2.6</c:v>
                </c:pt>
                <c:pt idx="3">
                  <c:v>3.28</c:v>
                </c:pt>
                <c:pt idx="4">
                  <c:v>3.28</c:v>
                </c:pt>
                <c:pt idx="5">
                  <c:v>3.56</c:v>
                </c:pt>
                <c:pt idx="6">
                  <c:v>3.56</c:v>
                </c:pt>
                <c:pt idx="7">
                  <c:v>3.76</c:v>
                </c:pt>
                <c:pt idx="8">
                  <c:v>3.76</c:v>
                </c:pt>
                <c:pt idx="9">
                  <c:v>3.92</c:v>
                </c:pt>
                <c:pt idx="10">
                  <c:v>3.92</c:v>
                </c:pt>
                <c:pt idx="11" formatCode="General">
                  <c:v>4.16</c:v>
                </c:pt>
                <c:pt idx="12" formatCode="General">
                  <c:v>4.16</c:v>
                </c:pt>
                <c:pt idx="13" formatCode="General">
                  <c:v>4.72</c:v>
                </c:pt>
                <c:pt idx="14" formatCode="General">
                  <c:v>4.72</c:v>
                </c:pt>
              </c:numCache>
            </c:numRef>
          </c:yVal>
          <c:smooth val="0"/>
          <c:extLst>
            <c:ext xmlns:c16="http://schemas.microsoft.com/office/drawing/2014/chart" uri="{C3380CC4-5D6E-409C-BE32-E72D297353CC}">
              <c16:uniqueId val="{00000001-51A7-4BB8-8662-106F621650D4}"/>
            </c:ext>
          </c:extLst>
        </c:ser>
        <c:dLbls>
          <c:showLegendKey val="0"/>
          <c:showVal val="0"/>
          <c:showCatName val="0"/>
          <c:showSerName val="0"/>
          <c:showPercent val="0"/>
          <c:showBubbleSize val="0"/>
        </c:dLbls>
        <c:axId val="1070209487"/>
        <c:axId val="1"/>
      </c:scatterChart>
      <c:scatterChart>
        <c:scatterStyle val="lineMarker"/>
        <c:varyColors val="0"/>
        <c:ser>
          <c:idx val="0"/>
          <c:order val="0"/>
          <c:tx>
            <c:v>rog vs pot</c:v>
          </c:tx>
          <c:spPr>
            <a:ln w="19050">
              <a:noFill/>
            </a:ln>
          </c:spPr>
          <c:marker>
            <c:symbol val="diamond"/>
            <c:size val="5"/>
            <c:spPr>
              <a:solidFill>
                <a:srgbClr val="FF0000"/>
              </a:solidFill>
              <a:ln>
                <a:solidFill>
                  <a:srgbClr val="FF0000"/>
                </a:solidFill>
                <a:prstDash val="solid"/>
              </a:ln>
            </c:spPr>
          </c:marker>
          <c:trendline>
            <c:spPr>
              <a:ln w="12700">
                <a:solidFill>
                  <a:srgbClr val="FF0000"/>
                </a:solidFill>
                <a:prstDash val="solid"/>
              </a:ln>
            </c:spPr>
            <c:trendlineType val="linear"/>
            <c:dispRSqr val="1"/>
            <c:dispEq val="1"/>
            <c:trendlineLbl>
              <c:layout>
                <c:manualLayout>
                  <c:xMode val="edge"/>
                  <c:yMode val="edge"/>
                  <c:x val="0.68911104455919459"/>
                  <c:y val="0.79636901422816053"/>
                </c:manualLayout>
              </c:layout>
              <c:numFmt formatCode="General" sourceLinked="0"/>
              <c:spPr>
                <a:noFill/>
                <a:ln w="25400">
                  <a:noFill/>
                </a:ln>
              </c:spPr>
              <c:txPr>
                <a:bodyPr/>
                <a:lstStyle/>
                <a:p>
                  <a:pPr>
                    <a:defRPr sz="900" b="0" i="0" u="none" strike="noStrike" baseline="0">
                      <a:solidFill>
                        <a:srgbClr val="FF0000"/>
                      </a:solidFill>
                      <a:latin typeface="MathSoftText"/>
                      <a:ea typeface="MathSoftText"/>
                      <a:cs typeface="MathSoftText"/>
                    </a:defRPr>
                  </a:pPr>
                  <a:endParaRPr lang="en-US"/>
                </a:p>
              </c:txPr>
            </c:trendlineLbl>
          </c:trendline>
          <c:xVal>
            <c:numRef>
              <c:f>'Lens 25'!$A$7:$A$21</c:f>
              <c:numCache>
                <c:formatCode>General</c:formatCode>
                <c:ptCount val="15"/>
                <c:pt idx="0">
                  <c:v>0</c:v>
                </c:pt>
                <c:pt idx="1">
                  <c:v>0</c:v>
                </c:pt>
                <c:pt idx="2">
                  <c:v>0</c:v>
                </c:pt>
                <c:pt idx="3">
                  <c:v>1.5</c:v>
                </c:pt>
                <c:pt idx="4">
                  <c:v>1.5</c:v>
                </c:pt>
                <c:pt idx="5">
                  <c:v>2</c:v>
                </c:pt>
                <c:pt idx="6">
                  <c:v>2</c:v>
                </c:pt>
                <c:pt idx="7">
                  <c:v>2.5</c:v>
                </c:pt>
                <c:pt idx="8">
                  <c:v>2.5</c:v>
                </c:pt>
                <c:pt idx="9">
                  <c:v>3</c:v>
                </c:pt>
                <c:pt idx="10">
                  <c:v>3</c:v>
                </c:pt>
                <c:pt idx="11">
                  <c:v>3.5</c:v>
                </c:pt>
                <c:pt idx="12">
                  <c:v>3.5</c:v>
                </c:pt>
                <c:pt idx="13">
                  <c:v>4.6500000000000004</c:v>
                </c:pt>
                <c:pt idx="14">
                  <c:v>4.6500000000000004</c:v>
                </c:pt>
              </c:numCache>
            </c:numRef>
          </c:xVal>
          <c:yVal>
            <c:numRef>
              <c:f>'Lens 25'!$C$7:$C$21</c:f>
              <c:numCache>
                <c:formatCode>0.000</c:formatCode>
                <c:ptCount val="15"/>
                <c:pt idx="0" formatCode="General">
                  <c:v>0.33200000000000002</c:v>
                </c:pt>
                <c:pt idx="1">
                  <c:v>0.33600000000000002</c:v>
                </c:pt>
                <c:pt idx="2">
                  <c:v>0.32800000000000001</c:v>
                </c:pt>
                <c:pt idx="3">
                  <c:v>0.42399999999999999</c:v>
                </c:pt>
                <c:pt idx="4">
                  <c:v>0.42399999999999999</c:v>
                </c:pt>
                <c:pt idx="5">
                  <c:v>0.44800000000000001</c:v>
                </c:pt>
                <c:pt idx="6">
                  <c:v>0.44800000000000001</c:v>
                </c:pt>
                <c:pt idx="7">
                  <c:v>0.48</c:v>
                </c:pt>
                <c:pt idx="8">
                  <c:v>0.48</c:v>
                </c:pt>
                <c:pt idx="9">
                  <c:v>0.504</c:v>
                </c:pt>
                <c:pt idx="10">
                  <c:v>0.504</c:v>
                </c:pt>
                <c:pt idx="11">
                  <c:v>0.52800000000000002</c:v>
                </c:pt>
                <c:pt idx="12">
                  <c:v>0.52800000000000002</c:v>
                </c:pt>
                <c:pt idx="13" formatCode="General">
                  <c:v>0.6</c:v>
                </c:pt>
                <c:pt idx="14" formatCode="General">
                  <c:v>0.6</c:v>
                </c:pt>
              </c:numCache>
            </c:numRef>
          </c:yVal>
          <c:smooth val="0"/>
          <c:extLst>
            <c:ext xmlns:c16="http://schemas.microsoft.com/office/drawing/2014/chart" uri="{C3380CC4-5D6E-409C-BE32-E72D297353CC}">
              <c16:uniqueId val="{00000003-51A7-4BB8-8662-106F621650D4}"/>
            </c:ext>
          </c:extLst>
        </c:ser>
        <c:dLbls>
          <c:showLegendKey val="0"/>
          <c:showVal val="0"/>
          <c:showCatName val="0"/>
          <c:showSerName val="0"/>
          <c:showPercent val="0"/>
          <c:showBubbleSize val="0"/>
        </c:dLbls>
        <c:axId val="3"/>
        <c:axId val="4"/>
      </c:scatterChart>
      <c:valAx>
        <c:axId val="1070209487"/>
        <c:scaling>
          <c:orientation val="minMax"/>
        </c:scaling>
        <c:delete val="0"/>
        <c:axPos val="b"/>
        <c:title>
          <c:tx>
            <c:rich>
              <a:bodyPr/>
              <a:lstStyle/>
              <a:p>
                <a:pPr>
                  <a:defRPr sz="900" b="0" i="0" u="none" strike="noStrike" baseline="0">
                    <a:solidFill>
                      <a:srgbClr val="000000"/>
                    </a:solidFill>
                    <a:latin typeface="MathSoftText"/>
                    <a:ea typeface="MathSoftText"/>
                    <a:cs typeface="MathSoftText"/>
                  </a:defRPr>
                </a:pPr>
                <a:r>
                  <a:rPr lang="en-GB"/>
                  <a:t>pot setting</a:t>
                </a:r>
              </a:p>
            </c:rich>
          </c:tx>
          <c:layout>
            <c:manualLayout>
              <c:xMode val="edge"/>
              <c:yMode val="edge"/>
              <c:x val="0.31989102719233758"/>
              <c:y val="0.82247947371105101"/>
            </c:manualLayout>
          </c:layout>
          <c:overlay val="0"/>
          <c:spPr>
            <a:noFill/>
            <a:ln w="25400">
              <a:noFill/>
            </a:ln>
          </c:spPr>
        </c:title>
        <c:numFmt formatCode="General" sourceLinked="1"/>
        <c:majorTickMark val="out"/>
        <c:minorTickMark val="none"/>
        <c:tickLblPos val="nextTo"/>
        <c:spPr>
          <a:ln w="3175">
            <a:solidFill>
              <a:srgbClr val="99CC00"/>
            </a:solidFill>
            <a:prstDash val="solid"/>
          </a:ln>
        </c:spPr>
        <c:txPr>
          <a:bodyPr rot="0" vert="horz"/>
          <a:lstStyle/>
          <a:p>
            <a:pPr>
              <a:defRPr sz="900" b="0" i="0" u="none" strike="noStrike" baseline="0">
                <a:solidFill>
                  <a:srgbClr val="000000"/>
                </a:solidFill>
                <a:latin typeface="MathSoftText"/>
                <a:ea typeface="MathSoftText"/>
                <a:cs typeface="MathSoftText"/>
              </a:defRPr>
            </a:pPr>
            <a:endParaRPr lang="en-US"/>
          </a:p>
        </c:txPr>
        <c:crossAx val="1"/>
        <c:crosses val="autoZero"/>
        <c:crossBetween val="midCat"/>
      </c:valAx>
      <c:valAx>
        <c:axId val="1"/>
        <c:scaling>
          <c:orientation val="minMax"/>
        </c:scaling>
        <c:delete val="0"/>
        <c:axPos val="l"/>
        <c:majorGridlines>
          <c:spPr>
            <a:ln w="3175">
              <a:solidFill>
                <a:srgbClr val="99CC00"/>
              </a:solidFill>
              <a:prstDash val="solid"/>
            </a:ln>
          </c:spPr>
        </c:majorGridlines>
        <c:title>
          <c:tx>
            <c:rich>
              <a:bodyPr/>
              <a:lstStyle/>
              <a:p>
                <a:pPr>
                  <a:defRPr sz="900" b="0" i="0" u="none" strike="noStrike" baseline="0">
                    <a:solidFill>
                      <a:srgbClr val="000000"/>
                    </a:solidFill>
                    <a:latin typeface="MathSoftText"/>
                    <a:ea typeface="MathSoftText"/>
                    <a:cs typeface="MathSoftText"/>
                  </a:defRPr>
                </a:pPr>
                <a:r>
                  <a:rPr lang="en-GB"/>
                  <a:t>bdot (volts)</a:t>
                </a:r>
              </a:p>
            </c:rich>
          </c:tx>
          <c:layout>
            <c:manualLayout>
              <c:xMode val="edge"/>
              <c:yMode val="edge"/>
              <c:x val="5.5308261710824723E-2"/>
              <c:y val="0.37076852465704524"/>
            </c:manualLayout>
          </c:layout>
          <c:overlay val="0"/>
          <c:spPr>
            <a:noFill/>
            <a:ln w="25400">
              <a:noFill/>
            </a:ln>
          </c:spPr>
        </c:title>
        <c:numFmt formatCode="0.00" sourceLinked="1"/>
        <c:majorTickMark val="out"/>
        <c:minorTickMark val="none"/>
        <c:tickLblPos val="nextTo"/>
        <c:spPr>
          <a:ln w="3175">
            <a:solidFill>
              <a:srgbClr val="99CC00"/>
            </a:solidFill>
            <a:prstDash val="solid"/>
          </a:ln>
        </c:spPr>
        <c:txPr>
          <a:bodyPr rot="0" vert="horz"/>
          <a:lstStyle/>
          <a:p>
            <a:pPr>
              <a:defRPr sz="900" b="0" i="0" u="none" strike="noStrike" baseline="0">
                <a:solidFill>
                  <a:srgbClr val="000000"/>
                </a:solidFill>
                <a:latin typeface="MathSoftText"/>
                <a:ea typeface="MathSoftText"/>
                <a:cs typeface="MathSoftText"/>
              </a:defRPr>
            </a:pPr>
            <a:endParaRPr lang="en-US"/>
          </a:p>
        </c:txPr>
        <c:crossAx val="1070209487"/>
        <c:crosses val="autoZero"/>
        <c:crossBetween val="midCat"/>
      </c:valAx>
      <c:valAx>
        <c:axId val="3"/>
        <c:scaling>
          <c:orientation val="minMax"/>
        </c:scaling>
        <c:delete val="1"/>
        <c:axPos val="b"/>
        <c:numFmt formatCode="General" sourceLinked="1"/>
        <c:majorTickMark val="out"/>
        <c:minorTickMark val="none"/>
        <c:tickLblPos val="nextTo"/>
        <c:crossAx val="4"/>
        <c:crosses val="autoZero"/>
        <c:crossBetween val="midCat"/>
      </c:valAx>
      <c:valAx>
        <c:axId val="4"/>
        <c:scaling>
          <c:orientation val="minMax"/>
        </c:scaling>
        <c:delete val="0"/>
        <c:axPos val="r"/>
        <c:numFmt formatCode="General" sourceLinked="1"/>
        <c:majorTickMark val="out"/>
        <c:minorTickMark val="none"/>
        <c:tickLblPos val="nextTo"/>
        <c:spPr>
          <a:ln w="3175">
            <a:solidFill>
              <a:srgbClr val="99CC00"/>
            </a:solidFill>
            <a:prstDash val="solid"/>
          </a:ln>
        </c:spPr>
        <c:txPr>
          <a:bodyPr rot="0" vert="horz"/>
          <a:lstStyle/>
          <a:p>
            <a:pPr>
              <a:defRPr sz="900" b="0" i="0" u="none" strike="noStrike" baseline="0">
                <a:solidFill>
                  <a:srgbClr val="000000"/>
                </a:solidFill>
                <a:latin typeface="MathSoftText"/>
                <a:ea typeface="MathSoftText"/>
                <a:cs typeface="MathSoftText"/>
              </a:defRPr>
            </a:pPr>
            <a:endParaRPr lang="en-US"/>
          </a:p>
        </c:txPr>
        <c:crossAx val="3"/>
        <c:crosses val="max"/>
        <c:crossBetween val="midCat"/>
      </c:valAx>
      <c:spPr>
        <a:noFill/>
        <a:ln w="12700">
          <a:solidFill>
            <a:srgbClr val="99CC00"/>
          </a:solidFill>
          <a:prstDash val="solid"/>
        </a:ln>
      </c:spPr>
    </c:plotArea>
    <c:legend>
      <c:legendPos val="r"/>
      <c:layout>
        <c:manualLayout>
          <c:xMode val="edge"/>
          <c:yMode val="edge"/>
          <c:x val="0.66668877629804935"/>
          <c:y val="0.20888367586312406"/>
          <c:w val="0.31391175565603224"/>
          <c:h val="0.28460400836350658"/>
        </c:manualLayout>
      </c:layout>
      <c:overlay val="0"/>
      <c:spPr>
        <a:solidFill>
          <a:srgbClr val="FFFFFF"/>
        </a:solidFill>
        <a:ln w="3175">
          <a:solidFill>
            <a:srgbClr val="000000"/>
          </a:solidFill>
          <a:prstDash val="solid"/>
        </a:ln>
      </c:spPr>
      <c:txPr>
        <a:bodyPr/>
        <a:lstStyle/>
        <a:p>
          <a:pPr>
            <a:defRPr sz="825" b="0" i="0" u="none" strike="noStrike" baseline="0">
              <a:solidFill>
                <a:srgbClr val="000000"/>
              </a:solidFill>
              <a:latin typeface="MathSoftText"/>
              <a:ea typeface="MathSoftText"/>
              <a:cs typeface="MathSoftText"/>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900" b="0" i="0" u="none" strike="noStrike" baseline="0">
          <a:solidFill>
            <a:srgbClr val="000000"/>
          </a:solidFill>
          <a:latin typeface="MathSoftText"/>
          <a:ea typeface="MathSoftText"/>
          <a:cs typeface="MathSoftText"/>
        </a:defRPr>
      </a:pPr>
      <a:endParaRPr lang="en-US"/>
    </a:p>
  </c:txPr>
  <c:printSettings>
    <c:headerFooter alignWithMargins="0"/>
    <c:pageMargins b="1" l="0.75" r="0.75" t="1" header="0.5" footer="0.5"/>
    <c:pageSetup orientation="landscape" horizontalDpi="355" verticalDpi="355"/>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0" i="0" u="none" strike="noStrike" baseline="0">
                <a:solidFill>
                  <a:srgbClr val="000000"/>
                </a:solidFill>
                <a:latin typeface="MathSoftText"/>
                <a:ea typeface="MathSoftText"/>
                <a:cs typeface="MathSoftText"/>
              </a:defRPr>
            </a:pPr>
            <a:r>
              <a:rPr lang="en-GB"/>
              <a:t>Lens 25 Bdot vs Rogowski</a:t>
            </a:r>
          </a:p>
        </c:rich>
      </c:tx>
      <c:layout>
        <c:manualLayout>
          <c:xMode val="edge"/>
          <c:yMode val="edge"/>
          <c:x val="0.3094273020038032"/>
          <c:y val="4.1900827207167333E-2"/>
        </c:manualLayout>
      </c:layout>
      <c:overlay val="0"/>
      <c:spPr>
        <a:noFill/>
        <a:ln w="25400">
          <a:noFill/>
        </a:ln>
      </c:spPr>
    </c:title>
    <c:autoTitleDeleted val="0"/>
    <c:plotArea>
      <c:layout>
        <c:manualLayout>
          <c:layoutTarget val="inner"/>
          <c:xMode val="edge"/>
          <c:yMode val="edge"/>
          <c:x val="0.14350251687132901"/>
          <c:y val="0.24302479780157052"/>
          <c:w val="0.79673793221269129"/>
          <c:h val="0.4916363725640967"/>
        </c:manualLayout>
      </c:layout>
      <c:scatterChart>
        <c:scatterStyle val="lineMarker"/>
        <c:varyColors val="0"/>
        <c:ser>
          <c:idx val="0"/>
          <c:order val="0"/>
          <c:spPr>
            <a:ln w="19050">
              <a:noFill/>
            </a:ln>
          </c:spPr>
          <c:marker>
            <c:symbol val="diamond"/>
            <c:size val="5"/>
            <c:spPr>
              <a:solidFill>
                <a:srgbClr val="FF0000"/>
              </a:solidFill>
              <a:ln>
                <a:solidFill>
                  <a:srgbClr val="FF0000"/>
                </a:solidFill>
                <a:prstDash val="solid"/>
              </a:ln>
            </c:spPr>
          </c:marker>
          <c:trendline>
            <c:spPr>
              <a:ln w="3175">
                <a:solidFill>
                  <a:srgbClr val="FF0000"/>
                </a:solidFill>
                <a:prstDash val="solid"/>
              </a:ln>
            </c:spPr>
            <c:trendlineType val="linear"/>
            <c:dispRSqr val="1"/>
            <c:dispEq val="1"/>
            <c:trendlineLbl>
              <c:layout>
                <c:manualLayout>
                  <c:xMode val="edge"/>
                  <c:yMode val="edge"/>
                  <c:x val="0.72797630954517945"/>
                  <c:y val="2.2347107843822579E-2"/>
                </c:manualLayout>
              </c:layout>
              <c:numFmt formatCode="General" sourceLinked="0"/>
              <c:spPr>
                <a:noFill/>
                <a:ln w="25400">
                  <a:noFill/>
                </a:ln>
              </c:spPr>
              <c:txPr>
                <a:bodyPr/>
                <a:lstStyle/>
                <a:p>
                  <a:pPr>
                    <a:defRPr sz="875" b="0" i="0" u="none" strike="noStrike" baseline="0">
                      <a:solidFill>
                        <a:srgbClr val="FF0000"/>
                      </a:solidFill>
                      <a:latin typeface="MathSoftText"/>
                      <a:ea typeface="MathSoftText"/>
                      <a:cs typeface="MathSoftText"/>
                    </a:defRPr>
                  </a:pPr>
                  <a:endParaRPr lang="en-US"/>
                </a:p>
              </c:txPr>
            </c:trendlineLbl>
          </c:trendline>
          <c:xVal>
            <c:numRef>
              <c:f>'Lens 25'!$D$7:$D$21</c:f>
              <c:numCache>
                <c:formatCode>0.00</c:formatCode>
                <c:ptCount val="15"/>
                <c:pt idx="0">
                  <c:v>2.5</c:v>
                </c:pt>
                <c:pt idx="1">
                  <c:v>2.6</c:v>
                </c:pt>
                <c:pt idx="2">
                  <c:v>2.6</c:v>
                </c:pt>
                <c:pt idx="3">
                  <c:v>3.28</c:v>
                </c:pt>
                <c:pt idx="4">
                  <c:v>3.28</c:v>
                </c:pt>
                <c:pt idx="5">
                  <c:v>3.56</c:v>
                </c:pt>
                <c:pt idx="6">
                  <c:v>3.56</c:v>
                </c:pt>
                <c:pt idx="7">
                  <c:v>3.76</c:v>
                </c:pt>
                <c:pt idx="8">
                  <c:v>3.76</c:v>
                </c:pt>
                <c:pt idx="9">
                  <c:v>3.92</c:v>
                </c:pt>
                <c:pt idx="10">
                  <c:v>3.92</c:v>
                </c:pt>
                <c:pt idx="11" formatCode="General">
                  <c:v>4.16</c:v>
                </c:pt>
                <c:pt idx="12" formatCode="General">
                  <c:v>4.16</c:v>
                </c:pt>
                <c:pt idx="13" formatCode="General">
                  <c:v>4.72</c:v>
                </c:pt>
                <c:pt idx="14" formatCode="General">
                  <c:v>4.72</c:v>
                </c:pt>
              </c:numCache>
            </c:numRef>
          </c:xVal>
          <c:yVal>
            <c:numRef>
              <c:f>'Lens 25'!$C$7:$C$21</c:f>
              <c:numCache>
                <c:formatCode>0.000</c:formatCode>
                <c:ptCount val="15"/>
                <c:pt idx="0" formatCode="General">
                  <c:v>0.33200000000000002</c:v>
                </c:pt>
                <c:pt idx="1">
                  <c:v>0.33600000000000002</c:v>
                </c:pt>
                <c:pt idx="2">
                  <c:v>0.32800000000000001</c:v>
                </c:pt>
                <c:pt idx="3">
                  <c:v>0.42399999999999999</c:v>
                </c:pt>
                <c:pt idx="4">
                  <c:v>0.42399999999999999</c:v>
                </c:pt>
                <c:pt idx="5">
                  <c:v>0.44800000000000001</c:v>
                </c:pt>
                <c:pt idx="6">
                  <c:v>0.44800000000000001</c:v>
                </c:pt>
                <c:pt idx="7">
                  <c:v>0.48</c:v>
                </c:pt>
                <c:pt idx="8">
                  <c:v>0.48</c:v>
                </c:pt>
                <c:pt idx="9">
                  <c:v>0.504</c:v>
                </c:pt>
                <c:pt idx="10">
                  <c:v>0.504</c:v>
                </c:pt>
                <c:pt idx="11">
                  <c:v>0.52800000000000002</c:v>
                </c:pt>
                <c:pt idx="12">
                  <c:v>0.52800000000000002</c:v>
                </c:pt>
                <c:pt idx="13" formatCode="General">
                  <c:v>0.6</c:v>
                </c:pt>
                <c:pt idx="14" formatCode="General">
                  <c:v>0.6</c:v>
                </c:pt>
              </c:numCache>
            </c:numRef>
          </c:yVal>
          <c:smooth val="0"/>
          <c:extLst>
            <c:ext xmlns:c16="http://schemas.microsoft.com/office/drawing/2014/chart" uri="{C3380CC4-5D6E-409C-BE32-E72D297353CC}">
              <c16:uniqueId val="{00000001-43DC-4CA6-A53C-1263FDD7E4C5}"/>
            </c:ext>
          </c:extLst>
        </c:ser>
        <c:dLbls>
          <c:showLegendKey val="0"/>
          <c:showVal val="0"/>
          <c:showCatName val="0"/>
          <c:showSerName val="0"/>
          <c:showPercent val="0"/>
          <c:showBubbleSize val="0"/>
        </c:dLbls>
        <c:axId val="1070211151"/>
        <c:axId val="1"/>
      </c:scatterChart>
      <c:valAx>
        <c:axId val="1070211151"/>
        <c:scaling>
          <c:orientation val="minMax"/>
          <c:max val="5"/>
          <c:min val="2.5"/>
        </c:scaling>
        <c:delete val="0"/>
        <c:axPos val="b"/>
        <c:title>
          <c:tx>
            <c:rich>
              <a:bodyPr/>
              <a:lstStyle/>
              <a:p>
                <a:pPr>
                  <a:defRPr sz="875" b="0" i="0" u="none" strike="noStrike" baseline="0">
                    <a:solidFill>
                      <a:srgbClr val="000000"/>
                    </a:solidFill>
                    <a:latin typeface="MathSoftText"/>
                    <a:ea typeface="MathSoftText"/>
                    <a:cs typeface="MathSoftText"/>
                  </a:defRPr>
                </a:pPr>
                <a:r>
                  <a:rPr lang="en-GB"/>
                  <a:t>Bdot (volts)</a:t>
                </a:r>
              </a:p>
            </c:rich>
          </c:tx>
          <c:layout>
            <c:manualLayout>
              <c:xMode val="edge"/>
              <c:yMode val="edge"/>
              <c:x val="0.46937281559997202"/>
              <c:y val="0.85477687502621358"/>
            </c:manualLayout>
          </c:layout>
          <c:overlay val="0"/>
          <c:spPr>
            <a:noFill/>
            <a:ln w="25400">
              <a:noFill/>
            </a:ln>
          </c:spPr>
        </c:title>
        <c:numFmt formatCode="0.00" sourceLinked="1"/>
        <c:majorTickMark val="out"/>
        <c:minorTickMark val="none"/>
        <c:tickLblPos val="nextTo"/>
        <c:spPr>
          <a:ln w="3175">
            <a:solidFill>
              <a:srgbClr val="99CC00"/>
            </a:solidFill>
            <a:prstDash val="solid"/>
          </a:ln>
        </c:spPr>
        <c:txPr>
          <a:bodyPr rot="0" vert="horz"/>
          <a:lstStyle/>
          <a:p>
            <a:pPr>
              <a:defRPr sz="875" b="0" i="0" u="none" strike="noStrike" baseline="0">
                <a:solidFill>
                  <a:srgbClr val="000000"/>
                </a:solidFill>
                <a:latin typeface="MathSoftText"/>
                <a:ea typeface="MathSoftText"/>
                <a:cs typeface="MathSoftText"/>
              </a:defRPr>
            </a:pPr>
            <a:endParaRPr lang="en-US"/>
          </a:p>
        </c:txPr>
        <c:crossAx val="1"/>
        <c:crosses val="autoZero"/>
        <c:crossBetween val="midCat"/>
        <c:minorUnit val="0.1"/>
      </c:valAx>
      <c:valAx>
        <c:axId val="1"/>
        <c:scaling>
          <c:orientation val="minMax"/>
        </c:scaling>
        <c:delete val="0"/>
        <c:axPos val="l"/>
        <c:majorGridlines>
          <c:spPr>
            <a:ln w="3175">
              <a:solidFill>
                <a:srgbClr val="99CC00"/>
              </a:solidFill>
              <a:prstDash val="solid"/>
            </a:ln>
          </c:spPr>
        </c:majorGridlines>
        <c:title>
          <c:tx>
            <c:rich>
              <a:bodyPr/>
              <a:lstStyle/>
              <a:p>
                <a:pPr>
                  <a:defRPr sz="875" b="0" i="0" u="none" strike="noStrike" baseline="0">
                    <a:solidFill>
                      <a:srgbClr val="000000"/>
                    </a:solidFill>
                    <a:latin typeface="MathSoftText"/>
                    <a:ea typeface="MathSoftText"/>
                    <a:cs typeface="MathSoftText"/>
                  </a:defRPr>
                </a:pPr>
                <a:r>
                  <a:rPr lang="en-GB"/>
                  <a:t>Rogowski (volts)</a:t>
                </a:r>
              </a:p>
            </c:rich>
          </c:tx>
          <c:layout>
            <c:manualLayout>
              <c:xMode val="edge"/>
              <c:yMode val="edge"/>
              <c:x val="3.2885993449679567E-2"/>
              <c:y val="0.29609917893064913"/>
            </c:manualLayout>
          </c:layout>
          <c:overlay val="0"/>
          <c:spPr>
            <a:noFill/>
            <a:ln w="25400">
              <a:noFill/>
            </a:ln>
          </c:spPr>
        </c:title>
        <c:numFmt formatCode="General" sourceLinked="1"/>
        <c:majorTickMark val="out"/>
        <c:minorTickMark val="none"/>
        <c:tickLblPos val="nextTo"/>
        <c:spPr>
          <a:ln w="3175">
            <a:solidFill>
              <a:srgbClr val="99CC00"/>
            </a:solidFill>
            <a:prstDash val="solid"/>
          </a:ln>
        </c:spPr>
        <c:txPr>
          <a:bodyPr rot="0" vert="horz"/>
          <a:lstStyle/>
          <a:p>
            <a:pPr>
              <a:defRPr sz="875" b="0" i="0" u="none" strike="noStrike" baseline="0">
                <a:solidFill>
                  <a:srgbClr val="000000"/>
                </a:solidFill>
                <a:latin typeface="MathSoftText"/>
                <a:ea typeface="MathSoftText"/>
                <a:cs typeface="MathSoftText"/>
              </a:defRPr>
            </a:pPr>
            <a:endParaRPr lang="en-US"/>
          </a:p>
        </c:txPr>
        <c:crossAx val="1070211151"/>
        <c:crosses val="autoZero"/>
        <c:crossBetween val="midCat"/>
      </c:valAx>
      <c:spPr>
        <a:noFill/>
        <a:ln w="12700">
          <a:solidFill>
            <a:srgbClr val="99CC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75" b="0" i="0" u="none" strike="noStrike" baseline="0">
          <a:solidFill>
            <a:srgbClr val="000000"/>
          </a:solidFill>
          <a:latin typeface="MathSoftText"/>
          <a:ea typeface="MathSoftText"/>
          <a:cs typeface="MathSoftText"/>
        </a:defRPr>
      </a:pPr>
      <a:endParaRPr lang="en-US"/>
    </a:p>
  </c:txPr>
  <c:printSettings>
    <c:headerFooter alignWithMargins="0"/>
    <c:pageMargins b="1" l="0.75" r="0.75" t="1" header="0.5" footer="0.5"/>
    <c:pageSetup orientation="landscape"/>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550" b="0" i="0" u="none" strike="noStrike" baseline="0">
                <a:solidFill>
                  <a:srgbClr val="000000"/>
                </a:solidFill>
                <a:latin typeface="MathSoftText"/>
                <a:ea typeface="MathSoftText"/>
                <a:cs typeface="MathSoftText"/>
              </a:defRPr>
            </a:pPr>
            <a:r>
              <a:rPr lang="en-GB"/>
              <a:t>lens 24 retest pulse count vs peak current</a:t>
            </a:r>
          </a:p>
        </c:rich>
      </c:tx>
      <c:layout>
        <c:manualLayout>
          <c:xMode val="edge"/>
          <c:yMode val="edge"/>
          <c:x val="0.33732474123870176"/>
          <c:y val="6.2501996819394542E-2"/>
        </c:manualLayout>
      </c:layout>
      <c:overlay val="0"/>
      <c:spPr>
        <a:noFill/>
        <a:ln w="25400">
          <a:noFill/>
        </a:ln>
      </c:spPr>
    </c:title>
    <c:autoTitleDeleted val="0"/>
    <c:plotArea>
      <c:layout>
        <c:manualLayout>
          <c:layoutTarget val="inner"/>
          <c:xMode val="edge"/>
          <c:yMode val="edge"/>
          <c:x val="0.10597370189357444"/>
          <c:y val="0.28125898568727542"/>
          <c:w val="0.86420807600534655"/>
          <c:h val="0.41147147906101406"/>
        </c:manualLayout>
      </c:layout>
      <c:barChart>
        <c:barDir val="col"/>
        <c:grouping val="clustered"/>
        <c:varyColors val="0"/>
        <c:ser>
          <c:idx val="0"/>
          <c:order val="0"/>
          <c:spPr>
            <a:solidFill>
              <a:srgbClr val="9999FF"/>
            </a:solidFill>
            <a:ln w="12700">
              <a:solidFill>
                <a:srgbClr val="000000"/>
              </a:solidFill>
              <a:prstDash val="solid"/>
            </a:ln>
          </c:spPr>
          <c:invertIfNegative val="0"/>
          <c:cat>
            <c:numRef>
              <c:f>'Lens 24 retest'!$D$29:$D$35</c:f>
              <c:numCache>
                <c:formatCode>0.00E+00</c:formatCode>
                <c:ptCount val="7"/>
                <c:pt idx="0">
                  <c:v>295863.45722298301</c:v>
                </c:pt>
                <c:pt idx="1">
                  <c:v>345611.71336491464</c:v>
                </c:pt>
                <c:pt idx="2">
                  <c:v>395359.96950684639</c:v>
                </c:pt>
                <c:pt idx="3" formatCode="General">
                  <c:v>445108.22564877814</c:v>
                </c:pt>
                <c:pt idx="4" formatCode="General">
                  <c:v>469982.35371974384</c:v>
                </c:pt>
                <c:pt idx="5" formatCode="General">
                  <c:v>494856.48179070977</c:v>
                </c:pt>
                <c:pt idx="6" formatCode="General">
                  <c:v>504806.13301909616</c:v>
                </c:pt>
              </c:numCache>
            </c:numRef>
          </c:cat>
          <c:val>
            <c:numRef>
              <c:f>'Lens 24 retest'!$A$29:$A$35</c:f>
              <c:numCache>
                <c:formatCode>General</c:formatCode>
                <c:ptCount val="7"/>
                <c:pt idx="0">
                  <c:v>1300</c:v>
                </c:pt>
                <c:pt idx="1">
                  <c:v>2740</c:v>
                </c:pt>
                <c:pt idx="2">
                  <c:v>750</c:v>
                </c:pt>
                <c:pt idx="3">
                  <c:v>1430</c:v>
                </c:pt>
                <c:pt idx="4">
                  <c:v>4230</c:v>
                </c:pt>
                <c:pt idx="5">
                  <c:v>590</c:v>
                </c:pt>
                <c:pt idx="6">
                  <c:v>2324</c:v>
                </c:pt>
              </c:numCache>
            </c:numRef>
          </c:val>
          <c:extLst>
            <c:ext xmlns:c16="http://schemas.microsoft.com/office/drawing/2014/chart" uri="{C3380CC4-5D6E-409C-BE32-E72D297353CC}">
              <c16:uniqueId val="{00000000-A74F-4A45-BA2B-F3136B78B3BC}"/>
            </c:ext>
          </c:extLst>
        </c:ser>
        <c:dLbls>
          <c:showLegendKey val="0"/>
          <c:showVal val="0"/>
          <c:showCatName val="0"/>
          <c:showSerName val="0"/>
          <c:showPercent val="0"/>
          <c:showBubbleSize val="0"/>
        </c:dLbls>
        <c:gapWidth val="150"/>
        <c:axId val="855927135"/>
        <c:axId val="1"/>
      </c:barChart>
      <c:catAx>
        <c:axId val="855927135"/>
        <c:scaling>
          <c:orientation val="minMax"/>
        </c:scaling>
        <c:delete val="0"/>
        <c:axPos val="b"/>
        <c:title>
          <c:tx>
            <c:rich>
              <a:bodyPr/>
              <a:lstStyle/>
              <a:p>
                <a:pPr>
                  <a:defRPr sz="450" b="0" i="0" u="none" strike="noStrike" baseline="0">
                    <a:solidFill>
                      <a:srgbClr val="000000"/>
                    </a:solidFill>
                    <a:latin typeface="MathSoftText"/>
                    <a:ea typeface="MathSoftText"/>
                    <a:cs typeface="MathSoftText"/>
                  </a:defRPr>
                </a:pPr>
                <a:r>
                  <a:rPr lang="en-GB"/>
                  <a:t>amps</a:t>
                </a:r>
              </a:p>
            </c:rich>
          </c:tx>
          <c:layout>
            <c:manualLayout>
              <c:xMode val="edge"/>
              <c:yMode val="edge"/>
              <c:x val="0.51792781066296245"/>
              <c:y val="0.80731745891717943"/>
            </c:manualLayout>
          </c:layout>
          <c:overlay val="0"/>
          <c:spPr>
            <a:noFill/>
            <a:ln w="25400">
              <a:noFill/>
            </a:ln>
          </c:spPr>
        </c:title>
        <c:numFmt formatCode="0" sourceLinked="0"/>
        <c:majorTickMark val="out"/>
        <c:minorTickMark val="none"/>
        <c:tickLblPos val="nextTo"/>
        <c:spPr>
          <a:ln w="3175">
            <a:solidFill>
              <a:srgbClr val="99CC00"/>
            </a:solidFill>
            <a:prstDash val="solid"/>
          </a:ln>
        </c:spPr>
        <c:txPr>
          <a:bodyPr rot="0" vert="horz"/>
          <a:lstStyle/>
          <a:p>
            <a:pPr>
              <a:defRPr sz="450" b="0" i="0" u="none" strike="noStrike" baseline="0">
                <a:solidFill>
                  <a:srgbClr val="000000"/>
                </a:solidFill>
                <a:latin typeface="MathSoftText"/>
                <a:ea typeface="MathSoftText"/>
                <a:cs typeface="MathSoftText"/>
              </a:defRPr>
            </a:pPr>
            <a:endParaRPr lang="en-US"/>
          </a:p>
        </c:txPr>
        <c:crossAx val="1"/>
        <c:crosses val="autoZero"/>
        <c:auto val="1"/>
        <c:lblAlgn val="ctr"/>
        <c:lblOffset val="100"/>
        <c:tickLblSkip val="1"/>
        <c:tickMarkSkip val="1"/>
        <c:noMultiLvlLbl val="0"/>
      </c:catAx>
      <c:valAx>
        <c:axId val="1"/>
        <c:scaling>
          <c:logBase val="10"/>
          <c:orientation val="minMax"/>
          <c:min val="10"/>
        </c:scaling>
        <c:delete val="0"/>
        <c:axPos val="l"/>
        <c:majorGridlines>
          <c:spPr>
            <a:ln w="3175">
              <a:solidFill>
                <a:srgbClr val="99CC00"/>
              </a:solidFill>
              <a:prstDash val="solid"/>
            </a:ln>
          </c:spPr>
        </c:majorGridlines>
        <c:title>
          <c:tx>
            <c:rich>
              <a:bodyPr/>
              <a:lstStyle/>
              <a:p>
                <a:pPr>
                  <a:defRPr sz="450" b="0" i="0" u="none" strike="noStrike" baseline="0">
                    <a:solidFill>
                      <a:srgbClr val="000000"/>
                    </a:solidFill>
                    <a:latin typeface="MathSoftText"/>
                    <a:ea typeface="MathSoftText"/>
                    <a:cs typeface="MathSoftText"/>
                  </a:defRPr>
                </a:pPr>
                <a:r>
                  <a:rPr lang="en-GB"/>
                  <a:t>number of pulses</a:t>
                </a:r>
              </a:p>
            </c:rich>
          </c:tx>
          <c:layout>
            <c:manualLayout>
              <c:xMode val="edge"/>
              <c:yMode val="edge"/>
              <c:x val="3.2836921713501936E-2"/>
              <c:y val="0.29167598515717452"/>
            </c:manualLayout>
          </c:layout>
          <c:overlay val="0"/>
          <c:spPr>
            <a:noFill/>
            <a:ln w="25400">
              <a:noFill/>
            </a:ln>
          </c:spPr>
        </c:title>
        <c:numFmt formatCode="General" sourceLinked="1"/>
        <c:majorTickMark val="out"/>
        <c:minorTickMark val="none"/>
        <c:tickLblPos val="nextTo"/>
        <c:spPr>
          <a:ln w="3175">
            <a:solidFill>
              <a:srgbClr val="99CC00"/>
            </a:solidFill>
            <a:prstDash val="solid"/>
          </a:ln>
        </c:spPr>
        <c:txPr>
          <a:bodyPr rot="0" vert="horz"/>
          <a:lstStyle/>
          <a:p>
            <a:pPr>
              <a:defRPr sz="450" b="0" i="0" u="none" strike="noStrike" baseline="0">
                <a:solidFill>
                  <a:srgbClr val="000000"/>
                </a:solidFill>
                <a:latin typeface="MathSoftText"/>
                <a:ea typeface="MathSoftText"/>
                <a:cs typeface="MathSoftText"/>
              </a:defRPr>
            </a:pPr>
            <a:endParaRPr lang="en-US"/>
          </a:p>
        </c:txPr>
        <c:crossAx val="855927135"/>
        <c:crosses val="autoZero"/>
        <c:crossBetween val="between"/>
      </c:valAx>
      <c:spPr>
        <a:noFill/>
        <a:ln w="12700">
          <a:solidFill>
            <a:srgbClr val="99CC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450" b="0" i="0" u="none" strike="noStrike" baseline="0">
          <a:solidFill>
            <a:srgbClr val="000000"/>
          </a:solidFill>
          <a:latin typeface="MathSoftText"/>
          <a:ea typeface="MathSoftText"/>
          <a:cs typeface="MathSoftText"/>
        </a:defRPr>
      </a:pPr>
      <a:endParaRPr lang="en-US"/>
    </a:p>
  </c:txPr>
  <c:printSettings>
    <c:headerFooter alignWithMargins="0"/>
    <c:pageMargins b="1" l="0.75" r="0.75" t="1" header="0.5" footer="0.5"/>
    <c:pageSetup orientation="landscape"/>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500" b="0" i="0" u="none" strike="noStrike" baseline="0">
                <a:solidFill>
                  <a:srgbClr val="000000"/>
                </a:solidFill>
                <a:latin typeface="MathSoftText"/>
                <a:ea typeface="MathSoftText"/>
                <a:cs typeface="MathSoftText"/>
              </a:defRPr>
            </a:pPr>
            <a:r>
              <a:rPr lang="en-GB"/>
              <a:t>lens 24 retest pulse count vs peak current</a:t>
            </a:r>
          </a:p>
        </c:rich>
      </c:tx>
      <c:layout>
        <c:manualLayout>
          <c:xMode val="edge"/>
          <c:yMode val="edge"/>
          <c:x val="0.36018699327725368"/>
          <c:y val="6.0441465775301711E-2"/>
        </c:manualLayout>
      </c:layout>
      <c:overlay val="0"/>
      <c:spPr>
        <a:noFill/>
        <a:ln w="25400">
          <a:noFill/>
        </a:ln>
      </c:spPr>
    </c:title>
    <c:autoTitleDeleted val="0"/>
    <c:plotArea>
      <c:layout>
        <c:manualLayout>
          <c:layoutTarget val="inner"/>
          <c:xMode val="edge"/>
          <c:yMode val="edge"/>
          <c:x val="9.9563884320541668E-2"/>
          <c:y val="0.29121797146281736"/>
          <c:w val="0.84629301672460422"/>
          <c:h val="0.38462750947919272"/>
        </c:manualLayout>
      </c:layout>
      <c:scatterChart>
        <c:scatterStyle val="lineMarker"/>
        <c:varyColors val="0"/>
        <c:ser>
          <c:idx val="0"/>
          <c:order val="0"/>
          <c:spPr>
            <a:ln w="19050">
              <a:noFill/>
            </a:ln>
          </c:spPr>
          <c:marker>
            <c:symbol val="diamond"/>
            <c:size val="5"/>
            <c:spPr>
              <a:solidFill>
                <a:srgbClr val="000080"/>
              </a:solidFill>
              <a:ln>
                <a:solidFill>
                  <a:srgbClr val="000080"/>
                </a:solidFill>
                <a:prstDash val="solid"/>
              </a:ln>
            </c:spPr>
          </c:marker>
          <c:xVal>
            <c:numRef>
              <c:f>'Lens 24 retest'!$D$29:$D$35</c:f>
              <c:numCache>
                <c:formatCode>0.00E+00</c:formatCode>
                <c:ptCount val="7"/>
                <c:pt idx="0">
                  <c:v>295863.45722298301</c:v>
                </c:pt>
                <c:pt idx="1">
                  <c:v>345611.71336491464</c:v>
                </c:pt>
                <c:pt idx="2">
                  <c:v>395359.96950684639</c:v>
                </c:pt>
                <c:pt idx="3" formatCode="General">
                  <c:v>445108.22564877814</c:v>
                </c:pt>
                <c:pt idx="4" formatCode="General">
                  <c:v>469982.35371974384</c:v>
                </c:pt>
                <c:pt idx="5" formatCode="General">
                  <c:v>494856.48179070977</c:v>
                </c:pt>
                <c:pt idx="6" formatCode="General">
                  <c:v>504806.13301909616</c:v>
                </c:pt>
              </c:numCache>
            </c:numRef>
          </c:xVal>
          <c:yVal>
            <c:numRef>
              <c:f>'Lens 24 retest'!$A$29:$A$35</c:f>
              <c:numCache>
                <c:formatCode>General</c:formatCode>
                <c:ptCount val="7"/>
                <c:pt idx="0">
                  <c:v>1300</c:v>
                </c:pt>
                <c:pt idx="1">
                  <c:v>2740</c:v>
                </c:pt>
                <c:pt idx="2">
                  <c:v>750</c:v>
                </c:pt>
                <c:pt idx="3">
                  <c:v>1430</c:v>
                </c:pt>
                <c:pt idx="4">
                  <c:v>4230</c:v>
                </c:pt>
                <c:pt idx="5">
                  <c:v>590</c:v>
                </c:pt>
                <c:pt idx="6">
                  <c:v>2324</c:v>
                </c:pt>
              </c:numCache>
            </c:numRef>
          </c:yVal>
          <c:smooth val="0"/>
          <c:extLst>
            <c:ext xmlns:c16="http://schemas.microsoft.com/office/drawing/2014/chart" uri="{C3380CC4-5D6E-409C-BE32-E72D297353CC}">
              <c16:uniqueId val="{00000000-DE17-4E51-88A1-AD1E76E3C5C2}"/>
            </c:ext>
          </c:extLst>
        </c:ser>
        <c:dLbls>
          <c:showLegendKey val="0"/>
          <c:showVal val="0"/>
          <c:showCatName val="0"/>
          <c:showSerName val="0"/>
          <c:showPercent val="0"/>
          <c:showBubbleSize val="0"/>
        </c:dLbls>
        <c:axId val="951439599"/>
        <c:axId val="1"/>
      </c:scatterChart>
      <c:valAx>
        <c:axId val="951439599"/>
        <c:scaling>
          <c:orientation val="minMax"/>
          <c:max val="700000"/>
          <c:min val="200000"/>
        </c:scaling>
        <c:delete val="0"/>
        <c:axPos val="b"/>
        <c:title>
          <c:tx>
            <c:rich>
              <a:bodyPr/>
              <a:lstStyle/>
              <a:p>
                <a:pPr>
                  <a:defRPr sz="425" b="0" i="0" u="none" strike="noStrike" baseline="0">
                    <a:solidFill>
                      <a:srgbClr val="000000"/>
                    </a:solidFill>
                    <a:latin typeface="MathSoftText"/>
                    <a:ea typeface="MathSoftText"/>
                    <a:cs typeface="MathSoftText"/>
                  </a:defRPr>
                </a:pPr>
                <a:r>
                  <a:rPr lang="en-GB"/>
                  <a:t>amps</a:t>
                </a:r>
              </a:p>
            </c:rich>
          </c:tx>
          <c:layout>
            <c:manualLayout>
              <c:xMode val="edge"/>
              <c:yMode val="edge"/>
              <c:x val="0.50367612068038725"/>
              <c:y val="0.7967284124926135"/>
            </c:manualLayout>
          </c:layout>
          <c:overlay val="0"/>
          <c:spPr>
            <a:noFill/>
            <a:ln w="25400">
              <a:noFill/>
            </a:ln>
          </c:spPr>
        </c:title>
        <c:numFmt formatCode="0" sourceLinked="0"/>
        <c:majorTickMark val="out"/>
        <c:minorTickMark val="none"/>
        <c:tickLblPos val="nextTo"/>
        <c:spPr>
          <a:ln w="3175">
            <a:solidFill>
              <a:srgbClr val="99CC00"/>
            </a:solidFill>
            <a:prstDash val="solid"/>
          </a:ln>
        </c:spPr>
        <c:txPr>
          <a:bodyPr rot="0" vert="horz"/>
          <a:lstStyle/>
          <a:p>
            <a:pPr>
              <a:defRPr sz="425" b="0" i="0" u="none" strike="noStrike" baseline="0">
                <a:solidFill>
                  <a:srgbClr val="000000"/>
                </a:solidFill>
                <a:latin typeface="MathSoftText"/>
                <a:ea typeface="MathSoftText"/>
                <a:cs typeface="MathSoftText"/>
              </a:defRPr>
            </a:pPr>
            <a:endParaRPr lang="en-US"/>
          </a:p>
        </c:txPr>
        <c:crossAx val="1"/>
        <c:crosses val="autoZero"/>
        <c:crossBetween val="midCat"/>
      </c:valAx>
      <c:valAx>
        <c:axId val="1"/>
        <c:scaling>
          <c:orientation val="minMax"/>
          <c:max val="5000"/>
          <c:min val="0"/>
        </c:scaling>
        <c:delete val="0"/>
        <c:axPos val="l"/>
        <c:majorGridlines>
          <c:spPr>
            <a:ln w="3175">
              <a:solidFill>
                <a:srgbClr val="99CC00"/>
              </a:solidFill>
              <a:prstDash val="solid"/>
            </a:ln>
          </c:spPr>
        </c:majorGridlines>
        <c:title>
          <c:tx>
            <c:rich>
              <a:bodyPr/>
              <a:lstStyle/>
              <a:p>
                <a:pPr>
                  <a:defRPr sz="425" b="0" i="0" u="none" strike="noStrike" baseline="0">
                    <a:solidFill>
                      <a:srgbClr val="000000"/>
                    </a:solidFill>
                    <a:latin typeface="MathSoftText"/>
                    <a:ea typeface="MathSoftText"/>
                    <a:cs typeface="MathSoftText"/>
                  </a:defRPr>
                </a:pPr>
                <a:r>
                  <a:rPr lang="en-GB"/>
                  <a:t>number of pulses</a:t>
                </a:r>
              </a:p>
            </c:rich>
          </c:tx>
          <c:layout>
            <c:manualLayout>
              <c:xMode val="edge"/>
              <c:yMode val="edge"/>
              <c:x val="3.2211844927234071E-2"/>
              <c:y val="0.28022861404912613"/>
            </c:manualLayout>
          </c:layout>
          <c:overlay val="0"/>
          <c:spPr>
            <a:noFill/>
            <a:ln w="25400">
              <a:noFill/>
            </a:ln>
          </c:spPr>
        </c:title>
        <c:numFmt formatCode="General" sourceLinked="1"/>
        <c:majorTickMark val="out"/>
        <c:minorTickMark val="none"/>
        <c:tickLblPos val="nextTo"/>
        <c:spPr>
          <a:ln w="3175">
            <a:solidFill>
              <a:srgbClr val="99CC00"/>
            </a:solidFill>
            <a:prstDash val="solid"/>
          </a:ln>
        </c:spPr>
        <c:txPr>
          <a:bodyPr rot="0" vert="horz"/>
          <a:lstStyle/>
          <a:p>
            <a:pPr>
              <a:defRPr sz="425" b="0" i="0" u="none" strike="noStrike" baseline="0">
                <a:solidFill>
                  <a:srgbClr val="000000"/>
                </a:solidFill>
                <a:latin typeface="MathSoftText"/>
                <a:ea typeface="MathSoftText"/>
                <a:cs typeface="MathSoftText"/>
              </a:defRPr>
            </a:pPr>
            <a:endParaRPr lang="en-US"/>
          </a:p>
        </c:txPr>
        <c:crossAx val="951439599"/>
        <c:crosses val="autoZero"/>
        <c:crossBetween val="midCat"/>
        <c:majorUnit val="1000"/>
        <c:minorUnit val="200"/>
      </c:valAx>
      <c:spPr>
        <a:noFill/>
        <a:ln w="12700">
          <a:solidFill>
            <a:srgbClr val="99CC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425" b="0" i="0" u="none" strike="noStrike" baseline="0">
          <a:solidFill>
            <a:srgbClr val="000000"/>
          </a:solidFill>
          <a:latin typeface="MathSoftText"/>
          <a:ea typeface="MathSoftText"/>
          <a:cs typeface="MathSoftText"/>
        </a:defRPr>
      </a:pPr>
      <a:endParaRPr lang="en-US"/>
    </a:p>
  </c:txPr>
  <c:printSettings>
    <c:headerFooter alignWithMargins="0"/>
    <c:pageMargins b="1" l="0.75" r="0.75" t="1" header="0.5" footer="0.5"/>
    <c:pageSetup orientation="landscape" horizontalDpi="355" verticalDpi="355"/>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0" i="0" u="none" strike="noStrike" baseline="0">
                <a:solidFill>
                  <a:srgbClr val="000000"/>
                </a:solidFill>
                <a:latin typeface="MathSoftText"/>
                <a:ea typeface="MathSoftText"/>
                <a:cs typeface="MathSoftText"/>
              </a:defRPr>
            </a:pPr>
            <a:r>
              <a:rPr lang="en-GB"/>
              <a:t>lens 24 retest pulse count vs peak current</a:t>
            </a:r>
          </a:p>
        </c:rich>
      </c:tx>
      <c:layout>
        <c:manualLayout>
          <c:xMode val="edge"/>
          <c:yMode val="edge"/>
          <c:x val="0.28863908547511979"/>
          <c:y val="4.6596470348874097E-2"/>
        </c:manualLayout>
      </c:layout>
      <c:overlay val="0"/>
      <c:spPr>
        <a:noFill/>
        <a:ln w="25400">
          <a:noFill/>
        </a:ln>
      </c:spPr>
    </c:title>
    <c:autoTitleDeleted val="0"/>
    <c:plotArea>
      <c:layout>
        <c:manualLayout>
          <c:layoutTarget val="inner"/>
          <c:xMode val="edge"/>
          <c:yMode val="edge"/>
          <c:x val="0.14577731589652515"/>
          <c:y val="0.25448841498231234"/>
          <c:w val="0.82509960797433235"/>
          <c:h val="0.4480429841237894"/>
        </c:manualLayout>
      </c:layout>
      <c:barChart>
        <c:barDir val="col"/>
        <c:grouping val="clustered"/>
        <c:varyColors val="0"/>
        <c:ser>
          <c:idx val="0"/>
          <c:order val="0"/>
          <c:spPr>
            <a:solidFill>
              <a:srgbClr val="9999FF"/>
            </a:solidFill>
            <a:ln w="12700">
              <a:solidFill>
                <a:srgbClr val="000000"/>
              </a:solidFill>
              <a:prstDash val="solid"/>
            </a:ln>
          </c:spPr>
          <c:invertIfNegative val="0"/>
          <c:cat>
            <c:numRef>
              <c:f>'Lens 24 retest'!$D$29:$D$35</c:f>
              <c:numCache>
                <c:formatCode>0.00E+00</c:formatCode>
                <c:ptCount val="7"/>
                <c:pt idx="0">
                  <c:v>295863.45722298301</c:v>
                </c:pt>
                <c:pt idx="1">
                  <c:v>345611.71336491464</c:v>
                </c:pt>
                <c:pt idx="2">
                  <c:v>395359.96950684639</c:v>
                </c:pt>
                <c:pt idx="3" formatCode="General">
                  <c:v>445108.22564877814</c:v>
                </c:pt>
                <c:pt idx="4" formatCode="General">
                  <c:v>469982.35371974384</c:v>
                </c:pt>
                <c:pt idx="5" formatCode="General">
                  <c:v>494856.48179070977</c:v>
                </c:pt>
                <c:pt idx="6" formatCode="General">
                  <c:v>504806.13301909616</c:v>
                </c:pt>
              </c:numCache>
            </c:numRef>
          </c:cat>
          <c:val>
            <c:numRef>
              <c:f>'Lens 24 retest'!$A$29:$A$35</c:f>
              <c:numCache>
                <c:formatCode>General</c:formatCode>
                <c:ptCount val="7"/>
                <c:pt idx="0">
                  <c:v>1300</c:v>
                </c:pt>
                <c:pt idx="1">
                  <c:v>2740</c:v>
                </c:pt>
                <c:pt idx="2">
                  <c:v>750</c:v>
                </c:pt>
                <c:pt idx="3">
                  <c:v>1430</c:v>
                </c:pt>
                <c:pt idx="4">
                  <c:v>4230</c:v>
                </c:pt>
                <c:pt idx="5">
                  <c:v>590</c:v>
                </c:pt>
                <c:pt idx="6">
                  <c:v>2324</c:v>
                </c:pt>
              </c:numCache>
            </c:numRef>
          </c:val>
          <c:extLst>
            <c:ext xmlns:c16="http://schemas.microsoft.com/office/drawing/2014/chart" uri="{C3380CC4-5D6E-409C-BE32-E72D297353CC}">
              <c16:uniqueId val="{00000000-F04E-40AA-BC52-2C8C99DD736E}"/>
            </c:ext>
          </c:extLst>
        </c:ser>
        <c:dLbls>
          <c:showLegendKey val="0"/>
          <c:showVal val="0"/>
          <c:showCatName val="0"/>
          <c:showSerName val="0"/>
          <c:showPercent val="0"/>
          <c:showBubbleSize val="0"/>
        </c:dLbls>
        <c:gapWidth val="150"/>
        <c:axId val="855925535"/>
        <c:axId val="1"/>
      </c:barChart>
      <c:catAx>
        <c:axId val="855925535"/>
        <c:scaling>
          <c:orientation val="minMax"/>
        </c:scaling>
        <c:delete val="0"/>
        <c:axPos val="b"/>
        <c:title>
          <c:tx>
            <c:rich>
              <a:bodyPr/>
              <a:lstStyle/>
              <a:p>
                <a:pPr>
                  <a:defRPr sz="800" b="0" i="0" u="none" strike="noStrike" baseline="0">
                    <a:solidFill>
                      <a:srgbClr val="000000"/>
                    </a:solidFill>
                    <a:latin typeface="MathSoftText"/>
                    <a:ea typeface="MathSoftText"/>
                    <a:cs typeface="MathSoftText"/>
                  </a:defRPr>
                </a:pPr>
                <a:r>
                  <a:rPr lang="en-GB"/>
                  <a:t>amps</a:t>
                </a:r>
              </a:p>
            </c:rich>
          </c:tx>
          <c:layout>
            <c:manualLayout>
              <c:xMode val="edge"/>
              <c:yMode val="edge"/>
              <c:x val="0.52625611038645581"/>
              <c:y val="0.83156777853375308"/>
            </c:manualLayout>
          </c:layout>
          <c:overlay val="0"/>
          <c:spPr>
            <a:noFill/>
            <a:ln w="25400">
              <a:noFill/>
            </a:ln>
          </c:spPr>
        </c:title>
        <c:numFmt formatCode="0" sourceLinked="0"/>
        <c:majorTickMark val="out"/>
        <c:minorTickMark val="none"/>
        <c:tickLblPos val="nextTo"/>
        <c:spPr>
          <a:ln w="3175">
            <a:solidFill>
              <a:srgbClr val="99CC00"/>
            </a:solidFill>
            <a:prstDash val="solid"/>
          </a:ln>
        </c:spPr>
        <c:txPr>
          <a:bodyPr rot="0" vert="horz"/>
          <a:lstStyle/>
          <a:p>
            <a:pPr>
              <a:defRPr sz="800" b="0" i="0" u="none" strike="noStrike" baseline="0">
                <a:solidFill>
                  <a:srgbClr val="000000"/>
                </a:solidFill>
                <a:latin typeface="MathSoftText"/>
                <a:ea typeface="MathSoftText"/>
                <a:cs typeface="MathSoftText"/>
              </a:defRPr>
            </a:pPr>
            <a:endParaRPr lang="en-US"/>
          </a:p>
        </c:txPr>
        <c:crossAx val="1"/>
        <c:crosses val="autoZero"/>
        <c:auto val="1"/>
        <c:lblAlgn val="ctr"/>
        <c:lblOffset val="100"/>
        <c:tickLblSkip val="1"/>
        <c:tickMarkSkip val="1"/>
        <c:noMultiLvlLbl val="0"/>
      </c:catAx>
      <c:valAx>
        <c:axId val="1"/>
        <c:scaling>
          <c:orientation val="minMax"/>
          <c:max val="5000"/>
          <c:min val="0"/>
        </c:scaling>
        <c:delete val="0"/>
        <c:axPos val="l"/>
        <c:majorGridlines>
          <c:spPr>
            <a:ln w="3175">
              <a:solidFill>
                <a:srgbClr val="99CC00"/>
              </a:solidFill>
              <a:prstDash val="solid"/>
            </a:ln>
          </c:spPr>
        </c:majorGridlines>
        <c:title>
          <c:tx>
            <c:rich>
              <a:bodyPr/>
              <a:lstStyle/>
              <a:p>
                <a:pPr>
                  <a:defRPr sz="800" b="0" i="0" u="none" strike="noStrike" baseline="0">
                    <a:solidFill>
                      <a:srgbClr val="000000"/>
                    </a:solidFill>
                    <a:latin typeface="MathSoftText"/>
                    <a:ea typeface="MathSoftText"/>
                    <a:cs typeface="MathSoftText"/>
                  </a:defRPr>
                </a:pPr>
                <a:r>
                  <a:rPr lang="en-GB"/>
                  <a:t>number of pulses</a:t>
                </a:r>
              </a:p>
            </c:rich>
          </c:tx>
          <c:layout>
            <c:manualLayout>
              <c:xMode val="edge"/>
              <c:yMode val="edge"/>
              <c:x val="3.2071009497235535E-2"/>
              <c:y val="0.25448841498231234"/>
            </c:manualLayout>
          </c:layout>
          <c:overlay val="0"/>
          <c:spPr>
            <a:noFill/>
            <a:ln w="25400">
              <a:noFill/>
            </a:ln>
          </c:spPr>
        </c:title>
        <c:numFmt formatCode="General" sourceLinked="1"/>
        <c:majorTickMark val="out"/>
        <c:minorTickMark val="none"/>
        <c:tickLblPos val="nextTo"/>
        <c:spPr>
          <a:ln w="3175">
            <a:solidFill>
              <a:srgbClr val="99CC00"/>
            </a:solidFill>
            <a:prstDash val="solid"/>
          </a:ln>
        </c:spPr>
        <c:txPr>
          <a:bodyPr rot="0" vert="horz"/>
          <a:lstStyle/>
          <a:p>
            <a:pPr>
              <a:defRPr sz="800" b="0" i="0" u="none" strike="noStrike" baseline="0">
                <a:solidFill>
                  <a:srgbClr val="000000"/>
                </a:solidFill>
                <a:latin typeface="MathSoftText"/>
                <a:ea typeface="MathSoftText"/>
                <a:cs typeface="MathSoftText"/>
              </a:defRPr>
            </a:pPr>
            <a:endParaRPr lang="en-US"/>
          </a:p>
        </c:txPr>
        <c:crossAx val="855925535"/>
        <c:crosses val="autoZero"/>
        <c:crossBetween val="between"/>
        <c:majorUnit val="1000"/>
        <c:minorUnit val="200"/>
      </c:valAx>
      <c:spPr>
        <a:noFill/>
        <a:ln w="12700">
          <a:solidFill>
            <a:srgbClr val="99CC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MathSoftText"/>
          <a:ea typeface="MathSoftText"/>
          <a:cs typeface="MathSoftText"/>
        </a:defRPr>
      </a:pPr>
      <a:endParaRPr lang="en-US"/>
    </a:p>
  </c:txPr>
  <c:printSettings>
    <c:headerFooter alignWithMargins="0"/>
    <c:pageMargins b="1" l="0.75" r="0.75" t="1" header="0.5" footer="0.5"/>
    <c:pageSetup orientation="landscape" horizontalDpi="355" verticalDpi="355"/>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0" i="0" u="none" strike="noStrike" baseline="0">
                <a:solidFill>
                  <a:srgbClr val="000000"/>
                </a:solidFill>
                <a:latin typeface="MathSoftText"/>
                <a:ea typeface="MathSoftText"/>
                <a:cs typeface="MathSoftText"/>
              </a:defRPr>
            </a:pPr>
            <a:r>
              <a:rPr lang="en-GB"/>
              <a:t>Lens 24 retest Rogowski and Bdot vs Pot</a:t>
            </a:r>
          </a:p>
        </c:rich>
      </c:tx>
      <c:layout>
        <c:manualLayout>
          <c:xMode val="edge"/>
          <c:yMode val="edge"/>
          <c:x val="0.19881077858215374"/>
          <c:y val="3.9165689224335762E-2"/>
        </c:manualLayout>
      </c:layout>
      <c:overlay val="0"/>
      <c:spPr>
        <a:noFill/>
        <a:ln w="25400">
          <a:noFill/>
        </a:ln>
      </c:spPr>
    </c:title>
    <c:autoTitleDeleted val="0"/>
    <c:plotArea>
      <c:layout>
        <c:manualLayout>
          <c:layoutTarget val="inner"/>
          <c:xMode val="edge"/>
          <c:yMode val="edge"/>
          <c:x val="0.18087296397323763"/>
          <c:y val="0.27938191646692845"/>
          <c:w val="0.40958010023691821"/>
          <c:h val="0.43082258146769342"/>
        </c:manualLayout>
      </c:layout>
      <c:scatterChart>
        <c:scatterStyle val="lineMarker"/>
        <c:varyColors val="0"/>
        <c:ser>
          <c:idx val="1"/>
          <c:order val="1"/>
          <c:tx>
            <c:v>bdot vs pot</c:v>
          </c:tx>
          <c:spPr>
            <a:ln w="19050">
              <a:noFill/>
            </a:ln>
          </c:spPr>
          <c:marker>
            <c:symbol val="square"/>
            <c:size val="5"/>
            <c:spPr>
              <a:solidFill>
                <a:srgbClr val="339966"/>
              </a:solidFill>
              <a:ln>
                <a:solidFill>
                  <a:srgbClr val="339966"/>
                </a:solidFill>
                <a:prstDash val="solid"/>
              </a:ln>
            </c:spPr>
          </c:marker>
          <c:trendline>
            <c:spPr>
              <a:ln w="12700">
                <a:solidFill>
                  <a:srgbClr val="339966"/>
                </a:solidFill>
                <a:prstDash val="solid"/>
              </a:ln>
            </c:spPr>
            <c:trendlineType val="linear"/>
            <c:dispRSqr val="1"/>
            <c:dispEq val="1"/>
            <c:trendlineLbl>
              <c:layout>
                <c:manualLayout>
                  <c:xMode val="edge"/>
                  <c:yMode val="edge"/>
                  <c:x val="0.665193958413973"/>
                  <c:y val="0.61620684379621604"/>
                </c:manualLayout>
              </c:layout>
              <c:numFmt formatCode="General" sourceLinked="0"/>
              <c:spPr>
                <a:noFill/>
                <a:ln w="25400">
                  <a:noFill/>
                </a:ln>
              </c:spPr>
              <c:txPr>
                <a:bodyPr/>
                <a:lstStyle/>
                <a:p>
                  <a:pPr>
                    <a:defRPr sz="900" b="0" i="0" u="none" strike="noStrike" baseline="0">
                      <a:solidFill>
                        <a:srgbClr val="339966"/>
                      </a:solidFill>
                      <a:latin typeface="MathSoftText"/>
                      <a:ea typeface="MathSoftText"/>
                      <a:cs typeface="MathSoftText"/>
                    </a:defRPr>
                  </a:pPr>
                  <a:endParaRPr lang="en-US"/>
                </a:p>
              </c:txPr>
            </c:trendlineLbl>
          </c:trendline>
          <c:xVal>
            <c:numRef>
              <c:f>'Lens 24 retest'!$A$7:$A$22</c:f>
              <c:numCache>
                <c:formatCode>General</c:formatCode>
                <c:ptCount val="16"/>
                <c:pt idx="0">
                  <c:v>0</c:v>
                </c:pt>
                <c:pt idx="1">
                  <c:v>0</c:v>
                </c:pt>
                <c:pt idx="2">
                  <c:v>1</c:v>
                </c:pt>
                <c:pt idx="3">
                  <c:v>1</c:v>
                </c:pt>
                <c:pt idx="4">
                  <c:v>1</c:v>
                </c:pt>
                <c:pt idx="5">
                  <c:v>1</c:v>
                </c:pt>
                <c:pt idx="6">
                  <c:v>2</c:v>
                </c:pt>
                <c:pt idx="7">
                  <c:v>2</c:v>
                </c:pt>
                <c:pt idx="8">
                  <c:v>3</c:v>
                </c:pt>
                <c:pt idx="9">
                  <c:v>3</c:v>
                </c:pt>
                <c:pt idx="10">
                  <c:v>3.5</c:v>
                </c:pt>
                <c:pt idx="11">
                  <c:v>3.5</c:v>
                </c:pt>
                <c:pt idx="12">
                  <c:v>4</c:v>
                </c:pt>
                <c:pt idx="13">
                  <c:v>4</c:v>
                </c:pt>
                <c:pt idx="14">
                  <c:v>4.2</c:v>
                </c:pt>
                <c:pt idx="15">
                  <c:v>4.2</c:v>
                </c:pt>
              </c:numCache>
            </c:numRef>
          </c:xVal>
          <c:yVal>
            <c:numRef>
              <c:f>'Lens 24 retest'!$D$7:$D$22</c:f>
              <c:numCache>
                <c:formatCode>0.00</c:formatCode>
                <c:ptCount val="16"/>
                <c:pt idx="0">
                  <c:v>1.92</c:v>
                </c:pt>
                <c:pt idx="1">
                  <c:v>1.92</c:v>
                </c:pt>
                <c:pt idx="2">
                  <c:v>2.2799999999999998</c:v>
                </c:pt>
                <c:pt idx="3">
                  <c:v>2.2400000000000002</c:v>
                </c:pt>
                <c:pt idx="4">
                  <c:v>2.2400000000000002</c:v>
                </c:pt>
                <c:pt idx="5">
                  <c:v>2.2400000000000002</c:v>
                </c:pt>
                <c:pt idx="6">
                  <c:v>2.64</c:v>
                </c:pt>
                <c:pt idx="7">
                  <c:v>2.64</c:v>
                </c:pt>
                <c:pt idx="8">
                  <c:v>2.96</c:v>
                </c:pt>
                <c:pt idx="9">
                  <c:v>2.96</c:v>
                </c:pt>
                <c:pt idx="10">
                  <c:v>3.12</c:v>
                </c:pt>
                <c:pt idx="11">
                  <c:v>3.12</c:v>
                </c:pt>
                <c:pt idx="12" formatCode="General">
                  <c:v>3.28</c:v>
                </c:pt>
                <c:pt idx="13" formatCode="General">
                  <c:v>3.28</c:v>
                </c:pt>
                <c:pt idx="14" formatCode="General">
                  <c:v>3.32</c:v>
                </c:pt>
                <c:pt idx="15" formatCode="General">
                  <c:v>3.32</c:v>
                </c:pt>
              </c:numCache>
            </c:numRef>
          </c:yVal>
          <c:smooth val="0"/>
          <c:extLst>
            <c:ext xmlns:c16="http://schemas.microsoft.com/office/drawing/2014/chart" uri="{C3380CC4-5D6E-409C-BE32-E72D297353CC}">
              <c16:uniqueId val="{00000001-4474-4BED-9D11-5A7BEB893727}"/>
            </c:ext>
          </c:extLst>
        </c:ser>
        <c:dLbls>
          <c:showLegendKey val="0"/>
          <c:showVal val="0"/>
          <c:showCatName val="0"/>
          <c:showSerName val="0"/>
          <c:showPercent val="0"/>
          <c:showBubbleSize val="0"/>
        </c:dLbls>
        <c:axId val="1070208239"/>
        <c:axId val="1"/>
      </c:scatterChart>
      <c:scatterChart>
        <c:scatterStyle val="lineMarker"/>
        <c:varyColors val="0"/>
        <c:ser>
          <c:idx val="0"/>
          <c:order val="0"/>
          <c:tx>
            <c:v>rog vs pot</c:v>
          </c:tx>
          <c:spPr>
            <a:ln w="19050">
              <a:noFill/>
            </a:ln>
          </c:spPr>
          <c:marker>
            <c:symbol val="diamond"/>
            <c:size val="5"/>
            <c:spPr>
              <a:solidFill>
                <a:srgbClr val="FF0000"/>
              </a:solidFill>
              <a:ln>
                <a:solidFill>
                  <a:srgbClr val="FF0000"/>
                </a:solidFill>
                <a:prstDash val="solid"/>
              </a:ln>
            </c:spPr>
          </c:marker>
          <c:trendline>
            <c:spPr>
              <a:ln w="12700">
                <a:solidFill>
                  <a:srgbClr val="FF0000"/>
                </a:solidFill>
                <a:prstDash val="solid"/>
              </a:ln>
            </c:spPr>
            <c:trendlineType val="linear"/>
            <c:dispRSqr val="1"/>
            <c:dispEq val="1"/>
            <c:trendlineLbl>
              <c:layout>
                <c:manualLayout>
                  <c:xMode val="edge"/>
                  <c:yMode val="edge"/>
                  <c:x val="0.65921468687766771"/>
                  <c:y val="0.77548064664184813"/>
                </c:manualLayout>
              </c:layout>
              <c:numFmt formatCode="General" sourceLinked="0"/>
              <c:spPr>
                <a:noFill/>
                <a:ln w="25400">
                  <a:noFill/>
                </a:ln>
              </c:spPr>
              <c:txPr>
                <a:bodyPr/>
                <a:lstStyle/>
                <a:p>
                  <a:pPr>
                    <a:defRPr sz="900" b="0" i="0" u="none" strike="noStrike" baseline="0">
                      <a:solidFill>
                        <a:srgbClr val="FF0000"/>
                      </a:solidFill>
                      <a:latin typeface="MathSoftText"/>
                      <a:ea typeface="MathSoftText"/>
                      <a:cs typeface="MathSoftText"/>
                    </a:defRPr>
                  </a:pPr>
                  <a:endParaRPr lang="en-US"/>
                </a:p>
              </c:txPr>
            </c:trendlineLbl>
          </c:trendline>
          <c:xVal>
            <c:numRef>
              <c:f>'Lens 24 retest'!$A$7:$A$22</c:f>
              <c:numCache>
                <c:formatCode>General</c:formatCode>
                <c:ptCount val="16"/>
                <c:pt idx="0">
                  <c:v>0</c:v>
                </c:pt>
                <c:pt idx="1">
                  <c:v>0</c:v>
                </c:pt>
                <c:pt idx="2">
                  <c:v>1</c:v>
                </c:pt>
                <c:pt idx="3">
                  <c:v>1</c:v>
                </c:pt>
                <c:pt idx="4">
                  <c:v>1</c:v>
                </c:pt>
                <c:pt idx="5">
                  <c:v>1</c:v>
                </c:pt>
                <c:pt idx="6">
                  <c:v>2</c:v>
                </c:pt>
                <c:pt idx="7">
                  <c:v>2</c:v>
                </c:pt>
                <c:pt idx="8">
                  <c:v>3</c:v>
                </c:pt>
                <c:pt idx="9">
                  <c:v>3</c:v>
                </c:pt>
                <c:pt idx="10">
                  <c:v>3.5</c:v>
                </c:pt>
                <c:pt idx="11">
                  <c:v>3.5</c:v>
                </c:pt>
                <c:pt idx="12">
                  <c:v>4</c:v>
                </c:pt>
                <c:pt idx="13">
                  <c:v>4</c:v>
                </c:pt>
                <c:pt idx="14">
                  <c:v>4.2</c:v>
                </c:pt>
                <c:pt idx="15">
                  <c:v>4.2</c:v>
                </c:pt>
              </c:numCache>
            </c:numRef>
          </c:xVal>
          <c:yVal>
            <c:numRef>
              <c:f>'Lens 24 retest'!$C$7:$C$22</c:f>
              <c:numCache>
                <c:formatCode>General</c:formatCode>
                <c:ptCount val="16"/>
                <c:pt idx="0">
                  <c:v>0.26</c:v>
                </c:pt>
                <c:pt idx="1">
                  <c:v>0.26</c:v>
                </c:pt>
                <c:pt idx="2" formatCode="0.000">
                  <c:v>0.30399999999999999</c:v>
                </c:pt>
                <c:pt idx="3" formatCode="0.000">
                  <c:v>0.30399999999999999</c:v>
                </c:pt>
                <c:pt idx="4" formatCode="0.000">
                  <c:v>0.30399999999999999</c:v>
                </c:pt>
                <c:pt idx="5" formatCode="0.000">
                  <c:v>0.30399999999999999</c:v>
                </c:pt>
                <c:pt idx="6" formatCode="0.000">
                  <c:v>0.35599999999999998</c:v>
                </c:pt>
                <c:pt idx="7" formatCode="0.000">
                  <c:v>0.35599999999999998</c:v>
                </c:pt>
                <c:pt idx="8" formatCode="0.000">
                  <c:v>0.4</c:v>
                </c:pt>
                <c:pt idx="9" formatCode="0.000">
                  <c:v>0.4</c:v>
                </c:pt>
                <c:pt idx="10" formatCode="0.000">
                  <c:v>0.42399999999999999</c:v>
                </c:pt>
                <c:pt idx="11" formatCode="0.000">
                  <c:v>0.42399999999999999</c:v>
                </c:pt>
                <c:pt idx="12" formatCode="0.000">
                  <c:v>0.44</c:v>
                </c:pt>
                <c:pt idx="13" formatCode="0.000">
                  <c:v>0.44</c:v>
                </c:pt>
                <c:pt idx="14">
                  <c:v>0.44800000000000001</c:v>
                </c:pt>
                <c:pt idx="15">
                  <c:v>0.44800000000000001</c:v>
                </c:pt>
              </c:numCache>
            </c:numRef>
          </c:yVal>
          <c:smooth val="0"/>
          <c:extLst>
            <c:ext xmlns:c16="http://schemas.microsoft.com/office/drawing/2014/chart" uri="{C3380CC4-5D6E-409C-BE32-E72D297353CC}">
              <c16:uniqueId val="{00000003-4474-4BED-9D11-5A7BEB893727}"/>
            </c:ext>
          </c:extLst>
        </c:ser>
        <c:dLbls>
          <c:showLegendKey val="0"/>
          <c:showVal val="0"/>
          <c:showCatName val="0"/>
          <c:showSerName val="0"/>
          <c:showPercent val="0"/>
          <c:showBubbleSize val="0"/>
        </c:dLbls>
        <c:axId val="3"/>
        <c:axId val="4"/>
      </c:scatterChart>
      <c:valAx>
        <c:axId val="1070208239"/>
        <c:scaling>
          <c:orientation val="minMax"/>
        </c:scaling>
        <c:delete val="0"/>
        <c:axPos val="b"/>
        <c:title>
          <c:tx>
            <c:rich>
              <a:bodyPr/>
              <a:lstStyle/>
              <a:p>
                <a:pPr>
                  <a:defRPr sz="900" b="0" i="0" u="none" strike="noStrike" baseline="0">
                    <a:solidFill>
                      <a:srgbClr val="000000"/>
                    </a:solidFill>
                    <a:latin typeface="MathSoftText"/>
                    <a:ea typeface="MathSoftText"/>
                    <a:cs typeface="MathSoftText"/>
                  </a:defRPr>
                </a:pPr>
                <a:r>
                  <a:rPr lang="en-GB"/>
                  <a:t>pot setting</a:t>
                </a:r>
              </a:p>
            </c:rich>
          </c:tx>
          <c:layout>
            <c:manualLayout>
              <c:xMode val="edge"/>
              <c:yMode val="edge"/>
              <c:x val="0.31989102719233758"/>
              <c:y val="0.82247947371105101"/>
            </c:manualLayout>
          </c:layout>
          <c:overlay val="0"/>
          <c:spPr>
            <a:noFill/>
            <a:ln w="25400">
              <a:noFill/>
            </a:ln>
          </c:spPr>
        </c:title>
        <c:numFmt formatCode="General" sourceLinked="1"/>
        <c:majorTickMark val="out"/>
        <c:minorTickMark val="none"/>
        <c:tickLblPos val="nextTo"/>
        <c:spPr>
          <a:ln w="3175">
            <a:solidFill>
              <a:srgbClr val="99CC00"/>
            </a:solidFill>
            <a:prstDash val="solid"/>
          </a:ln>
        </c:spPr>
        <c:txPr>
          <a:bodyPr rot="0" vert="horz"/>
          <a:lstStyle/>
          <a:p>
            <a:pPr>
              <a:defRPr sz="900" b="0" i="0" u="none" strike="noStrike" baseline="0">
                <a:solidFill>
                  <a:srgbClr val="000000"/>
                </a:solidFill>
                <a:latin typeface="MathSoftText"/>
                <a:ea typeface="MathSoftText"/>
                <a:cs typeface="MathSoftText"/>
              </a:defRPr>
            </a:pPr>
            <a:endParaRPr lang="en-US"/>
          </a:p>
        </c:txPr>
        <c:crossAx val="1"/>
        <c:crosses val="autoZero"/>
        <c:crossBetween val="midCat"/>
      </c:valAx>
      <c:valAx>
        <c:axId val="1"/>
        <c:scaling>
          <c:orientation val="minMax"/>
        </c:scaling>
        <c:delete val="0"/>
        <c:axPos val="l"/>
        <c:majorGridlines>
          <c:spPr>
            <a:ln w="3175">
              <a:solidFill>
                <a:srgbClr val="99CC00"/>
              </a:solidFill>
              <a:prstDash val="solid"/>
            </a:ln>
          </c:spPr>
        </c:majorGridlines>
        <c:title>
          <c:tx>
            <c:rich>
              <a:bodyPr/>
              <a:lstStyle/>
              <a:p>
                <a:pPr>
                  <a:defRPr sz="900" b="0" i="0" u="none" strike="noStrike" baseline="0">
                    <a:solidFill>
                      <a:srgbClr val="000000"/>
                    </a:solidFill>
                    <a:latin typeface="MathSoftText"/>
                    <a:ea typeface="MathSoftText"/>
                    <a:cs typeface="MathSoftText"/>
                  </a:defRPr>
                </a:pPr>
                <a:r>
                  <a:rPr lang="en-GB"/>
                  <a:t>bdot (volts)</a:t>
                </a:r>
              </a:p>
            </c:rich>
          </c:tx>
          <c:layout>
            <c:manualLayout>
              <c:xMode val="edge"/>
              <c:yMode val="edge"/>
              <c:x val="5.5308261710824723E-2"/>
              <c:y val="0.37076852465704524"/>
            </c:manualLayout>
          </c:layout>
          <c:overlay val="0"/>
          <c:spPr>
            <a:noFill/>
            <a:ln w="25400">
              <a:noFill/>
            </a:ln>
          </c:spPr>
        </c:title>
        <c:numFmt formatCode="0.00" sourceLinked="1"/>
        <c:majorTickMark val="out"/>
        <c:minorTickMark val="none"/>
        <c:tickLblPos val="nextTo"/>
        <c:spPr>
          <a:ln w="3175">
            <a:solidFill>
              <a:srgbClr val="99CC00"/>
            </a:solidFill>
            <a:prstDash val="solid"/>
          </a:ln>
        </c:spPr>
        <c:txPr>
          <a:bodyPr rot="0" vert="horz"/>
          <a:lstStyle/>
          <a:p>
            <a:pPr>
              <a:defRPr sz="900" b="0" i="0" u="none" strike="noStrike" baseline="0">
                <a:solidFill>
                  <a:srgbClr val="000000"/>
                </a:solidFill>
                <a:latin typeface="MathSoftText"/>
                <a:ea typeface="MathSoftText"/>
                <a:cs typeface="MathSoftText"/>
              </a:defRPr>
            </a:pPr>
            <a:endParaRPr lang="en-US"/>
          </a:p>
        </c:txPr>
        <c:crossAx val="1070208239"/>
        <c:crosses val="autoZero"/>
        <c:crossBetween val="midCat"/>
      </c:valAx>
      <c:valAx>
        <c:axId val="3"/>
        <c:scaling>
          <c:orientation val="minMax"/>
        </c:scaling>
        <c:delete val="1"/>
        <c:axPos val="b"/>
        <c:numFmt formatCode="General" sourceLinked="1"/>
        <c:majorTickMark val="out"/>
        <c:minorTickMark val="none"/>
        <c:tickLblPos val="nextTo"/>
        <c:crossAx val="4"/>
        <c:crosses val="autoZero"/>
        <c:crossBetween val="midCat"/>
      </c:valAx>
      <c:valAx>
        <c:axId val="4"/>
        <c:scaling>
          <c:orientation val="minMax"/>
        </c:scaling>
        <c:delete val="0"/>
        <c:axPos val="r"/>
        <c:numFmt formatCode="General" sourceLinked="1"/>
        <c:majorTickMark val="out"/>
        <c:minorTickMark val="none"/>
        <c:tickLblPos val="nextTo"/>
        <c:spPr>
          <a:ln w="3175">
            <a:solidFill>
              <a:srgbClr val="99CC00"/>
            </a:solidFill>
            <a:prstDash val="solid"/>
          </a:ln>
        </c:spPr>
        <c:txPr>
          <a:bodyPr rot="0" vert="horz"/>
          <a:lstStyle/>
          <a:p>
            <a:pPr>
              <a:defRPr sz="900" b="0" i="0" u="none" strike="noStrike" baseline="0">
                <a:solidFill>
                  <a:srgbClr val="000000"/>
                </a:solidFill>
                <a:latin typeface="MathSoftText"/>
                <a:ea typeface="MathSoftText"/>
                <a:cs typeface="MathSoftText"/>
              </a:defRPr>
            </a:pPr>
            <a:endParaRPr lang="en-US"/>
          </a:p>
        </c:txPr>
        <c:crossAx val="3"/>
        <c:crosses val="max"/>
        <c:crossBetween val="midCat"/>
      </c:valAx>
      <c:spPr>
        <a:noFill/>
        <a:ln w="12700">
          <a:solidFill>
            <a:srgbClr val="99CC00"/>
          </a:solidFill>
          <a:prstDash val="solid"/>
        </a:ln>
      </c:spPr>
    </c:plotArea>
    <c:legend>
      <c:legendPos val="r"/>
      <c:layout>
        <c:manualLayout>
          <c:xMode val="edge"/>
          <c:yMode val="edge"/>
          <c:x val="0.66668877629804935"/>
          <c:y val="0.20888367586312406"/>
          <c:w val="0.31391175565603224"/>
          <c:h val="0.28460400836350658"/>
        </c:manualLayout>
      </c:layout>
      <c:overlay val="0"/>
      <c:spPr>
        <a:solidFill>
          <a:srgbClr val="FFFFFF"/>
        </a:solidFill>
        <a:ln w="3175">
          <a:solidFill>
            <a:srgbClr val="000000"/>
          </a:solidFill>
          <a:prstDash val="solid"/>
        </a:ln>
      </c:spPr>
      <c:txPr>
        <a:bodyPr/>
        <a:lstStyle/>
        <a:p>
          <a:pPr>
            <a:defRPr sz="825" b="0" i="0" u="none" strike="noStrike" baseline="0">
              <a:solidFill>
                <a:srgbClr val="000000"/>
              </a:solidFill>
              <a:latin typeface="MathSoftText"/>
              <a:ea typeface="MathSoftText"/>
              <a:cs typeface="MathSoftText"/>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900" b="0" i="0" u="none" strike="noStrike" baseline="0">
          <a:solidFill>
            <a:srgbClr val="000000"/>
          </a:solidFill>
          <a:latin typeface="MathSoftText"/>
          <a:ea typeface="MathSoftText"/>
          <a:cs typeface="MathSoftText"/>
        </a:defRPr>
      </a:pPr>
      <a:endParaRPr lang="en-US"/>
    </a:p>
  </c:txPr>
  <c:printSettings>
    <c:headerFooter alignWithMargins="0"/>
    <c:pageMargins b="1" l="0.75" r="0.75" t="1" header="0.5" footer="0.5"/>
    <c:pageSetup orientation="landscape" horizontalDpi="355" verticalDpi="355"/>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0" i="0" u="none" strike="noStrike" baseline="0">
                <a:solidFill>
                  <a:srgbClr val="000000"/>
                </a:solidFill>
                <a:latin typeface="MathSoftText"/>
                <a:ea typeface="MathSoftText"/>
                <a:cs typeface="MathSoftText"/>
              </a:defRPr>
            </a:pPr>
            <a:r>
              <a:rPr lang="en-GB"/>
              <a:t>Lens 24 retest Bdot vs Rogowski</a:t>
            </a:r>
          </a:p>
        </c:rich>
      </c:tx>
      <c:layout>
        <c:manualLayout>
          <c:xMode val="edge"/>
          <c:yMode val="edge"/>
          <c:x val="0.26458276548151288"/>
          <c:y val="4.1668097227255674E-2"/>
        </c:manualLayout>
      </c:layout>
      <c:overlay val="0"/>
      <c:spPr>
        <a:noFill/>
        <a:ln w="25400">
          <a:noFill/>
        </a:ln>
      </c:spPr>
    </c:title>
    <c:autoTitleDeleted val="0"/>
    <c:plotArea>
      <c:layout>
        <c:manualLayout>
          <c:layoutTarget val="inner"/>
          <c:xMode val="edge"/>
          <c:yMode val="edge"/>
          <c:x val="0.14350251687132901"/>
          <c:y val="0.24167496391808291"/>
          <c:w val="0.79673793221269129"/>
          <c:h val="0.49446142043010072"/>
        </c:manualLayout>
      </c:layout>
      <c:scatterChart>
        <c:scatterStyle val="lineMarker"/>
        <c:varyColors val="0"/>
        <c:ser>
          <c:idx val="0"/>
          <c:order val="0"/>
          <c:spPr>
            <a:ln w="19050">
              <a:noFill/>
            </a:ln>
          </c:spPr>
          <c:marker>
            <c:symbol val="diamond"/>
            <c:size val="5"/>
            <c:spPr>
              <a:solidFill>
                <a:srgbClr val="FF0000"/>
              </a:solidFill>
              <a:ln>
                <a:solidFill>
                  <a:srgbClr val="FF0000"/>
                </a:solidFill>
                <a:prstDash val="solid"/>
              </a:ln>
            </c:spPr>
          </c:marker>
          <c:trendline>
            <c:spPr>
              <a:ln w="3175">
                <a:solidFill>
                  <a:srgbClr val="FF0000"/>
                </a:solidFill>
                <a:prstDash val="solid"/>
              </a:ln>
            </c:spPr>
            <c:trendlineType val="linear"/>
            <c:dispRSqr val="1"/>
            <c:dispEq val="1"/>
            <c:trendlineLbl>
              <c:layout>
                <c:manualLayout>
                  <c:xMode val="edge"/>
                  <c:yMode val="edge"/>
                  <c:x val="0.74292448838594294"/>
                  <c:y val="2.2222985187869693E-2"/>
                </c:manualLayout>
              </c:layout>
              <c:numFmt formatCode="General" sourceLinked="0"/>
              <c:spPr>
                <a:noFill/>
                <a:ln w="25400">
                  <a:noFill/>
                </a:ln>
              </c:spPr>
              <c:txPr>
                <a:bodyPr/>
                <a:lstStyle/>
                <a:p>
                  <a:pPr>
                    <a:defRPr sz="875" b="0" i="0" u="none" strike="noStrike" baseline="0">
                      <a:solidFill>
                        <a:srgbClr val="FF0000"/>
                      </a:solidFill>
                      <a:latin typeface="MathSoftText"/>
                      <a:ea typeface="MathSoftText"/>
                      <a:cs typeface="MathSoftText"/>
                    </a:defRPr>
                  </a:pPr>
                  <a:endParaRPr lang="en-US"/>
                </a:p>
              </c:txPr>
            </c:trendlineLbl>
          </c:trendline>
          <c:xVal>
            <c:numRef>
              <c:f>'Lens 24 retest'!$D$7:$D$22</c:f>
              <c:numCache>
                <c:formatCode>0.00</c:formatCode>
                <c:ptCount val="16"/>
                <c:pt idx="0">
                  <c:v>1.92</c:v>
                </c:pt>
                <c:pt idx="1">
                  <c:v>1.92</c:v>
                </c:pt>
                <c:pt idx="2">
                  <c:v>2.2799999999999998</c:v>
                </c:pt>
                <c:pt idx="3">
                  <c:v>2.2400000000000002</c:v>
                </c:pt>
                <c:pt idx="4">
                  <c:v>2.2400000000000002</c:v>
                </c:pt>
                <c:pt idx="5">
                  <c:v>2.2400000000000002</c:v>
                </c:pt>
                <c:pt idx="6">
                  <c:v>2.64</c:v>
                </c:pt>
                <c:pt idx="7">
                  <c:v>2.64</c:v>
                </c:pt>
                <c:pt idx="8">
                  <c:v>2.96</c:v>
                </c:pt>
                <c:pt idx="9">
                  <c:v>2.96</c:v>
                </c:pt>
                <c:pt idx="10">
                  <c:v>3.12</c:v>
                </c:pt>
                <c:pt idx="11">
                  <c:v>3.12</c:v>
                </c:pt>
                <c:pt idx="12" formatCode="General">
                  <c:v>3.28</c:v>
                </c:pt>
                <c:pt idx="13" formatCode="General">
                  <c:v>3.28</c:v>
                </c:pt>
                <c:pt idx="14" formatCode="General">
                  <c:v>3.32</c:v>
                </c:pt>
                <c:pt idx="15" formatCode="General">
                  <c:v>3.32</c:v>
                </c:pt>
              </c:numCache>
            </c:numRef>
          </c:xVal>
          <c:yVal>
            <c:numRef>
              <c:f>'Lens 24 retest'!$C$7:$C$22</c:f>
              <c:numCache>
                <c:formatCode>General</c:formatCode>
                <c:ptCount val="16"/>
                <c:pt idx="0">
                  <c:v>0.26</c:v>
                </c:pt>
                <c:pt idx="1">
                  <c:v>0.26</c:v>
                </c:pt>
                <c:pt idx="2" formatCode="0.000">
                  <c:v>0.30399999999999999</c:v>
                </c:pt>
                <c:pt idx="3" formatCode="0.000">
                  <c:v>0.30399999999999999</c:v>
                </c:pt>
                <c:pt idx="4" formatCode="0.000">
                  <c:v>0.30399999999999999</c:v>
                </c:pt>
                <c:pt idx="5" formatCode="0.000">
                  <c:v>0.30399999999999999</c:v>
                </c:pt>
                <c:pt idx="6" formatCode="0.000">
                  <c:v>0.35599999999999998</c:v>
                </c:pt>
                <c:pt idx="7" formatCode="0.000">
                  <c:v>0.35599999999999998</c:v>
                </c:pt>
                <c:pt idx="8" formatCode="0.000">
                  <c:v>0.4</c:v>
                </c:pt>
                <c:pt idx="9" formatCode="0.000">
                  <c:v>0.4</c:v>
                </c:pt>
                <c:pt idx="10" formatCode="0.000">
                  <c:v>0.42399999999999999</c:v>
                </c:pt>
                <c:pt idx="11" formatCode="0.000">
                  <c:v>0.42399999999999999</c:v>
                </c:pt>
                <c:pt idx="12" formatCode="0.000">
                  <c:v>0.44</c:v>
                </c:pt>
                <c:pt idx="13" formatCode="0.000">
                  <c:v>0.44</c:v>
                </c:pt>
                <c:pt idx="14">
                  <c:v>0.44800000000000001</c:v>
                </c:pt>
                <c:pt idx="15">
                  <c:v>0.44800000000000001</c:v>
                </c:pt>
              </c:numCache>
            </c:numRef>
          </c:yVal>
          <c:smooth val="0"/>
          <c:extLst>
            <c:ext xmlns:c16="http://schemas.microsoft.com/office/drawing/2014/chart" uri="{C3380CC4-5D6E-409C-BE32-E72D297353CC}">
              <c16:uniqueId val="{00000001-0294-4CED-B7CE-872ACE1D4444}"/>
            </c:ext>
          </c:extLst>
        </c:ser>
        <c:dLbls>
          <c:showLegendKey val="0"/>
          <c:showVal val="0"/>
          <c:showCatName val="0"/>
          <c:showSerName val="0"/>
          <c:showPercent val="0"/>
          <c:showBubbleSize val="0"/>
        </c:dLbls>
        <c:axId val="1070208655"/>
        <c:axId val="1"/>
      </c:scatterChart>
      <c:valAx>
        <c:axId val="1070208655"/>
        <c:scaling>
          <c:orientation val="minMax"/>
          <c:max val="3.5"/>
          <c:min val="1.5"/>
        </c:scaling>
        <c:delete val="0"/>
        <c:axPos val="b"/>
        <c:title>
          <c:tx>
            <c:rich>
              <a:bodyPr/>
              <a:lstStyle/>
              <a:p>
                <a:pPr>
                  <a:defRPr sz="875" b="0" i="0" u="none" strike="noStrike" baseline="0">
                    <a:solidFill>
                      <a:srgbClr val="000000"/>
                    </a:solidFill>
                    <a:latin typeface="MathSoftText"/>
                    <a:ea typeface="MathSoftText"/>
                    <a:cs typeface="MathSoftText"/>
                  </a:defRPr>
                </a:pPr>
                <a:r>
                  <a:rPr lang="en-GB"/>
                  <a:t>Bdot (volts)</a:t>
                </a:r>
              </a:p>
            </c:rich>
          </c:tx>
          <c:layout>
            <c:manualLayout>
              <c:xMode val="edge"/>
              <c:yMode val="edge"/>
              <c:x val="0.46937281559997202"/>
              <c:y val="0.85558492973298317"/>
            </c:manualLayout>
          </c:layout>
          <c:overlay val="0"/>
          <c:spPr>
            <a:noFill/>
            <a:ln w="25400">
              <a:noFill/>
            </a:ln>
          </c:spPr>
        </c:title>
        <c:numFmt formatCode="0.00" sourceLinked="1"/>
        <c:majorTickMark val="out"/>
        <c:minorTickMark val="none"/>
        <c:tickLblPos val="nextTo"/>
        <c:spPr>
          <a:ln w="3175">
            <a:solidFill>
              <a:srgbClr val="99CC00"/>
            </a:solidFill>
            <a:prstDash val="solid"/>
          </a:ln>
        </c:spPr>
        <c:txPr>
          <a:bodyPr rot="0" vert="horz"/>
          <a:lstStyle/>
          <a:p>
            <a:pPr>
              <a:defRPr sz="875" b="0" i="0" u="none" strike="noStrike" baseline="0">
                <a:solidFill>
                  <a:srgbClr val="000000"/>
                </a:solidFill>
                <a:latin typeface="MathSoftText"/>
                <a:ea typeface="MathSoftText"/>
                <a:cs typeface="MathSoftText"/>
              </a:defRPr>
            </a:pPr>
            <a:endParaRPr lang="en-US"/>
          </a:p>
        </c:txPr>
        <c:crossAx val="1"/>
        <c:crosses val="autoZero"/>
        <c:crossBetween val="midCat"/>
        <c:minorUnit val="0.1"/>
      </c:valAx>
      <c:valAx>
        <c:axId val="1"/>
        <c:scaling>
          <c:orientation val="minMax"/>
        </c:scaling>
        <c:delete val="0"/>
        <c:axPos val="l"/>
        <c:majorGridlines>
          <c:spPr>
            <a:ln w="3175">
              <a:solidFill>
                <a:srgbClr val="99CC00"/>
              </a:solidFill>
              <a:prstDash val="solid"/>
            </a:ln>
          </c:spPr>
        </c:majorGridlines>
        <c:title>
          <c:tx>
            <c:rich>
              <a:bodyPr/>
              <a:lstStyle/>
              <a:p>
                <a:pPr>
                  <a:defRPr sz="875" b="0" i="0" u="none" strike="noStrike" baseline="0">
                    <a:solidFill>
                      <a:srgbClr val="000000"/>
                    </a:solidFill>
                    <a:latin typeface="MathSoftText"/>
                    <a:ea typeface="MathSoftText"/>
                    <a:cs typeface="MathSoftText"/>
                  </a:defRPr>
                </a:pPr>
                <a:r>
                  <a:rPr lang="en-GB"/>
                  <a:t>Rogowski (volts)</a:t>
                </a:r>
              </a:p>
            </c:rich>
          </c:tx>
          <c:layout>
            <c:manualLayout>
              <c:xMode val="edge"/>
              <c:yMode val="edge"/>
              <c:x val="3.2885993449679567E-2"/>
              <c:y val="0.29723242688775714"/>
            </c:manualLayout>
          </c:layout>
          <c:overlay val="0"/>
          <c:spPr>
            <a:noFill/>
            <a:ln w="25400">
              <a:noFill/>
            </a:ln>
          </c:spPr>
        </c:title>
        <c:numFmt formatCode="General" sourceLinked="1"/>
        <c:majorTickMark val="out"/>
        <c:minorTickMark val="none"/>
        <c:tickLblPos val="nextTo"/>
        <c:spPr>
          <a:ln w="3175">
            <a:solidFill>
              <a:srgbClr val="99CC00"/>
            </a:solidFill>
            <a:prstDash val="solid"/>
          </a:ln>
        </c:spPr>
        <c:txPr>
          <a:bodyPr rot="0" vert="horz"/>
          <a:lstStyle/>
          <a:p>
            <a:pPr>
              <a:defRPr sz="875" b="0" i="0" u="none" strike="noStrike" baseline="0">
                <a:solidFill>
                  <a:srgbClr val="000000"/>
                </a:solidFill>
                <a:latin typeface="MathSoftText"/>
                <a:ea typeface="MathSoftText"/>
                <a:cs typeface="MathSoftText"/>
              </a:defRPr>
            </a:pPr>
            <a:endParaRPr lang="en-US"/>
          </a:p>
        </c:txPr>
        <c:crossAx val="1070208655"/>
        <c:crosses val="autoZero"/>
        <c:crossBetween val="midCat"/>
      </c:valAx>
      <c:spPr>
        <a:noFill/>
        <a:ln w="12700">
          <a:solidFill>
            <a:srgbClr val="99CC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75" b="0" i="0" u="none" strike="noStrike" baseline="0">
          <a:solidFill>
            <a:srgbClr val="000000"/>
          </a:solidFill>
          <a:latin typeface="MathSoftText"/>
          <a:ea typeface="MathSoftText"/>
          <a:cs typeface="MathSoftText"/>
        </a:defRPr>
      </a:pPr>
      <a:endParaRPr lang="en-US"/>
    </a:p>
  </c:txPr>
  <c:printSettings>
    <c:headerFooter alignWithMargins="0"/>
    <c:pageMargins b="1" l="0.75" r="0.75" t="1" header="0.5" footer="0.5"/>
    <c:pageSetup orientation="landscape"/>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575" b="0" i="0" u="none" strike="noStrike" baseline="0">
                <a:solidFill>
                  <a:srgbClr val="000000"/>
                </a:solidFill>
                <a:latin typeface="MathSoftText"/>
                <a:ea typeface="MathSoftText"/>
                <a:cs typeface="MathSoftText"/>
              </a:defRPr>
            </a:pPr>
            <a:r>
              <a:rPr lang="en-GB"/>
              <a:t>lens 27 pulse count vs peak current</a:t>
            </a:r>
          </a:p>
        </c:rich>
      </c:tx>
      <c:layout>
        <c:manualLayout>
          <c:xMode val="edge"/>
          <c:yMode val="edge"/>
          <c:x val="0.35225061474483899"/>
          <c:y val="5.7973202491036047E-2"/>
        </c:manualLayout>
      </c:layout>
      <c:overlay val="0"/>
      <c:spPr>
        <a:noFill/>
        <a:ln w="25400">
          <a:noFill/>
        </a:ln>
      </c:spPr>
    </c:title>
    <c:autoTitleDeleted val="0"/>
    <c:plotArea>
      <c:layout>
        <c:manualLayout>
          <c:layoutTarget val="inner"/>
          <c:xMode val="edge"/>
          <c:yMode val="edge"/>
          <c:x val="0.12388475010093913"/>
          <c:y val="0.28503491224759386"/>
          <c:w val="0.84629702779798177"/>
          <c:h val="0.31402151349311191"/>
        </c:manualLayout>
      </c:layout>
      <c:barChart>
        <c:barDir val="col"/>
        <c:grouping val="clustered"/>
        <c:varyColors val="0"/>
        <c:ser>
          <c:idx val="0"/>
          <c:order val="0"/>
          <c:spPr>
            <a:solidFill>
              <a:srgbClr val="9999FF"/>
            </a:solidFill>
            <a:ln w="12700">
              <a:solidFill>
                <a:srgbClr val="000000"/>
              </a:solidFill>
              <a:prstDash val="solid"/>
            </a:ln>
          </c:spPr>
          <c:invertIfNegative val="0"/>
          <c:cat>
            <c:numRef>
              <c:f>'Lens 27'!$D$81:$D$95</c:f>
              <c:numCache>
                <c:formatCode>General</c:formatCode>
                <c:ptCount val="15"/>
                <c:pt idx="0">
                  <c:v>295863.45722298301</c:v>
                </c:pt>
                <c:pt idx="1">
                  <c:v>345611.71336491464</c:v>
                </c:pt>
                <c:pt idx="2">
                  <c:v>395359.96950684639</c:v>
                </c:pt>
                <c:pt idx="3">
                  <c:v>445108.22564877814</c:v>
                </c:pt>
                <c:pt idx="4">
                  <c:v>494856.48179070977</c:v>
                </c:pt>
                <c:pt idx="5">
                  <c:v>519730.60986167559</c:v>
                </c:pt>
                <c:pt idx="6">
                  <c:v>544604.73793264152</c:v>
                </c:pt>
                <c:pt idx="7">
                  <c:v>569478.86600360728</c:v>
                </c:pt>
                <c:pt idx="8">
                  <c:v>576941.104424897</c:v>
                </c:pt>
                <c:pt idx="9">
                  <c:v>578931.03467057436</c:v>
                </c:pt>
                <c:pt idx="10">
                  <c:v>579428.51723199361</c:v>
                </c:pt>
                <c:pt idx="11">
                  <c:v>584403.34284618672</c:v>
                </c:pt>
                <c:pt idx="12">
                  <c:v>594352.99407457304</c:v>
                </c:pt>
                <c:pt idx="13">
                  <c:v>611764.88372424932</c:v>
                </c:pt>
                <c:pt idx="14">
                  <c:v>614252.29653134581</c:v>
                </c:pt>
              </c:numCache>
            </c:numRef>
          </c:cat>
          <c:val>
            <c:numRef>
              <c:f>'Lens 27'!$A$81:$A$95</c:f>
              <c:numCache>
                <c:formatCode>General</c:formatCode>
                <c:ptCount val="15"/>
                <c:pt idx="0">
                  <c:v>2470</c:v>
                </c:pt>
                <c:pt idx="1">
                  <c:v>1626</c:v>
                </c:pt>
                <c:pt idx="2">
                  <c:v>569</c:v>
                </c:pt>
                <c:pt idx="3">
                  <c:v>640</c:v>
                </c:pt>
                <c:pt idx="4">
                  <c:v>1238</c:v>
                </c:pt>
                <c:pt idx="5">
                  <c:v>625</c:v>
                </c:pt>
                <c:pt idx="6">
                  <c:v>808</c:v>
                </c:pt>
                <c:pt idx="7">
                  <c:v>34696</c:v>
                </c:pt>
                <c:pt idx="8">
                  <c:v>9865</c:v>
                </c:pt>
                <c:pt idx="9">
                  <c:v>1687</c:v>
                </c:pt>
                <c:pt idx="10">
                  <c:v>350</c:v>
                </c:pt>
                <c:pt idx="11">
                  <c:v>45</c:v>
                </c:pt>
                <c:pt idx="12">
                  <c:v>280</c:v>
                </c:pt>
                <c:pt idx="13">
                  <c:v>14840</c:v>
                </c:pt>
                <c:pt idx="14">
                  <c:v>2211</c:v>
                </c:pt>
              </c:numCache>
            </c:numRef>
          </c:val>
          <c:extLst>
            <c:ext xmlns:c16="http://schemas.microsoft.com/office/drawing/2014/chart" uri="{C3380CC4-5D6E-409C-BE32-E72D297353CC}">
              <c16:uniqueId val="{00000000-49B9-4C53-8A08-0AF995D4313A}"/>
            </c:ext>
          </c:extLst>
        </c:ser>
        <c:dLbls>
          <c:showLegendKey val="0"/>
          <c:showVal val="0"/>
          <c:showCatName val="0"/>
          <c:showSerName val="0"/>
          <c:showPercent val="0"/>
          <c:showBubbleSize val="0"/>
        </c:dLbls>
        <c:gapWidth val="150"/>
        <c:axId val="855926735"/>
        <c:axId val="1"/>
      </c:barChart>
      <c:catAx>
        <c:axId val="855926735"/>
        <c:scaling>
          <c:orientation val="minMax"/>
        </c:scaling>
        <c:delete val="0"/>
        <c:axPos val="b"/>
        <c:title>
          <c:tx>
            <c:rich>
              <a:bodyPr/>
              <a:lstStyle/>
              <a:p>
                <a:pPr>
                  <a:defRPr sz="475" b="0" i="0" u="none" strike="noStrike" baseline="0">
                    <a:solidFill>
                      <a:srgbClr val="000000"/>
                    </a:solidFill>
                    <a:latin typeface="MathSoftText"/>
                    <a:ea typeface="MathSoftText"/>
                    <a:cs typeface="MathSoftText"/>
                  </a:defRPr>
                </a:pPr>
                <a:r>
                  <a:rPr lang="en-GB"/>
                  <a:t>amps</a:t>
                </a:r>
              </a:p>
            </c:rich>
          </c:tx>
          <c:layout>
            <c:manualLayout>
              <c:xMode val="edge"/>
              <c:yMode val="edge"/>
              <c:x val="0.52539074741603098"/>
              <c:y val="0.81645593508209091"/>
            </c:manualLayout>
          </c:layout>
          <c:overlay val="0"/>
          <c:spPr>
            <a:noFill/>
            <a:ln w="25400">
              <a:noFill/>
            </a:ln>
          </c:spPr>
        </c:title>
        <c:numFmt formatCode="0" sourceLinked="0"/>
        <c:majorTickMark val="out"/>
        <c:minorTickMark val="none"/>
        <c:tickLblPos val="nextTo"/>
        <c:spPr>
          <a:ln w="3175">
            <a:solidFill>
              <a:srgbClr val="99CC00"/>
            </a:solidFill>
            <a:prstDash val="solid"/>
          </a:ln>
        </c:spPr>
        <c:txPr>
          <a:bodyPr rot="-2700000" vert="horz"/>
          <a:lstStyle/>
          <a:p>
            <a:pPr>
              <a:defRPr sz="475" b="0" i="0" u="none" strike="noStrike" baseline="0">
                <a:solidFill>
                  <a:srgbClr val="000000"/>
                </a:solidFill>
                <a:latin typeface="MathSoftText"/>
                <a:ea typeface="MathSoftText"/>
                <a:cs typeface="MathSoftText"/>
              </a:defRPr>
            </a:pPr>
            <a:endParaRPr lang="en-US"/>
          </a:p>
        </c:txPr>
        <c:crossAx val="1"/>
        <c:crosses val="autoZero"/>
        <c:auto val="1"/>
        <c:lblAlgn val="ctr"/>
        <c:lblOffset val="100"/>
        <c:tickLblSkip val="1"/>
        <c:tickMarkSkip val="1"/>
        <c:noMultiLvlLbl val="0"/>
      </c:catAx>
      <c:valAx>
        <c:axId val="1"/>
        <c:scaling>
          <c:logBase val="10"/>
          <c:orientation val="minMax"/>
          <c:min val="10"/>
        </c:scaling>
        <c:delete val="0"/>
        <c:axPos val="l"/>
        <c:majorGridlines>
          <c:spPr>
            <a:ln w="3175">
              <a:solidFill>
                <a:srgbClr val="99CC00"/>
              </a:solidFill>
              <a:prstDash val="solid"/>
            </a:ln>
          </c:spPr>
        </c:majorGridlines>
        <c:title>
          <c:tx>
            <c:rich>
              <a:bodyPr/>
              <a:lstStyle/>
              <a:p>
                <a:pPr>
                  <a:defRPr sz="475" b="0" i="0" u="none" strike="noStrike" baseline="0">
                    <a:solidFill>
                      <a:srgbClr val="000000"/>
                    </a:solidFill>
                    <a:latin typeface="MathSoftText"/>
                    <a:ea typeface="MathSoftText"/>
                    <a:cs typeface="MathSoftText"/>
                  </a:defRPr>
                </a:pPr>
                <a:r>
                  <a:rPr lang="en-GB"/>
                  <a:t>number of pulses</a:t>
                </a:r>
              </a:p>
            </c:rich>
          </c:tx>
          <c:layout>
            <c:manualLayout>
              <c:xMode val="edge"/>
              <c:yMode val="edge"/>
              <c:x val="3.2836921713501936E-2"/>
              <c:y val="0.24155501037931684"/>
            </c:manualLayout>
          </c:layout>
          <c:overlay val="0"/>
          <c:spPr>
            <a:noFill/>
            <a:ln w="25400">
              <a:noFill/>
            </a:ln>
          </c:spPr>
        </c:title>
        <c:numFmt formatCode="General" sourceLinked="1"/>
        <c:majorTickMark val="out"/>
        <c:minorTickMark val="none"/>
        <c:tickLblPos val="nextTo"/>
        <c:spPr>
          <a:ln w="3175">
            <a:solidFill>
              <a:srgbClr val="99CC00"/>
            </a:solidFill>
            <a:prstDash val="solid"/>
          </a:ln>
        </c:spPr>
        <c:txPr>
          <a:bodyPr rot="0" vert="horz"/>
          <a:lstStyle/>
          <a:p>
            <a:pPr>
              <a:defRPr sz="475" b="0" i="0" u="none" strike="noStrike" baseline="0">
                <a:solidFill>
                  <a:srgbClr val="000000"/>
                </a:solidFill>
                <a:latin typeface="MathSoftText"/>
                <a:ea typeface="MathSoftText"/>
                <a:cs typeface="MathSoftText"/>
              </a:defRPr>
            </a:pPr>
            <a:endParaRPr lang="en-US"/>
          </a:p>
        </c:txPr>
        <c:crossAx val="855926735"/>
        <c:crosses val="autoZero"/>
        <c:crossBetween val="between"/>
      </c:valAx>
      <c:spPr>
        <a:noFill/>
        <a:ln w="12700">
          <a:solidFill>
            <a:srgbClr val="99CC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475" b="0" i="0" u="none" strike="noStrike" baseline="0">
          <a:solidFill>
            <a:srgbClr val="000000"/>
          </a:solidFill>
          <a:latin typeface="MathSoftText"/>
          <a:ea typeface="MathSoftText"/>
          <a:cs typeface="MathSoftText"/>
        </a:defRPr>
      </a:pPr>
      <a:endParaRPr lang="en-US"/>
    </a:p>
  </c:txPr>
  <c:printSettings>
    <c:headerFooter alignWithMargins="0"/>
    <c:pageMargins b="1" l="0.75" r="0.75" t="1" header="0.5" footer="0.5"/>
    <c:pageSetup orientation="landscape"/>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300" b="0" i="0" u="none" strike="noStrike" baseline="0">
                <a:solidFill>
                  <a:srgbClr val="000000"/>
                </a:solidFill>
                <a:latin typeface="MathSoftText"/>
                <a:ea typeface="MathSoftText"/>
                <a:cs typeface="MathSoftText"/>
              </a:defRPr>
            </a:pPr>
            <a:r>
              <a:rPr lang="en-GB"/>
              <a:t>lens 27 pulse count vs peak current</a:t>
            </a:r>
          </a:p>
        </c:rich>
      </c:tx>
      <c:overlay val="0"/>
      <c:spPr>
        <a:noFill/>
        <a:ln w="25400">
          <a:noFill/>
        </a:ln>
      </c:spPr>
    </c:title>
    <c:autoTitleDeleted val="0"/>
    <c:plotArea>
      <c:layout/>
      <c:scatterChart>
        <c:scatterStyle val="lineMarker"/>
        <c:varyColors val="0"/>
        <c:ser>
          <c:idx val="0"/>
          <c:order val="0"/>
          <c:spPr>
            <a:ln w="19050">
              <a:noFill/>
            </a:ln>
          </c:spPr>
          <c:marker>
            <c:symbol val="diamond"/>
            <c:size val="5"/>
            <c:spPr>
              <a:solidFill>
                <a:srgbClr val="000080"/>
              </a:solidFill>
              <a:ln>
                <a:solidFill>
                  <a:srgbClr val="000080"/>
                </a:solidFill>
                <a:prstDash val="solid"/>
              </a:ln>
            </c:spPr>
          </c:marker>
          <c:xVal>
            <c:numRef>
              <c:f>'Lens 27'!$D$81:$D$81</c:f>
              <c:numCache>
                <c:formatCode>General</c:formatCode>
                <c:ptCount val="1"/>
                <c:pt idx="0">
                  <c:v>295863.45722298301</c:v>
                </c:pt>
              </c:numCache>
            </c:numRef>
          </c:xVal>
          <c:yVal>
            <c:numRef>
              <c:f>'Lens 27'!$A$81:$A$81</c:f>
              <c:numCache>
                <c:formatCode>General</c:formatCode>
                <c:ptCount val="1"/>
                <c:pt idx="0">
                  <c:v>2470</c:v>
                </c:pt>
              </c:numCache>
            </c:numRef>
          </c:yVal>
          <c:smooth val="0"/>
          <c:extLst>
            <c:ext xmlns:c16="http://schemas.microsoft.com/office/drawing/2014/chart" uri="{C3380CC4-5D6E-409C-BE32-E72D297353CC}">
              <c16:uniqueId val="{00000000-4950-412C-8D92-4F3449F4894B}"/>
            </c:ext>
          </c:extLst>
        </c:ser>
        <c:dLbls>
          <c:showLegendKey val="0"/>
          <c:showVal val="0"/>
          <c:showCatName val="0"/>
          <c:showSerName val="0"/>
          <c:showPercent val="0"/>
          <c:showBubbleSize val="0"/>
        </c:dLbls>
        <c:axId val="1070206575"/>
        <c:axId val="1"/>
      </c:scatterChart>
      <c:valAx>
        <c:axId val="1070206575"/>
        <c:scaling>
          <c:orientation val="minMax"/>
          <c:max val="700000"/>
          <c:min val="200000"/>
        </c:scaling>
        <c:delete val="0"/>
        <c:axPos val="b"/>
        <c:title>
          <c:tx>
            <c:rich>
              <a:bodyPr/>
              <a:lstStyle/>
              <a:p>
                <a:pPr>
                  <a:defRPr sz="250" b="0" i="0" u="none" strike="noStrike" baseline="0">
                    <a:solidFill>
                      <a:srgbClr val="000000"/>
                    </a:solidFill>
                    <a:latin typeface="MathSoftText"/>
                    <a:ea typeface="MathSoftText"/>
                    <a:cs typeface="MathSoftText"/>
                  </a:defRPr>
                </a:pPr>
                <a:r>
                  <a:rPr lang="en-GB"/>
                  <a:t>amps</a:t>
                </a:r>
              </a:p>
            </c:rich>
          </c:tx>
          <c:overlay val="0"/>
          <c:spPr>
            <a:noFill/>
            <a:ln w="25400">
              <a:noFill/>
            </a:ln>
          </c:spPr>
        </c:title>
        <c:numFmt formatCode="0" sourceLinked="0"/>
        <c:majorTickMark val="out"/>
        <c:minorTickMark val="none"/>
        <c:tickLblPos val="nextTo"/>
        <c:spPr>
          <a:ln w="3175">
            <a:solidFill>
              <a:srgbClr val="99CC00"/>
            </a:solidFill>
            <a:prstDash val="solid"/>
          </a:ln>
        </c:spPr>
        <c:txPr>
          <a:bodyPr rot="0" vert="horz"/>
          <a:lstStyle/>
          <a:p>
            <a:pPr>
              <a:defRPr sz="250" b="0" i="0" u="none" strike="noStrike" baseline="0">
                <a:solidFill>
                  <a:srgbClr val="000000"/>
                </a:solidFill>
                <a:latin typeface="MathSoftText"/>
                <a:ea typeface="MathSoftText"/>
                <a:cs typeface="MathSoftText"/>
              </a:defRPr>
            </a:pPr>
            <a:endParaRPr lang="en-US"/>
          </a:p>
        </c:txPr>
        <c:crossAx val="1"/>
        <c:crosses val="autoZero"/>
        <c:crossBetween val="midCat"/>
      </c:valAx>
      <c:valAx>
        <c:axId val="1"/>
        <c:scaling>
          <c:orientation val="minMax"/>
          <c:max val="40000"/>
          <c:min val="0"/>
        </c:scaling>
        <c:delete val="0"/>
        <c:axPos val="l"/>
        <c:majorGridlines>
          <c:spPr>
            <a:ln w="3175">
              <a:solidFill>
                <a:srgbClr val="99CC00"/>
              </a:solidFill>
              <a:prstDash val="solid"/>
            </a:ln>
          </c:spPr>
        </c:majorGridlines>
        <c:title>
          <c:tx>
            <c:rich>
              <a:bodyPr/>
              <a:lstStyle/>
              <a:p>
                <a:pPr>
                  <a:defRPr sz="250" b="0" i="0" u="none" strike="noStrike" baseline="0">
                    <a:solidFill>
                      <a:srgbClr val="000000"/>
                    </a:solidFill>
                    <a:latin typeface="MathSoftText"/>
                    <a:ea typeface="MathSoftText"/>
                    <a:cs typeface="MathSoftText"/>
                  </a:defRPr>
                </a:pPr>
                <a:r>
                  <a:rPr lang="en-GB"/>
                  <a:t>number of pulses</a:t>
                </a:r>
              </a:p>
            </c:rich>
          </c:tx>
          <c:overlay val="0"/>
          <c:spPr>
            <a:noFill/>
            <a:ln w="25400">
              <a:noFill/>
            </a:ln>
          </c:spPr>
        </c:title>
        <c:numFmt formatCode="General" sourceLinked="1"/>
        <c:majorTickMark val="out"/>
        <c:minorTickMark val="none"/>
        <c:tickLblPos val="nextTo"/>
        <c:spPr>
          <a:ln w="3175">
            <a:solidFill>
              <a:srgbClr val="99CC00"/>
            </a:solidFill>
            <a:prstDash val="solid"/>
          </a:ln>
        </c:spPr>
        <c:txPr>
          <a:bodyPr rot="0" vert="horz"/>
          <a:lstStyle/>
          <a:p>
            <a:pPr>
              <a:defRPr sz="250" b="0" i="0" u="none" strike="noStrike" baseline="0">
                <a:solidFill>
                  <a:srgbClr val="000000"/>
                </a:solidFill>
                <a:latin typeface="MathSoftText"/>
                <a:ea typeface="MathSoftText"/>
                <a:cs typeface="MathSoftText"/>
              </a:defRPr>
            </a:pPr>
            <a:endParaRPr lang="en-US"/>
          </a:p>
        </c:txPr>
        <c:crossAx val="1070206575"/>
        <c:crosses val="autoZero"/>
        <c:crossBetween val="midCat"/>
      </c:valAx>
      <c:spPr>
        <a:noFill/>
        <a:ln w="12700">
          <a:solidFill>
            <a:srgbClr val="99CC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250" b="0" i="0" u="none" strike="noStrike" baseline="0">
          <a:solidFill>
            <a:srgbClr val="000000"/>
          </a:solidFill>
          <a:latin typeface="MathSoftText"/>
          <a:ea typeface="MathSoftText"/>
          <a:cs typeface="MathSoftText"/>
        </a:defRPr>
      </a:pPr>
      <a:endParaRPr lang="en-US"/>
    </a:p>
  </c:txPr>
  <c:printSettings>
    <c:headerFooter alignWithMargins="0"/>
    <c:pageMargins b="1" l="0.75" r="0.75" t="1" header="0.5" footer="0.5"/>
    <c:pageSetup orientation="landscape" horizontalDpi="355" verticalDpi="355"/>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375" b="0" i="0" u="none" strike="noStrike" baseline="0">
                <a:solidFill>
                  <a:srgbClr val="000000"/>
                </a:solidFill>
                <a:latin typeface="MathSoftText"/>
                <a:ea typeface="MathSoftText"/>
                <a:cs typeface="MathSoftText"/>
              </a:defRPr>
            </a:pPr>
            <a:r>
              <a:rPr lang="en-GB"/>
              <a:t>lens 27 pulse count vs peak current</a:t>
            </a:r>
          </a:p>
        </c:rich>
      </c:tx>
      <c:layout>
        <c:manualLayout>
          <c:xMode val="edge"/>
          <c:yMode val="edge"/>
          <c:x val="0.40537751625349483"/>
          <c:y val="7.299538365681299E-2"/>
        </c:manualLayout>
      </c:layout>
      <c:overlay val="0"/>
      <c:spPr>
        <a:noFill/>
        <a:ln w="25400">
          <a:noFill/>
        </a:ln>
      </c:spPr>
    </c:title>
    <c:autoTitleDeleted val="0"/>
    <c:plotArea>
      <c:layout>
        <c:manualLayout>
          <c:layoutTarget val="inner"/>
          <c:xMode val="edge"/>
          <c:yMode val="edge"/>
          <c:x val="8.3460076875719533E-2"/>
          <c:y val="0.34307830318702104"/>
          <c:w val="0.88676331680452003"/>
          <c:h val="0.28468199626157065"/>
        </c:manualLayout>
      </c:layout>
      <c:barChart>
        <c:barDir val="col"/>
        <c:grouping val="clustered"/>
        <c:varyColors val="0"/>
        <c:ser>
          <c:idx val="0"/>
          <c:order val="0"/>
          <c:spPr>
            <a:solidFill>
              <a:srgbClr val="9999FF"/>
            </a:solidFill>
            <a:ln w="12700">
              <a:solidFill>
                <a:srgbClr val="000000"/>
              </a:solidFill>
              <a:prstDash val="solid"/>
            </a:ln>
          </c:spPr>
          <c:invertIfNegative val="0"/>
          <c:cat>
            <c:numRef>
              <c:f>'Lens 27'!$D$81:$D$95</c:f>
              <c:numCache>
                <c:formatCode>General</c:formatCode>
                <c:ptCount val="15"/>
                <c:pt idx="0">
                  <c:v>295863.45722298301</c:v>
                </c:pt>
                <c:pt idx="1">
                  <c:v>345611.71336491464</c:v>
                </c:pt>
                <c:pt idx="2">
                  <c:v>395359.96950684639</c:v>
                </c:pt>
                <c:pt idx="3">
                  <c:v>445108.22564877814</c:v>
                </c:pt>
                <c:pt idx="4">
                  <c:v>494856.48179070977</c:v>
                </c:pt>
                <c:pt idx="5">
                  <c:v>519730.60986167559</c:v>
                </c:pt>
                <c:pt idx="6">
                  <c:v>544604.73793264152</c:v>
                </c:pt>
                <c:pt idx="7">
                  <c:v>569478.86600360728</c:v>
                </c:pt>
                <c:pt idx="8">
                  <c:v>576941.104424897</c:v>
                </c:pt>
                <c:pt idx="9">
                  <c:v>578931.03467057436</c:v>
                </c:pt>
                <c:pt idx="10">
                  <c:v>579428.51723199361</c:v>
                </c:pt>
                <c:pt idx="11">
                  <c:v>584403.34284618672</c:v>
                </c:pt>
                <c:pt idx="12">
                  <c:v>594352.99407457304</c:v>
                </c:pt>
                <c:pt idx="13">
                  <c:v>611764.88372424932</c:v>
                </c:pt>
                <c:pt idx="14">
                  <c:v>614252.29653134581</c:v>
                </c:pt>
              </c:numCache>
            </c:numRef>
          </c:cat>
          <c:val>
            <c:numRef>
              <c:f>'Lens 27'!$A$81:$A$95</c:f>
              <c:numCache>
                <c:formatCode>General</c:formatCode>
                <c:ptCount val="15"/>
                <c:pt idx="0">
                  <c:v>2470</c:v>
                </c:pt>
                <c:pt idx="1">
                  <c:v>1626</c:v>
                </c:pt>
                <c:pt idx="2">
                  <c:v>569</c:v>
                </c:pt>
                <c:pt idx="3">
                  <c:v>640</c:v>
                </c:pt>
                <c:pt idx="4">
                  <c:v>1238</c:v>
                </c:pt>
                <c:pt idx="5">
                  <c:v>625</c:v>
                </c:pt>
                <c:pt idx="6">
                  <c:v>808</c:v>
                </c:pt>
                <c:pt idx="7">
                  <c:v>34696</c:v>
                </c:pt>
                <c:pt idx="8">
                  <c:v>9865</c:v>
                </c:pt>
                <c:pt idx="9">
                  <c:v>1687</c:v>
                </c:pt>
                <c:pt idx="10">
                  <c:v>350</c:v>
                </c:pt>
                <c:pt idx="11">
                  <c:v>45</c:v>
                </c:pt>
                <c:pt idx="12">
                  <c:v>280</c:v>
                </c:pt>
                <c:pt idx="13">
                  <c:v>14840</c:v>
                </c:pt>
                <c:pt idx="14">
                  <c:v>2211</c:v>
                </c:pt>
              </c:numCache>
            </c:numRef>
          </c:val>
          <c:extLst>
            <c:ext xmlns:c16="http://schemas.microsoft.com/office/drawing/2014/chart" uri="{C3380CC4-5D6E-409C-BE32-E72D297353CC}">
              <c16:uniqueId val="{00000000-FBC8-4D02-8096-22FF4F580FB0}"/>
            </c:ext>
          </c:extLst>
        </c:ser>
        <c:dLbls>
          <c:showLegendKey val="0"/>
          <c:showVal val="0"/>
          <c:showCatName val="0"/>
          <c:showSerName val="0"/>
          <c:showPercent val="0"/>
          <c:showBubbleSize val="0"/>
        </c:dLbls>
        <c:gapWidth val="150"/>
        <c:axId val="855927535"/>
        <c:axId val="1"/>
      </c:barChart>
      <c:catAx>
        <c:axId val="855927535"/>
        <c:scaling>
          <c:orientation val="minMax"/>
        </c:scaling>
        <c:delete val="0"/>
        <c:axPos val="b"/>
        <c:title>
          <c:tx>
            <c:rich>
              <a:bodyPr/>
              <a:lstStyle/>
              <a:p>
                <a:pPr>
                  <a:defRPr sz="300" b="0" i="0" u="none" strike="noStrike" baseline="0">
                    <a:solidFill>
                      <a:srgbClr val="000000"/>
                    </a:solidFill>
                    <a:latin typeface="MathSoftText"/>
                    <a:ea typeface="MathSoftText"/>
                    <a:cs typeface="MathSoftText"/>
                  </a:defRPr>
                </a:pPr>
                <a:r>
                  <a:rPr lang="en-GB"/>
                  <a:t>amps</a:t>
                </a:r>
              </a:p>
            </c:rich>
          </c:tx>
          <c:layout>
            <c:manualLayout>
              <c:xMode val="edge"/>
              <c:yMode val="edge"/>
              <c:x val="0.51566404641069563"/>
              <c:y val="0.75185245166517378"/>
            </c:manualLayout>
          </c:layout>
          <c:overlay val="0"/>
          <c:spPr>
            <a:noFill/>
            <a:ln w="25400">
              <a:noFill/>
            </a:ln>
          </c:spPr>
        </c:title>
        <c:numFmt formatCode="0" sourceLinked="0"/>
        <c:majorTickMark val="out"/>
        <c:minorTickMark val="none"/>
        <c:tickLblPos val="nextTo"/>
        <c:spPr>
          <a:ln w="3175">
            <a:solidFill>
              <a:srgbClr val="99CC00"/>
            </a:solidFill>
            <a:prstDash val="solid"/>
          </a:ln>
        </c:spPr>
        <c:txPr>
          <a:bodyPr rot="0" vert="horz"/>
          <a:lstStyle/>
          <a:p>
            <a:pPr>
              <a:defRPr sz="300" b="0" i="0" u="none" strike="noStrike" baseline="0">
                <a:solidFill>
                  <a:srgbClr val="000000"/>
                </a:solidFill>
                <a:latin typeface="MathSoftText"/>
                <a:ea typeface="MathSoftText"/>
                <a:cs typeface="MathSoftText"/>
              </a:defRPr>
            </a:pPr>
            <a:endParaRPr lang="en-US"/>
          </a:p>
        </c:txPr>
        <c:crossAx val="1"/>
        <c:crosses val="autoZero"/>
        <c:auto val="1"/>
        <c:lblAlgn val="ctr"/>
        <c:lblOffset val="100"/>
        <c:tickLblSkip val="1"/>
        <c:tickMarkSkip val="1"/>
        <c:noMultiLvlLbl val="0"/>
      </c:catAx>
      <c:valAx>
        <c:axId val="1"/>
        <c:scaling>
          <c:orientation val="minMax"/>
          <c:max val="40000"/>
          <c:min val="0"/>
        </c:scaling>
        <c:delete val="0"/>
        <c:axPos val="l"/>
        <c:majorGridlines>
          <c:spPr>
            <a:ln w="3175">
              <a:solidFill>
                <a:srgbClr val="99CC00"/>
              </a:solidFill>
              <a:prstDash val="solid"/>
            </a:ln>
          </c:spPr>
        </c:majorGridlines>
        <c:title>
          <c:tx>
            <c:rich>
              <a:bodyPr/>
              <a:lstStyle/>
              <a:p>
                <a:pPr>
                  <a:defRPr sz="300" b="0" i="0" u="none" strike="noStrike" baseline="0">
                    <a:solidFill>
                      <a:srgbClr val="000000"/>
                    </a:solidFill>
                    <a:latin typeface="MathSoftText"/>
                    <a:ea typeface="MathSoftText"/>
                    <a:cs typeface="MathSoftText"/>
                  </a:defRPr>
                </a:pPr>
                <a:r>
                  <a:rPr lang="en-GB"/>
                  <a:t>number of pulses</a:t>
                </a:r>
              </a:p>
            </c:rich>
          </c:tx>
          <c:layout>
            <c:manualLayout>
              <c:xMode val="edge"/>
              <c:yMode val="edge"/>
              <c:x val="3.2787887344032672E-2"/>
              <c:y val="0.31388014972429584"/>
            </c:manualLayout>
          </c:layout>
          <c:overlay val="0"/>
          <c:spPr>
            <a:noFill/>
            <a:ln w="25400">
              <a:noFill/>
            </a:ln>
          </c:spPr>
        </c:title>
        <c:numFmt formatCode="General" sourceLinked="1"/>
        <c:majorTickMark val="out"/>
        <c:minorTickMark val="none"/>
        <c:tickLblPos val="nextTo"/>
        <c:spPr>
          <a:ln w="3175">
            <a:solidFill>
              <a:srgbClr val="99CC00"/>
            </a:solidFill>
            <a:prstDash val="solid"/>
          </a:ln>
        </c:spPr>
        <c:txPr>
          <a:bodyPr rot="0" vert="horz"/>
          <a:lstStyle/>
          <a:p>
            <a:pPr>
              <a:defRPr sz="300" b="0" i="0" u="none" strike="noStrike" baseline="0">
                <a:solidFill>
                  <a:srgbClr val="000000"/>
                </a:solidFill>
                <a:latin typeface="MathSoftText"/>
                <a:ea typeface="MathSoftText"/>
                <a:cs typeface="MathSoftText"/>
              </a:defRPr>
            </a:pPr>
            <a:endParaRPr lang="en-US"/>
          </a:p>
        </c:txPr>
        <c:crossAx val="855927535"/>
        <c:crosses val="autoZero"/>
        <c:crossBetween val="between"/>
      </c:valAx>
      <c:spPr>
        <a:noFill/>
        <a:ln w="12700">
          <a:solidFill>
            <a:srgbClr val="99CC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300" b="0" i="0" u="none" strike="noStrike" baseline="0">
          <a:solidFill>
            <a:srgbClr val="000000"/>
          </a:solidFill>
          <a:latin typeface="MathSoftText"/>
          <a:ea typeface="MathSoftText"/>
          <a:cs typeface="MathSoftText"/>
        </a:defRPr>
      </a:pPr>
      <a:endParaRPr lang="en-US"/>
    </a:p>
  </c:txPr>
  <c:printSettings>
    <c:headerFooter alignWithMargins="0"/>
    <c:pageMargins b="1" l="0.75" r="0.75" t="1" header="0.5" footer="0.5"/>
    <c:pageSetup orientation="landscape" horizontalDpi="355" verticalDpi="355"/>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500" b="0" i="0" u="none" strike="noStrike" baseline="0">
                <a:solidFill>
                  <a:srgbClr val="000000"/>
                </a:solidFill>
                <a:latin typeface="MathSoftText"/>
                <a:ea typeface="MathSoftText"/>
                <a:cs typeface="MathSoftText"/>
              </a:defRPr>
            </a:pPr>
            <a:r>
              <a:rPr lang="en-GB"/>
              <a:t>lens 27 retest pulse count vs peak current</a:t>
            </a:r>
          </a:p>
        </c:rich>
      </c:tx>
      <c:layout>
        <c:manualLayout>
          <c:xMode val="edge"/>
          <c:yMode val="edge"/>
          <c:x val="0.36006997026441712"/>
          <c:y val="6.0111254383501428E-2"/>
        </c:manualLayout>
      </c:layout>
      <c:overlay val="0"/>
      <c:spPr>
        <a:noFill/>
        <a:ln w="25400">
          <a:noFill/>
        </a:ln>
      </c:spPr>
    </c:title>
    <c:autoTitleDeleted val="0"/>
    <c:plotArea>
      <c:layout>
        <c:manualLayout>
          <c:layoutTarget val="inner"/>
          <c:xMode val="edge"/>
          <c:yMode val="edge"/>
          <c:x val="0.10641744060446336"/>
          <c:y val="0.28962695293868868"/>
          <c:w val="0.83967733956398494"/>
          <c:h val="0.38799082374805466"/>
        </c:manualLayout>
      </c:layout>
      <c:scatterChart>
        <c:scatterStyle val="lineMarker"/>
        <c:varyColors val="0"/>
        <c:ser>
          <c:idx val="0"/>
          <c:order val="0"/>
          <c:spPr>
            <a:ln w="19050">
              <a:noFill/>
            </a:ln>
          </c:spPr>
          <c:marker>
            <c:symbol val="diamond"/>
            <c:size val="5"/>
            <c:spPr>
              <a:solidFill>
                <a:srgbClr val="000080"/>
              </a:solidFill>
              <a:ln>
                <a:solidFill>
                  <a:srgbClr val="000080"/>
                </a:solidFill>
                <a:prstDash val="solid"/>
              </a:ln>
            </c:spPr>
          </c:marker>
          <c:xVal>
            <c:numRef>
              <c:f>'Lens 27'!$D$81:$D$95</c:f>
              <c:numCache>
                <c:formatCode>General</c:formatCode>
                <c:ptCount val="15"/>
                <c:pt idx="0">
                  <c:v>295863.45722298301</c:v>
                </c:pt>
                <c:pt idx="1">
                  <c:v>345611.71336491464</c:v>
                </c:pt>
                <c:pt idx="2">
                  <c:v>395359.96950684639</c:v>
                </c:pt>
                <c:pt idx="3">
                  <c:v>445108.22564877814</c:v>
                </c:pt>
                <c:pt idx="4">
                  <c:v>494856.48179070977</c:v>
                </c:pt>
                <c:pt idx="5">
                  <c:v>519730.60986167559</c:v>
                </c:pt>
                <c:pt idx="6">
                  <c:v>544604.73793264152</c:v>
                </c:pt>
                <c:pt idx="7">
                  <c:v>569478.86600360728</c:v>
                </c:pt>
                <c:pt idx="8">
                  <c:v>576941.104424897</c:v>
                </c:pt>
                <c:pt idx="9">
                  <c:v>578931.03467057436</c:v>
                </c:pt>
                <c:pt idx="10">
                  <c:v>579428.51723199361</c:v>
                </c:pt>
                <c:pt idx="11">
                  <c:v>584403.34284618672</c:v>
                </c:pt>
                <c:pt idx="12">
                  <c:v>594352.99407457304</c:v>
                </c:pt>
                <c:pt idx="13">
                  <c:v>611764.88372424932</c:v>
                </c:pt>
                <c:pt idx="14">
                  <c:v>614252.29653134581</c:v>
                </c:pt>
              </c:numCache>
            </c:numRef>
          </c:xVal>
          <c:yVal>
            <c:numRef>
              <c:f>'Lens 27'!$A$81:$A$95</c:f>
              <c:numCache>
                <c:formatCode>General</c:formatCode>
                <c:ptCount val="15"/>
                <c:pt idx="0">
                  <c:v>2470</c:v>
                </c:pt>
                <c:pt idx="1">
                  <c:v>1626</c:v>
                </c:pt>
                <c:pt idx="2">
                  <c:v>569</c:v>
                </c:pt>
                <c:pt idx="3">
                  <c:v>640</c:v>
                </c:pt>
                <c:pt idx="4">
                  <c:v>1238</c:v>
                </c:pt>
                <c:pt idx="5">
                  <c:v>625</c:v>
                </c:pt>
                <c:pt idx="6">
                  <c:v>808</c:v>
                </c:pt>
                <c:pt idx="7">
                  <c:v>34696</c:v>
                </c:pt>
                <c:pt idx="8">
                  <c:v>9865</c:v>
                </c:pt>
                <c:pt idx="9">
                  <c:v>1687</c:v>
                </c:pt>
                <c:pt idx="10">
                  <c:v>350</c:v>
                </c:pt>
                <c:pt idx="11">
                  <c:v>45</c:v>
                </c:pt>
                <c:pt idx="12">
                  <c:v>280</c:v>
                </c:pt>
                <c:pt idx="13">
                  <c:v>14840</c:v>
                </c:pt>
                <c:pt idx="14">
                  <c:v>2211</c:v>
                </c:pt>
              </c:numCache>
            </c:numRef>
          </c:yVal>
          <c:smooth val="0"/>
          <c:extLst>
            <c:ext xmlns:c16="http://schemas.microsoft.com/office/drawing/2014/chart" uri="{C3380CC4-5D6E-409C-BE32-E72D297353CC}">
              <c16:uniqueId val="{00000000-0C2B-4469-A9BD-C8E0519397CF}"/>
            </c:ext>
          </c:extLst>
        </c:ser>
        <c:dLbls>
          <c:showLegendKey val="0"/>
          <c:showVal val="0"/>
          <c:showCatName val="0"/>
          <c:showSerName val="0"/>
          <c:showPercent val="0"/>
          <c:showBubbleSize val="0"/>
        </c:dLbls>
        <c:axId val="764070447"/>
        <c:axId val="1"/>
      </c:scatterChart>
      <c:valAx>
        <c:axId val="764070447"/>
        <c:scaling>
          <c:orientation val="minMax"/>
          <c:max val="700000"/>
          <c:min val="200000"/>
        </c:scaling>
        <c:delete val="0"/>
        <c:axPos val="b"/>
        <c:title>
          <c:tx>
            <c:rich>
              <a:bodyPr/>
              <a:lstStyle/>
              <a:p>
                <a:pPr>
                  <a:defRPr sz="425" b="0" i="0" u="none" strike="noStrike" baseline="0">
                    <a:solidFill>
                      <a:srgbClr val="000000"/>
                    </a:solidFill>
                    <a:latin typeface="MathSoftText"/>
                    <a:ea typeface="MathSoftText"/>
                    <a:cs typeface="MathSoftText"/>
                  </a:defRPr>
                </a:pPr>
                <a:r>
                  <a:rPr lang="en-GB"/>
                  <a:t>amps</a:t>
                </a:r>
              </a:p>
            </c:rich>
          </c:tx>
          <c:layout>
            <c:manualLayout>
              <c:xMode val="edge"/>
              <c:yMode val="edge"/>
              <c:x val="0.50730505931990755"/>
              <c:y val="0.79784028545374619"/>
            </c:manualLayout>
          </c:layout>
          <c:overlay val="0"/>
          <c:spPr>
            <a:noFill/>
            <a:ln w="25400">
              <a:noFill/>
            </a:ln>
          </c:spPr>
        </c:title>
        <c:numFmt formatCode="0" sourceLinked="0"/>
        <c:majorTickMark val="out"/>
        <c:minorTickMark val="none"/>
        <c:tickLblPos val="nextTo"/>
        <c:spPr>
          <a:ln w="3175">
            <a:solidFill>
              <a:srgbClr val="99CC00"/>
            </a:solidFill>
            <a:prstDash val="solid"/>
          </a:ln>
        </c:spPr>
        <c:txPr>
          <a:bodyPr rot="0" vert="horz"/>
          <a:lstStyle/>
          <a:p>
            <a:pPr>
              <a:defRPr sz="425" b="0" i="0" u="none" strike="noStrike" baseline="0">
                <a:solidFill>
                  <a:srgbClr val="000000"/>
                </a:solidFill>
                <a:latin typeface="MathSoftText"/>
                <a:ea typeface="MathSoftText"/>
                <a:cs typeface="MathSoftText"/>
              </a:defRPr>
            </a:pPr>
            <a:endParaRPr lang="en-US"/>
          </a:p>
        </c:txPr>
        <c:crossAx val="1"/>
        <c:crosses val="autoZero"/>
        <c:crossBetween val="midCat"/>
      </c:valAx>
      <c:valAx>
        <c:axId val="1"/>
        <c:scaling>
          <c:orientation val="minMax"/>
          <c:max val="40000"/>
          <c:min val="0"/>
        </c:scaling>
        <c:delete val="0"/>
        <c:axPos val="l"/>
        <c:majorGridlines>
          <c:spPr>
            <a:ln w="3175">
              <a:solidFill>
                <a:srgbClr val="99CC00"/>
              </a:solidFill>
              <a:prstDash val="solid"/>
            </a:ln>
          </c:spPr>
        </c:majorGridlines>
        <c:title>
          <c:tx>
            <c:rich>
              <a:bodyPr/>
              <a:lstStyle/>
              <a:p>
                <a:pPr>
                  <a:defRPr sz="425" b="0" i="0" u="none" strike="noStrike" baseline="0">
                    <a:solidFill>
                      <a:srgbClr val="000000"/>
                    </a:solidFill>
                    <a:latin typeface="MathSoftText"/>
                    <a:ea typeface="MathSoftText"/>
                    <a:cs typeface="MathSoftText"/>
                  </a:defRPr>
                </a:pPr>
                <a:r>
                  <a:rPr lang="en-GB"/>
                  <a:t>number of pulses</a:t>
                </a:r>
              </a:p>
            </c:rich>
          </c:tx>
          <c:layout>
            <c:manualLayout>
              <c:xMode val="edge"/>
              <c:yMode val="edge"/>
              <c:x val="3.2071009497235535E-2"/>
              <c:y val="0.27869763395987024"/>
            </c:manualLayout>
          </c:layout>
          <c:overlay val="0"/>
          <c:spPr>
            <a:noFill/>
            <a:ln w="25400">
              <a:noFill/>
            </a:ln>
          </c:spPr>
        </c:title>
        <c:numFmt formatCode="General" sourceLinked="1"/>
        <c:majorTickMark val="out"/>
        <c:minorTickMark val="none"/>
        <c:tickLblPos val="nextTo"/>
        <c:spPr>
          <a:ln w="3175">
            <a:solidFill>
              <a:srgbClr val="99CC00"/>
            </a:solidFill>
            <a:prstDash val="solid"/>
          </a:ln>
        </c:spPr>
        <c:txPr>
          <a:bodyPr rot="0" vert="horz"/>
          <a:lstStyle/>
          <a:p>
            <a:pPr>
              <a:defRPr sz="425" b="0" i="0" u="none" strike="noStrike" baseline="0">
                <a:solidFill>
                  <a:srgbClr val="000000"/>
                </a:solidFill>
                <a:latin typeface="MathSoftText"/>
                <a:ea typeface="MathSoftText"/>
                <a:cs typeface="MathSoftText"/>
              </a:defRPr>
            </a:pPr>
            <a:endParaRPr lang="en-US"/>
          </a:p>
        </c:txPr>
        <c:crossAx val="764070447"/>
        <c:crosses val="autoZero"/>
        <c:crossBetween val="midCat"/>
        <c:majorUnit val="5000"/>
        <c:minorUnit val="1000"/>
      </c:valAx>
      <c:spPr>
        <a:noFill/>
        <a:ln w="12700">
          <a:solidFill>
            <a:srgbClr val="99CC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425" b="0" i="0" u="none" strike="noStrike" baseline="0">
          <a:solidFill>
            <a:srgbClr val="000000"/>
          </a:solidFill>
          <a:latin typeface="MathSoftText"/>
          <a:ea typeface="MathSoftText"/>
          <a:cs typeface="MathSoftText"/>
        </a:defRPr>
      </a:pPr>
      <a:endParaRPr lang="en-US"/>
    </a:p>
  </c:txPr>
  <c:printSettings>
    <c:headerFooter alignWithMargins="0"/>
    <c:pageMargins b="1" l="0.75" r="0.75" t="1" header="0.5" footer="0.5"/>
    <c:pageSetup orientation="landscape"/>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0" i="0" u="none" strike="noStrike" baseline="0">
                <a:solidFill>
                  <a:srgbClr val="000000"/>
                </a:solidFill>
                <a:latin typeface="MathSoftText"/>
                <a:ea typeface="MathSoftText"/>
                <a:cs typeface="MathSoftText"/>
              </a:defRPr>
            </a:pPr>
            <a:r>
              <a:rPr lang="en-GB"/>
              <a:t>Lens 27 Rogowski and Bdot vs Pot</a:t>
            </a:r>
          </a:p>
        </c:rich>
      </c:tx>
      <c:layout>
        <c:manualLayout>
          <c:xMode val="edge"/>
          <c:yMode val="edge"/>
          <c:x val="0.25075467490310571"/>
          <c:y val="4.1784136377871685E-2"/>
        </c:manualLayout>
      </c:layout>
      <c:overlay val="0"/>
      <c:spPr>
        <a:noFill/>
        <a:ln w="25400">
          <a:noFill/>
        </a:ln>
      </c:spPr>
    </c:title>
    <c:autoTitleDeleted val="0"/>
    <c:plotArea>
      <c:layout>
        <c:manualLayout>
          <c:layoutTarget val="inner"/>
          <c:xMode val="edge"/>
          <c:yMode val="edge"/>
          <c:x val="0.18060306942426066"/>
          <c:y val="0.28691773646138558"/>
          <c:w val="0.41046152141877423"/>
          <c:h val="0.40948453650314248"/>
        </c:manualLayout>
      </c:layout>
      <c:scatterChart>
        <c:scatterStyle val="lineMarker"/>
        <c:varyColors val="0"/>
        <c:ser>
          <c:idx val="1"/>
          <c:order val="1"/>
          <c:tx>
            <c:v>bdot vs pot</c:v>
          </c:tx>
          <c:spPr>
            <a:ln w="19050">
              <a:noFill/>
            </a:ln>
          </c:spPr>
          <c:marker>
            <c:symbol val="square"/>
            <c:size val="5"/>
            <c:spPr>
              <a:solidFill>
                <a:srgbClr val="339966"/>
              </a:solidFill>
              <a:ln>
                <a:solidFill>
                  <a:srgbClr val="339966"/>
                </a:solidFill>
                <a:prstDash val="solid"/>
              </a:ln>
            </c:spPr>
          </c:marker>
          <c:trendline>
            <c:spPr>
              <a:ln w="12700">
                <a:solidFill>
                  <a:srgbClr val="339966"/>
                </a:solidFill>
                <a:prstDash val="solid"/>
              </a:ln>
            </c:spPr>
            <c:trendlineType val="linear"/>
            <c:dispRSqr val="1"/>
            <c:dispEq val="1"/>
            <c:trendlineLbl>
              <c:layout>
                <c:manualLayout>
                  <c:xMode val="edge"/>
                  <c:yMode val="edge"/>
                  <c:x val="0.70748640419090547"/>
                  <c:y val="0.55433620927976435"/>
                </c:manualLayout>
              </c:layout>
              <c:numFmt formatCode="General" sourceLinked="0"/>
              <c:spPr>
                <a:noFill/>
                <a:ln w="25400">
                  <a:noFill/>
                </a:ln>
              </c:spPr>
              <c:txPr>
                <a:bodyPr/>
                <a:lstStyle/>
                <a:p>
                  <a:pPr>
                    <a:defRPr sz="875" b="0" i="0" u="none" strike="noStrike" baseline="0">
                      <a:solidFill>
                        <a:srgbClr val="339966"/>
                      </a:solidFill>
                      <a:latin typeface="MathSoftText"/>
                      <a:ea typeface="MathSoftText"/>
                      <a:cs typeface="MathSoftText"/>
                    </a:defRPr>
                  </a:pPr>
                  <a:endParaRPr lang="en-US"/>
                </a:p>
              </c:txPr>
            </c:trendlineLbl>
          </c:trendline>
          <c:xVal>
            <c:numRef>
              <c:f>'Lens 27'!$A$7:$A$75</c:f>
              <c:numCache>
                <c:formatCode>General</c:formatCode>
                <c:ptCount val="69"/>
                <c:pt idx="0">
                  <c:v>0</c:v>
                </c:pt>
                <c:pt idx="1">
                  <c:v>0</c:v>
                </c:pt>
                <c:pt idx="2">
                  <c:v>1</c:v>
                </c:pt>
                <c:pt idx="3">
                  <c:v>1</c:v>
                </c:pt>
                <c:pt idx="4">
                  <c:v>2</c:v>
                </c:pt>
                <c:pt idx="5">
                  <c:v>2</c:v>
                </c:pt>
                <c:pt idx="6">
                  <c:v>4</c:v>
                </c:pt>
                <c:pt idx="7">
                  <c:v>4</c:v>
                </c:pt>
                <c:pt idx="8">
                  <c:v>4</c:v>
                </c:pt>
                <c:pt idx="9">
                  <c:v>4.5</c:v>
                </c:pt>
                <c:pt idx="10">
                  <c:v>4.5</c:v>
                </c:pt>
                <c:pt idx="11">
                  <c:v>5.8</c:v>
                </c:pt>
                <c:pt idx="12">
                  <c:v>5.8</c:v>
                </c:pt>
                <c:pt idx="13">
                  <c:v>0</c:v>
                </c:pt>
                <c:pt idx="14">
                  <c:v>0</c:v>
                </c:pt>
                <c:pt idx="15">
                  <c:v>1</c:v>
                </c:pt>
                <c:pt idx="16">
                  <c:v>1</c:v>
                </c:pt>
                <c:pt idx="17">
                  <c:v>2</c:v>
                </c:pt>
                <c:pt idx="18">
                  <c:v>3</c:v>
                </c:pt>
                <c:pt idx="19">
                  <c:v>3</c:v>
                </c:pt>
                <c:pt idx="20">
                  <c:v>4</c:v>
                </c:pt>
                <c:pt idx="21">
                  <c:v>4</c:v>
                </c:pt>
                <c:pt idx="22">
                  <c:v>5</c:v>
                </c:pt>
                <c:pt idx="23">
                  <c:v>5</c:v>
                </c:pt>
                <c:pt idx="24">
                  <c:v>5.7</c:v>
                </c:pt>
                <c:pt idx="25">
                  <c:v>5.7</c:v>
                </c:pt>
                <c:pt idx="26">
                  <c:v>5.5</c:v>
                </c:pt>
                <c:pt idx="27">
                  <c:v>5.5</c:v>
                </c:pt>
                <c:pt idx="28">
                  <c:v>0</c:v>
                </c:pt>
                <c:pt idx="29">
                  <c:v>0</c:v>
                </c:pt>
                <c:pt idx="30">
                  <c:v>1</c:v>
                </c:pt>
                <c:pt idx="31">
                  <c:v>1</c:v>
                </c:pt>
                <c:pt idx="32">
                  <c:v>2</c:v>
                </c:pt>
                <c:pt idx="33">
                  <c:v>2</c:v>
                </c:pt>
                <c:pt idx="34">
                  <c:v>3</c:v>
                </c:pt>
                <c:pt idx="35">
                  <c:v>4</c:v>
                </c:pt>
                <c:pt idx="36">
                  <c:v>4</c:v>
                </c:pt>
                <c:pt idx="37">
                  <c:v>5</c:v>
                </c:pt>
                <c:pt idx="38">
                  <c:v>5</c:v>
                </c:pt>
                <c:pt idx="39">
                  <c:v>5.5</c:v>
                </c:pt>
                <c:pt idx="40">
                  <c:v>5.5</c:v>
                </c:pt>
                <c:pt idx="41">
                  <c:v>0</c:v>
                </c:pt>
                <c:pt idx="42">
                  <c:v>0</c:v>
                </c:pt>
                <c:pt idx="43">
                  <c:v>5.5</c:v>
                </c:pt>
                <c:pt idx="44">
                  <c:v>5.5</c:v>
                </c:pt>
                <c:pt idx="45">
                  <c:v>5.65</c:v>
                </c:pt>
                <c:pt idx="46">
                  <c:v>5.65</c:v>
                </c:pt>
                <c:pt idx="47">
                  <c:v>5.69</c:v>
                </c:pt>
                <c:pt idx="48">
                  <c:v>5.69</c:v>
                </c:pt>
                <c:pt idx="49">
                  <c:v>5.65</c:v>
                </c:pt>
                <c:pt idx="50">
                  <c:v>5.65</c:v>
                </c:pt>
                <c:pt idx="51">
                  <c:v>0</c:v>
                </c:pt>
                <c:pt idx="52">
                  <c:v>0</c:v>
                </c:pt>
                <c:pt idx="53">
                  <c:v>1</c:v>
                </c:pt>
                <c:pt idx="54">
                  <c:v>1</c:v>
                </c:pt>
                <c:pt idx="55">
                  <c:v>2</c:v>
                </c:pt>
                <c:pt idx="56">
                  <c:v>2</c:v>
                </c:pt>
                <c:pt idx="57">
                  <c:v>3</c:v>
                </c:pt>
                <c:pt idx="58">
                  <c:v>3</c:v>
                </c:pt>
                <c:pt idx="59">
                  <c:v>4</c:v>
                </c:pt>
                <c:pt idx="60">
                  <c:v>4</c:v>
                </c:pt>
                <c:pt idx="61">
                  <c:v>5</c:v>
                </c:pt>
                <c:pt idx="62">
                  <c:v>5</c:v>
                </c:pt>
                <c:pt idx="63">
                  <c:v>6</c:v>
                </c:pt>
                <c:pt idx="64">
                  <c:v>6</c:v>
                </c:pt>
                <c:pt idx="65">
                  <c:v>6.4</c:v>
                </c:pt>
                <c:pt idx="66">
                  <c:v>6.4</c:v>
                </c:pt>
                <c:pt idx="67">
                  <c:v>6.35</c:v>
                </c:pt>
                <c:pt idx="68">
                  <c:v>6.35</c:v>
                </c:pt>
              </c:numCache>
            </c:numRef>
          </c:xVal>
          <c:yVal>
            <c:numRef>
              <c:f>'Lens 27'!$D$7:$D$75</c:f>
              <c:numCache>
                <c:formatCode>0.00</c:formatCode>
                <c:ptCount val="69"/>
                <c:pt idx="0">
                  <c:v>2.2400000000000002</c:v>
                </c:pt>
                <c:pt idx="1">
                  <c:v>2.2400000000000002</c:v>
                </c:pt>
                <c:pt idx="2">
                  <c:v>2.64</c:v>
                </c:pt>
                <c:pt idx="3">
                  <c:v>2.64</c:v>
                </c:pt>
                <c:pt idx="4">
                  <c:v>3.04</c:v>
                </c:pt>
                <c:pt idx="5">
                  <c:v>3.04</c:v>
                </c:pt>
                <c:pt idx="6">
                  <c:v>3.8</c:v>
                </c:pt>
                <c:pt idx="7">
                  <c:v>3.8</c:v>
                </c:pt>
                <c:pt idx="8">
                  <c:v>3.8</c:v>
                </c:pt>
                <c:pt idx="9">
                  <c:v>4.04</c:v>
                </c:pt>
                <c:pt idx="10">
                  <c:v>4.04</c:v>
                </c:pt>
                <c:pt idx="11">
                  <c:v>4.5199999999999996</c:v>
                </c:pt>
                <c:pt idx="12">
                  <c:v>4.5199999999999996</c:v>
                </c:pt>
                <c:pt idx="13">
                  <c:v>2.2000000000000002</c:v>
                </c:pt>
                <c:pt idx="14">
                  <c:v>2.2000000000000002</c:v>
                </c:pt>
                <c:pt idx="15">
                  <c:v>2.68</c:v>
                </c:pt>
                <c:pt idx="16">
                  <c:v>2.68</c:v>
                </c:pt>
                <c:pt idx="17" formatCode="General">
                  <c:v>3.08</c:v>
                </c:pt>
                <c:pt idx="18" formatCode="General">
                  <c:v>3.44</c:v>
                </c:pt>
                <c:pt idx="19" formatCode="General">
                  <c:v>3.44</c:v>
                </c:pt>
                <c:pt idx="20" formatCode="General">
                  <c:v>3.88</c:v>
                </c:pt>
                <c:pt idx="21" formatCode="General">
                  <c:v>3.88</c:v>
                </c:pt>
                <c:pt idx="22" formatCode="General">
                  <c:v>4.24</c:v>
                </c:pt>
                <c:pt idx="23" formatCode="General">
                  <c:v>4.24</c:v>
                </c:pt>
                <c:pt idx="24" formatCode="General">
                  <c:v>4.4800000000000004</c:v>
                </c:pt>
                <c:pt idx="25" formatCode="General">
                  <c:v>4.4800000000000004</c:v>
                </c:pt>
                <c:pt idx="26" formatCode="General">
                  <c:v>4.4000000000000004</c:v>
                </c:pt>
                <c:pt idx="27" formatCode="General">
                  <c:v>4.4000000000000004</c:v>
                </c:pt>
                <c:pt idx="35" formatCode="General">
                  <c:v>3.84</c:v>
                </c:pt>
                <c:pt idx="36" formatCode="General">
                  <c:v>3.84</c:v>
                </c:pt>
                <c:pt idx="37" formatCode="General">
                  <c:v>4.16</c:v>
                </c:pt>
                <c:pt idx="38" formatCode="General">
                  <c:v>4.16</c:v>
                </c:pt>
                <c:pt idx="39" formatCode="General">
                  <c:v>4.28</c:v>
                </c:pt>
                <c:pt idx="40" formatCode="General">
                  <c:v>4.28</c:v>
                </c:pt>
                <c:pt idx="41" formatCode="General">
                  <c:v>2.2799999999999998</c:v>
                </c:pt>
                <c:pt idx="42" formatCode="General">
                  <c:v>2.2799999999999998</c:v>
                </c:pt>
                <c:pt idx="43" formatCode="General">
                  <c:v>4.32</c:v>
                </c:pt>
                <c:pt idx="44" formatCode="General">
                  <c:v>4.28</c:v>
                </c:pt>
                <c:pt idx="45" formatCode="General">
                  <c:v>4.4000000000000004</c:v>
                </c:pt>
                <c:pt idx="46" formatCode="General">
                  <c:v>4.4000000000000004</c:v>
                </c:pt>
                <c:pt idx="47" formatCode="General">
                  <c:v>4.4000000000000004</c:v>
                </c:pt>
                <c:pt idx="48" formatCode="General">
                  <c:v>4.4000000000000004</c:v>
                </c:pt>
                <c:pt idx="49" formatCode="General">
                  <c:v>4.4000000000000004</c:v>
                </c:pt>
                <c:pt idx="50" formatCode="General">
                  <c:v>4.4000000000000004</c:v>
                </c:pt>
                <c:pt idx="51" formatCode="General">
                  <c:v>2.2400000000000002</c:v>
                </c:pt>
                <c:pt idx="52" formatCode="General">
                  <c:v>2.2400000000000002</c:v>
                </c:pt>
                <c:pt idx="53" formatCode="General">
                  <c:v>2.64</c:v>
                </c:pt>
                <c:pt idx="54" formatCode="General">
                  <c:v>2.64</c:v>
                </c:pt>
                <c:pt idx="55" formatCode="General">
                  <c:v>3.08</c:v>
                </c:pt>
                <c:pt idx="56" formatCode="General">
                  <c:v>3.08</c:v>
                </c:pt>
                <c:pt idx="57" formatCode="General">
                  <c:v>3.52</c:v>
                </c:pt>
                <c:pt idx="58" formatCode="General">
                  <c:v>3.52</c:v>
                </c:pt>
                <c:pt idx="59" formatCode="General">
                  <c:v>3.8</c:v>
                </c:pt>
                <c:pt idx="60" formatCode="General">
                  <c:v>3.8</c:v>
                </c:pt>
                <c:pt idx="61" formatCode="General">
                  <c:v>4.28</c:v>
                </c:pt>
                <c:pt idx="62" formatCode="General">
                  <c:v>4.28</c:v>
                </c:pt>
                <c:pt idx="63" formatCode="General">
                  <c:v>4.6399999999999997</c:v>
                </c:pt>
                <c:pt idx="64" formatCode="General">
                  <c:v>4.6399999999999997</c:v>
                </c:pt>
                <c:pt idx="65" formatCode="General">
                  <c:v>4.76</c:v>
                </c:pt>
                <c:pt idx="66" formatCode="General">
                  <c:v>4.76</c:v>
                </c:pt>
                <c:pt idx="67" formatCode="General">
                  <c:v>4.76</c:v>
                </c:pt>
                <c:pt idx="68" formatCode="General">
                  <c:v>4.72</c:v>
                </c:pt>
              </c:numCache>
            </c:numRef>
          </c:yVal>
          <c:smooth val="0"/>
          <c:extLst>
            <c:ext xmlns:c16="http://schemas.microsoft.com/office/drawing/2014/chart" uri="{C3380CC4-5D6E-409C-BE32-E72D297353CC}">
              <c16:uniqueId val="{00000001-B696-4390-902C-13CA2983464F}"/>
            </c:ext>
          </c:extLst>
        </c:ser>
        <c:dLbls>
          <c:showLegendKey val="0"/>
          <c:showVal val="0"/>
          <c:showCatName val="0"/>
          <c:showSerName val="0"/>
          <c:showPercent val="0"/>
          <c:showBubbleSize val="0"/>
        </c:dLbls>
        <c:axId val="764071695"/>
        <c:axId val="1"/>
      </c:scatterChart>
      <c:scatterChart>
        <c:scatterStyle val="lineMarker"/>
        <c:varyColors val="0"/>
        <c:ser>
          <c:idx val="0"/>
          <c:order val="0"/>
          <c:tx>
            <c:v>rog vs pot</c:v>
          </c:tx>
          <c:spPr>
            <a:ln w="19050">
              <a:noFill/>
            </a:ln>
          </c:spPr>
          <c:marker>
            <c:symbol val="diamond"/>
            <c:size val="5"/>
            <c:spPr>
              <a:solidFill>
                <a:srgbClr val="FF0000"/>
              </a:solidFill>
              <a:ln>
                <a:solidFill>
                  <a:srgbClr val="FF0000"/>
                </a:solidFill>
                <a:prstDash val="solid"/>
              </a:ln>
            </c:spPr>
          </c:marker>
          <c:trendline>
            <c:spPr>
              <a:ln w="12700">
                <a:solidFill>
                  <a:srgbClr val="FF0000"/>
                </a:solidFill>
                <a:prstDash val="solid"/>
              </a:ln>
            </c:spPr>
            <c:trendlineType val="linear"/>
            <c:dispRSqr val="1"/>
            <c:dispEq val="1"/>
            <c:trendlineLbl>
              <c:layout>
                <c:manualLayout>
                  <c:xMode val="edge"/>
                  <c:yMode val="edge"/>
                  <c:x val="0.70151605478845047"/>
                  <c:y val="0.79946980936327816"/>
                </c:manualLayout>
              </c:layout>
              <c:numFmt formatCode="General" sourceLinked="0"/>
              <c:spPr>
                <a:noFill/>
                <a:ln w="25400">
                  <a:noFill/>
                </a:ln>
              </c:spPr>
              <c:txPr>
                <a:bodyPr/>
                <a:lstStyle/>
                <a:p>
                  <a:pPr>
                    <a:defRPr sz="875" b="0" i="0" u="none" strike="noStrike" baseline="0">
                      <a:solidFill>
                        <a:srgbClr val="FF0000"/>
                      </a:solidFill>
                      <a:latin typeface="MathSoftText"/>
                      <a:ea typeface="MathSoftText"/>
                      <a:cs typeface="MathSoftText"/>
                    </a:defRPr>
                  </a:pPr>
                  <a:endParaRPr lang="en-US"/>
                </a:p>
              </c:txPr>
            </c:trendlineLbl>
          </c:trendline>
          <c:xVal>
            <c:numRef>
              <c:f>'Lens 27'!$A$7:$A$75</c:f>
              <c:numCache>
                <c:formatCode>General</c:formatCode>
                <c:ptCount val="69"/>
                <c:pt idx="0">
                  <c:v>0</c:v>
                </c:pt>
                <c:pt idx="1">
                  <c:v>0</c:v>
                </c:pt>
                <c:pt idx="2">
                  <c:v>1</c:v>
                </c:pt>
                <c:pt idx="3">
                  <c:v>1</c:v>
                </c:pt>
                <c:pt idx="4">
                  <c:v>2</c:v>
                </c:pt>
                <c:pt idx="5">
                  <c:v>2</c:v>
                </c:pt>
                <c:pt idx="6">
                  <c:v>4</c:v>
                </c:pt>
                <c:pt idx="7">
                  <c:v>4</c:v>
                </c:pt>
                <c:pt idx="8">
                  <c:v>4</c:v>
                </c:pt>
                <c:pt idx="9">
                  <c:v>4.5</c:v>
                </c:pt>
                <c:pt idx="10">
                  <c:v>4.5</c:v>
                </c:pt>
                <c:pt idx="11">
                  <c:v>5.8</c:v>
                </c:pt>
                <c:pt idx="12">
                  <c:v>5.8</c:v>
                </c:pt>
                <c:pt idx="13">
                  <c:v>0</c:v>
                </c:pt>
                <c:pt idx="14">
                  <c:v>0</c:v>
                </c:pt>
                <c:pt idx="15">
                  <c:v>1</c:v>
                </c:pt>
                <c:pt idx="16">
                  <c:v>1</c:v>
                </c:pt>
                <c:pt idx="17">
                  <c:v>2</c:v>
                </c:pt>
                <c:pt idx="18">
                  <c:v>3</c:v>
                </c:pt>
                <c:pt idx="19">
                  <c:v>3</c:v>
                </c:pt>
                <c:pt idx="20">
                  <c:v>4</c:v>
                </c:pt>
                <c:pt idx="21">
                  <c:v>4</c:v>
                </c:pt>
                <c:pt idx="22">
                  <c:v>5</c:v>
                </c:pt>
                <c:pt idx="23">
                  <c:v>5</c:v>
                </c:pt>
                <c:pt idx="24">
                  <c:v>5.7</c:v>
                </c:pt>
                <c:pt idx="25">
                  <c:v>5.7</c:v>
                </c:pt>
                <c:pt idx="26">
                  <c:v>5.5</c:v>
                </c:pt>
                <c:pt idx="27">
                  <c:v>5.5</c:v>
                </c:pt>
                <c:pt idx="28">
                  <c:v>0</c:v>
                </c:pt>
                <c:pt idx="29">
                  <c:v>0</c:v>
                </c:pt>
                <c:pt idx="30">
                  <c:v>1</c:v>
                </c:pt>
                <c:pt idx="31">
                  <c:v>1</c:v>
                </c:pt>
                <c:pt idx="32">
                  <c:v>2</c:v>
                </c:pt>
                <c:pt idx="33">
                  <c:v>2</c:v>
                </c:pt>
                <c:pt idx="34">
                  <c:v>3</c:v>
                </c:pt>
                <c:pt idx="35">
                  <c:v>4</c:v>
                </c:pt>
                <c:pt idx="36">
                  <c:v>4</c:v>
                </c:pt>
                <c:pt idx="37">
                  <c:v>5</c:v>
                </c:pt>
                <c:pt idx="38">
                  <c:v>5</c:v>
                </c:pt>
                <c:pt idx="39">
                  <c:v>5.5</c:v>
                </c:pt>
                <c:pt idx="40">
                  <c:v>5.5</c:v>
                </c:pt>
                <c:pt idx="41">
                  <c:v>0</c:v>
                </c:pt>
                <c:pt idx="42">
                  <c:v>0</c:v>
                </c:pt>
                <c:pt idx="43">
                  <c:v>5.5</c:v>
                </c:pt>
                <c:pt idx="44">
                  <c:v>5.5</c:v>
                </c:pt>
                <c:pt idx="45">
                  <c:v>5.65</c:v>
                </c:pt>
                <c:pt idx="46">
                  <c:v>5.65</c:v>
                </c:pt>
                <c:pt idx="47">
                  <c:v>5.69</c:v>
                </c:pt>
                <c:pt idx="48">
                  <c:v>5.69</c:v>
                </c:pt>
                <c:pt idx="49">
                  <c:v>5.65</c:v>
                </c:pt>
                <c:pt idx="50">
                  <c:v>5.65</c:v>
                </c:pt>
                <c:pt idx="51">
                  <c:v>0</c:v>
                </c:pt>
                <c:pt idx="52">
                  <c:v>0</c:v>
                </c:pt>
                <c:pt idx="53">
                  <c:v>1</c:v>
                </c:pt>
                <c:pt idx="54">
                  <c:v>1</c:v>
                </c:pt>
                <c:pt idx="55">
                  <c:v>2</c:v>
                </c:pt>
                <c:pt idx="56">
                  <c:v>2</c:v>
                </c:pt>
                <c:pt idx="57">
                  <c:v>3</c:v>
                </c:pt>
                <c:pt idx="58">
                  <c:v>3</c:v>
                </c:pt>
                <c:pt idx="59">
                  <c:v>4</c:v>
                </c:pt>
                <c:pt idx="60">
                  <c:v>4</c:v>
                </c:pt>
                <c:pt idx="61">
                  <c:v>5</c:v>
                </c:pt>
                <c:pt idx="62">
                  <c:v>5</c:v>
                </c:pt>
                <c:pt idx="63">
                  <c:v>6</c:v>
                </c:pt>
                <c:pt idx="64">
                  <c:v>6</c:v>
                </c:pt>
                <c:pt idx="65">
                  <c:v>6.4</c:v>
                </c:pt>
                <c:pt idx="66">
                  <c:v>6.4</c:v>
                </c:pt>
                <c:pt idx="67">
                  <c:v>6.35</c:v>
                </c:pt>
                <c:pt idx="68">
                  <c:v>6.35</c:v>
                </c:pt>
              </c:numCache>
            </c:numRef>
          </c:xVal>
          <c:yVal>
            <c:numRef>
              <c:f>'Lens 27'!$C$7:$C$75</c:f>
              <c:numCache>
                <c:formatCode>General</c:formatCode>
                <c:ptCount val="69"/>
                <c:pt idx="0">
                  <c:v>0.29199999999999998</c:v>
                </c:pt>
                <c:pt idx="1">
                  <c:v>0.29199999999999998</c:v>
                </c:pt>
                <c:pt idx="2" formatCode="0.000">
                  <c:v>0.34399999999999997</c:v>
                </c:pt>
                <c:pt idx="3" formatCode="0.000">
                  <c:v>0.34399999999999997</c:v>
                </c:pt>
                <c:pt idx="4" formatCode="0.000">
                  <c:v>0.4</c:v>
                </c:pt>
                <c:pt idx="5" formatCode="0.000">
                  <c:v>0.4</c:v>
                </c:pt>
                <c:pt idx="6" formatCode="0.000">
                  <c:v>0.504</c:v>
                </c:pt>
                <c:pt idx="7" formatCode="0.000">
                  <c:v>0.504</c:v>
                </c:pt>
                <c:pt idx="8" formatCode="0.000">
                  <c:v>0.504</c:v>
                </c:pt>
                <c:pt idx="9" formatCode="0.000">
                  <c:v>0.52</c:v>
                </c:pt>
                <c:pt idx="10" formatCode="0.000">
                  <c:v>0.58399999999999996</c:v>
                </c:pt>
                <c:pt idx="11" formatCode="0.000">
                  <c:v>0.58399999999999996</c:v>
                </c:pt>
                <c:pt idx="12" formatCode="0.000">
                  <c:v>0.58399999999999996</c:v>
                </c:pt>
                <c:pt idx="13" formatCode="0.000">
                  <c:v>0.29599999999999999</c:v>
                </c:pt>
                <c:pt idx="14" formatCode="0.000">
                  <c:v>0.29599999999999999</c:v>
                </c:pt>
                <c:pt idx="15" formatCode="0.000">
                  <c:v>0.33600000000000002</c:v>
                </c:pt>
                <c:pt idx="16" formatCode="0.000">
                  <c:v>0.33600000000000002</c:v>
                </c:pt>
                <c:pt idx="17" formatCode="0.000">
                  <c:v>0.40799999999999997</c:v>
                </c:pt>
                <c:pt idx="18">
                  <c:v>0.45600000000000002</c:v>
                </c:pt>
                <c:pt idx="19">
                  <c:v>0.45600000000000002</c:v>
                </c:pt>
                <c:pt idx="20">
                  <c:v>0.504</c:v>
                </c:pt>
                <c:pt idx="21">
                  <c:v>0.504</c:v>
                </c:pt>
                <c:pt idx="22">
                  <c:v>0.56000000000000005</c:v>
                </c:pt>
                <c:pt idx="23">
                  <c:v>0.56000000000000005</c:v>
                </c:pt>
                <c:pt idx="24">
                  <c:v>0.59199999999999997</c:v>
                </c:pt>
                <c:pt idx="25">
                  <c:v>0.59199999999999997</c:v>
                </c:pt>
                <c:pt idx="26">
                  <c:v>0.58399999999999996</c:v>
                </c:pt>
                <c:pt idx="27">
                  <c:v>0.57599999999999996</c:v>
                </c:pt>
                <c:pt idx="35">
                  <c:v>0.50800000000000001</c:v>
                </c:pt>
                <c:pt idx="36">
                  <c:v>0.50800000000000001</c:v>
                </c:pt>
                <c:pt idx="37">
                  <c:v>0.55200000000000005</c:v>
                </c:pt>
                <c:pt idx="38">
                  <c:v>0.55200000000000005</c:v>
                </c:pt>
                <c:pt idx="39">
                  <c:v>0.57599999999999996</c:v>
                </c:pt>
                <c:pt idx="40">
                  <c:v>0.57199999999999995</c:v>
                </c:pt>
                <c:pt idx="41">
                  <c:v>0.29199999999999998</c:v>
                </c:pt>
                <c:pt idx="42">
                  <c:v>0.29199999999999998</c:v>
                </c:pt>
                <c:pt idx="43">
                  <c:v>0.57999999999999996</c:v>
                </c:pt>
                <c:pt idx="44">
                  <c:v>0.57199999999999995</c:v>
                </c:pt>
                <c:pt idx="45">
                  <c:v>0.57999999999999996</c:v>
                </c:pt>
                <c:pt idx="46">
                  <c:v>0.57999999999999996</c:v>
                </c:pt>
                <c:pt idx="47">
                  <c:v>0.57999999999999996</c:v>
                </c:pt>
                <c:pt idx="48">
                  <c:v>0.57999999999999996</c:v>
                </c:pt>
                <c:pt idx="49">
                  <c:v>0.57999999999999996</c:v>
                </c:pt>
                <c:pt idx="50">
                  <c:v>0.57999999999999996</c:v>
                </c:pt>
                <c:pt idx="51">
                  <c:v>0.29599999999999999</c:v>
                </c:pt>
                <c:pt idx="52">
                  <c:v>0.29599999999999999</c:v>
                </c:pt>
                <c:pt idx="53">
                  <c:v>0.35199999999999998</c:v>
                </c:pt>
                <c:pt idx="54">
                  <c:v>0.35199999999999998</c:v>
                </c:pt>
                <c:pt idx="55">
                  <c:v>0.40400000000000003</c:v>
                </c:pt>
                <c:pt idx="56">
                  <c:v>0.40400000000000003</c:v>
                </c:pt>
                <c:pt idx="57">
                  <c:v>0.45600000000000002</c:v>
                </c:pt>
                <c:pt idx="58">
                  <c:v>0.45600000000000002</c:v>
                </c:pt>
                <c:pt idx="59">
                  <c:v>0.504</c:v>
                </c:pt>
                <c:pt idx="60">
                  <c:v>0.504</c:v>
                </c:pt>
                <c:pt idx="61">
                  <c:v>0.55600000000000005</c:v>
                </c:pt>
                <c:pt idx="62">
                  <c:v>0.55600000000000005</c:v>
                </c:pt>
                <c:pt idx="63">
                  <c:v>0.60399999999999998</c:v>
                </c:pt>
                <c:pt idx="64">
                  <c:v>0.60399999999999998</c:v>
                </c:pt>
                <c:pt idx="65">
                  <c:v>0.628</c:v>
                </c:pt>
                <c:pt idx="66">
                  <c:v>0.628</c:v>
                </c:pt>
                <c:pt idx="67">
                  <c:v>0.62</c:v>
                </c:pt>
                <c:pt idx="68">
                  <c:v>0.62</c:v>
                </c:pt>
              </c:numCache>
            </c:numRef>
          </c:yVal>
          <c:smooth val="0"/>
          <c:extLst>
            <c:ext xmlns:c16="http://schemas.microsoft.com/office/drawing/2014/chart" uri="{C3380CC4-5D6E-409C-BE32-E72D297353CC}">
              <c16:uniqueId val="{00000003-B696-4390-902C-13CA2983464F}"/>
            </c:ext>
          </c:extLst>
        </c:ser>
        <c:dLbls>
          <c:showLegendKey val="0"/>
          <c:showVal val="0"/>
          <c:showCatName val="0"/>
          <c:showSerName val="0"/>
          <c:showPercent val="0"/>
          <c:showBubbleSize val="0"/>
        </c:dLbls>
        <c:axId val="3"/>
        <c:axId val="4"/>
      </c:scatterChart>
      <c:valAx>
        <c:axId val="764071695"/>
        <c:scaling>
          <c:orientation val="minMax"/>
        </c:scaling>
        <c:delete val="0"/>
        <c:axPos val="b"/>
        <c:title>
          <c:tx>
            <c:rich>
              <a:bodyPr/>
              <a:lstStyle/>
              <a:p>
                <a:pPr>
                  <a:defRPr sz="875" b="0" i="0" u="none" strike="noStrike" baseline="0">
                    <a:solidFill>
                      <a:srgbClr val="000000"/>
                    </a:solidFill>
                    <a:latin typeface="MathSoftText"/>
                    <a:ea typeface="MathSoftText"/>
                    <a:cs typeface="MathSoftText"/>
                  </a:defRPr>
                </a:pPr>
                <a:r>
                  <a:rPr lang="en-GB"/>
                  <a:t>pot setting</a:t>
                </a:r>
              </a:p>
            </c:rich>
          </c:tx>
          <c:layout>
            <c:manualLayout>
              <c:xMode val="edge"/>
              <c:yMode val="edge"/>
              <c:x val="0.31941369303133704"/>
              <c:y val="0.81618346391442687"/>
            </c:manualLayout>
          </c:layout>
          <c:overlay val="0"/>
          <c:spPr>
            <a:noFill/>
            <a:ln w="25400">
              <a:noFill/>
            </a:ln>
          </c:spPr>
        </c:title>
        <c:numFmt formatCode="General" sourceLinked="1"/>
        <c:majorTickMark val="out"/>
        <c:minorTickMark val="none"/>
        <c:tickLblPos val="nextTo"/>
        <c:spPr>
          <a:ln w="3175">
            <a:solidFill>
              <a:srgbClr val="99CC00"/>
            </a:solidFill>
            <a:prstDash val="solid"/>
          </a:ln>
        </c:spPr>
        <c:txPr>
          <a:bodyPr rot="0" vert="horz"/>
          <a:lstStyle/>
          <a:p>
            <a:pPr>
              <a:defRPr sz="875" b="0" i="0" u="none" strike="noStrike" baseline="0">
                <a:solidFill>
                  <a:srgbClr val="000000"/>
                </a:solidFill>
                <a:latin typeface="MathSoftText"/>
                <a:ea typeface="MathSoftText"/>
                <a:cs typeface="MathSoftText"/>
              </a:defRPr>
            </a:pPr>
            <a:endParaRPr lang="en-US"/>
          </a:p>
        </c:txPr>
        <c:crossAx val="1"/>
        <c:crosses val="autoZero"/>
        <c:crossBetween val="midCat"/>
      </c:valAx>
      <c:valAx>
        <c:axId val="1"/>
        <c:scaling>
          <c:orientation val="minMax"/>
        </c:scaling>
        <c:delete val="0"/>
        <c:axPos val="l"/>
        <c:majorGridlines>
          <c:spPr>
            <a:ln w="3175">
              <a:solidFill>
                <a:srgbClr val="99CC00"/>
              </a:solidFill>
              <a:prstDash val="solid"/>
            </a:ln>
          </c:spPr>
        </c:majorGridlines>
        <c:title>
          <c:tx>
            <c:rich>
              <a:bodyPr/>
              <a:lstStyle/>
              <a:p>
                <a:pPr>
                  <a:defRPr sz="875" b="0" i="0" u="none" strike="noStrike" baseline="0">
                    <a:solidFill>
                      <a:srgbClr val="000000"/>
                    </a:solidFill>
                    <a:latin typeface="MathSoftText"/>
                    <a:ea typeface="MathSoftText"/>
                    <a:cs typeface="MathSoftText"/>
                  </a:defRPr>
                </a:pPr>
                <a:r>
                  <a:rPr lang="en-GB"/>
                  <a:t>bdot (volts)</a:t>
                </a:r>
              </a:p>
            </c:rich>
          </c:tx>
          <c:layout>
            <c:manualLayout>
              <c:xMode val="edge"/>
              <c:yMode val="edge"/>
              <c:x val="5.522573197270781E-2"/>
              <c:y val="0.35934357284969648"/>
            </c:manualLayout>
          </c:layout>
          <c:overlay val="0"/>
          <c:spPr>
            <a:noFill/>
            <a:ln w="25400">
              <a:noFill/>
            </a:ln>
          </c:spPr>
        </c:title>
        <c:numFmt formatCode="0.00" sourceLinked="1"/>
        <c:majorTickMark val="out"/>
        <c:minorTickMark val="none"/>
        <c:tickLblPos val="nextTo"/>
        <c:spPr>
          <a:ln w="3175">
            <a:solidFill>
              <a:srgbClr val="99CC00"/>
            </a:solidFill>
            <a:prstDash val="solid"/>
          </a:ln>
        </c:spPr>
        <c:txPr>
          <a:bodyPr rot="0" vert="horz"/>
          <a:lstStyle/>
          <a:p>
            <a:pPr>
              <a:defRPr sz="875" b="0" i="0" u="none" strike="noStrike" baseline="0">
                <a:solidFill>
                  <a:srgbClr val="000000"/>
                </a:solidFill>
                <a:latin typeface="MathSoftText"/>
                <a:ea typeface="MathSoftText"/>
                <a:cs typeface="MathSoftText"/>
              </a:defRPr>
            </a:pPr>
            <a:endParaRPr lang="en-US"/>
          </a:p>
        </c:txPr>
        <c:crossAx val="764071695"/>
        <c:crosses val="autoZero"/>
        <c:crossBetween val="midCat"/>
      </c:valAx>
      <c:valAx>
        <c:axId val="3"/>
        <c:scaling>
          <c:orientation val="minMax"/>
        </c:scaling>
        <c:delete val="1"/>
        <c:axPos val="b"/>
        <c:numFmt formatCode="General" sourceLinked="1"/>
        <c:majorTickMark val="out"/>
        <c:minorTickMark val="none"/>
        <c:tickLblPos val="nextTo"/>
        <c:crossAx val="4"/>
        <c:crosses val="autoZero"/>
        <c:crossBetween val="midCat"/>
      </c:valAx>
      <c:valAx>
        <c:axId val="4"/>
        <c:scaling>
          <c:orientation val="minMax"/>
        </c:scaling>
        <c:delete val="0"/>
        <c:axPos val="r"/>
        <c:numFmt formatCode="General" sourceLinked="1"/>
        <c:majorTickMark val="out"/>
        <c:minorTickMark val="none"/>
        <c:tickLblPos val="nextTo"/>
        <c:spPr>
          <a:ln w="3175">
            <a:solidFill>
              <a:srgbClr val="99CC00"/>
            </a:solidFill>
            <a:prstDash val="solid"/>
          </a:ln>
        </c:spPr>
        <c:txPr>
          <a:bodyPr rot="0" vert="horz"/>
          <a:lstStyle/>
          <a:p>
            <a:pPr>
              <a:defRPr sz="875" b="0" i="0" u="none" strike="noStrike" baseline="0">
                <a:solidFill>
                  <a:srgbClr val="000000"/>
                </a:solidFill>
                <a:latin typeface="MathSoftText"/>
                <a:ea typeface="MathSoftText"/>
                <a:cs typeface="MathSoftText"/>
              </a:defRPr>
            </a:pPr>
            <a:endParaRPr lang="en-US"/>
          </a:p>
        </c:txPr>
        <c:crossAx val="3"/>
        <c:crosses val="max"/>
        <c:crossBetween val="midCat"/>
      </c:valAx>
      <c:spPr>
        <a:noFill/>
        <a:ln w="12700">
          <a:solidFill>
            <a:srgbClr val="99CC00"/>
          </a:solidFill>
          <a:prstDash val="solid"/>
        </a:ln>
      </c:spPr>
    </c:plotArea>
    <c:legend>
      <c:legendPos val="r"/>
      <c:layout>
        <c:manualLayout>
          <c:xMode val="edge"/>
          <c:yMode val="edge"/>
          <c:x val="0.66718654572433489"/>
          <c:y val="0.20613507279750029"/>
          <c:w val="0.31344334362888215"/>
          <c:h val="0.30363139101253422"/>
        </c:manualLayout>
      </c:layout>
      <c:overlay val="0"/>
      <c:spPr>
        <a:solidFill>
          <a:srgbClr val="FFFFFF"/>
        </a:solidFill>
        <a:ln w="3175">
          <a:solidFill>
            <a:srgbClr val="000000"/>
          </a:solidFill>
          <a:prstDash val="solid"/>
        </a:ln>
      </c:spPr>
      <c:txPr>
        <a:bodyPr/>
        <a:lstStyle/>
        <a:p>
          <a:pPr>
            <a:defRPr sz="805" b="0" i="0" u="none" strike="noStrike" baseline="0">
              <a:solidFill>
                <a:srgbClr val="000000"/>
              </a:solidFill>
              <a:latin typeface="MathSoftText"/>
              <a:ea typeface="MathSoftText"/>
              <a:cs typeface="MathSoftText"/>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75" b="0" i="0" u="none" strike="noStrike" baseline="0">
          <a:solidFill>
            <a:srgbClr val="000000"/>
          </a:solidFill>
          <a:latin typeface="MathSoftText"/>
          <a:ea typeface="MathSoftText"/>
          <a:cs typeface="MathSoftText"/>
        </a:defRPr>
      </a:pPr>
      <a:endParaRPr lang="en-US"/>
    </a:p>
  </c:txPr>
  <c:printSettings>
    <c:headerFooter alignWithMargins="0"/>
    <c:pageMargins b="1" l="0.75" r="0.75" t="1" header="0.5" footer="0.5"/>
    <c:pageSetup orientation="landscape" horizontalDpi="355" verticalDpi="355"/>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0" i="0" u="none" strike="noStrike" baseline="0">
                <a:solidFill>
                  <a:srgbClr val="000000"/>
                </a:solidFill>
                <a:latin typeface="MathSoftText"/>
                <a:ea typeface="MathSoftText"/>
                <a:cs typeface="MathSoftText"/>
              </a:defRPr>
            </a:pPr>
            <a:r>
              <a:rPr lang="en-GB"/>
              <a:t>Lens 27 Bdot vs Rogowski</a:t>
            </a:r>
          </a:p>
        </c:rich>
      </c:tx>
      <c:layout>
        <c:manualLayout>
          <c:xMode val="edge"/>
          <c:yMode val="edge"/>
          <c:x val="0.3094273020038032"/>
          <c:y val="4.1900827207167333E-2"/>
        </c:manualLayout>
      </c:layout>
      <c:overlay val="0"/>
      <c:spPr>
        <a:noFill/>
        <a:ln w="25400">
          <a:noFill/>
        </a:ln>
      </c:spPr>
    </c:title>
    <c:autoTitleDeleted val="0"/>
    <c:plotArea>
      <c:layout>
        <c:manualLayout>
          <c:layoutTarget val="inner"/>
          <c:xMode val="edge"/>
          <c:yMode val="edge"/>
          <c:x val="0.14350251687132901"/>
          <c:y val="0.24302479780157052"/>
          <c:w val="0.79673793221269129"/>
          <c:h val="0.4916363725640967"/>
        </c:manualLayout>
      </c:layout>
      <c:scatterChart>
        <c:scatterStyle val="lineMarker"/>
        <c:varyColors val="0"/>
        <c:ser>
          <c:idx val="0"/>
          <c:order val="0"/>
          <c:spPr>
            <a:ln w="19050">
              <a:noFill/>
            </a:ln>
          </c:spPr>
          <c:marker>
            <c:symbol val="diamond"/>
            <c:size val="5"/>
            <c:spPr>
              <a:solidFill>
                <a:srgbClr val="FF0000"/>
              </a:solidFill>
              <a:ln>
                <a:solidFill>
                  <a:srgbClr val="FF0000"/>
                </a:solidFill>
                <a:prstDash val="solid"/>
              </a:ln>
            </c:spPr>
          </c:marker>
          <c:trendline>
            <c:spPr>
              <a:ln w="3175">
                <a:solidFill>
                  <a:srgbClr val="FF0000"/>
                </a:solidFill>
                <a:prstDash val="solid"/>
              </a:ln>
            </c:spPr>
            <c:trendlineType val="linear"/>
            <c:dispRSqr val="1"/>
            <c:dispEq val="1"/>
            <c:trendlineLbl>
              <c:layout>
                <c:manualLayout>
                  <c:xMode val="edge"/>
                  <c:yMode val="edge"/>
                  <c:x val="0.73545039896556119"/>
                  <c:y val="2.2347107843822579E-2"/>
                </c:manualLayout>
              </c:layout>
              <c:numFmt formatCode="General" sourceLinked="0"/>
              <c:spPr>
                <a:noFill/>
                <a:ln w="25400">
                  <a:noFill/>
                </a:ln>
              </c:spPr>
              <c:txPr>
                <a:bodyPr/>
                <a:lstStyle/>
                <a:p>
                  <a:pPr>
                    <a:defRPr sz="875" b="0" i="0" u="none" strike="noStrike" baseline="0">
                      <a:solidFill>
                        <a:srgbClr val="FF0000"/>
                      </a:solidFill>
                      <a:latin typeface="MathSoftText"/>
                      <a:ea typeface="MathSoftText"/>
                      <a:cs typeface="MathSoftText"/>
                    </a:defRPr>
                  </a:pPr>
                  <a:endParaRPr lang="en-US"/>
                </a:p>
              </c:txPr>
            </c:trendlineLbl>
          </c:trendline>
          <c:xVal>
            <c:numRef>
              <c:f>'Lens 27'!$D$7:$D$75</c:f>
              <c:numCache>
                <c:formatCode>0.00</c:formatCode>
                <c:ptCount val="69"/>
                <c:pt idx="0">
                  <c:v>2.2400000000000002</c:v>
                </c:pt>
                <c:pt idx="1">
                  <c:v>2.2400000000000002</c:v>
                </c:pt>
                <c:pt idx="2">
                  <c:v>2.64</c:v>
                </c:pt>
                <c:pt idx="3">
                  <c:v>2.64</c:v>
                </c:pt>
                <c:pt idx="4">
                  <c:v>3.04</c:v>
                </c:pt>
                <c:pt idx="5">
                  <c:v>3.04</c:v>
                </c:pt>
                <c:pt idx="6">
                  <c:v>3.8</c:v>
                </c:pt>
                <c:pt idx="7">
                  <c:v>3.8</c:v>
                </c:pt>
                <c:pt idx="8">
                  <c:v>3.8</c:v>
                </c:pt>
                <c:pt idx="9">
                  <c:v>4.04</c:v>
                </c:pt>
                <c:pt idx="10">
                  <c:v>4.04</c:v>
                </c:pt>
                <c:pt idx="11">
                  <c:v>4.5199999999999996</c:v>
                </c:pt>
                <c:pt idx="12">
                  <c:v>4.5199999999999996</c:v>
                </c:pt>
                <c:pt idx="13">
                  <c:v>2.2000000000000002</c:v>
                </c:pt>
                <c:pt idx="14">
                  <c:v>2.2000000000000002</c:v>
                </c:pt>
                <c:pt idx="15">
                  <c:v>2.68</c:v>
                </c:pt>
                <c:pt idx="16">
                  <c:v>2.68</c:v>
                </c:pt>
                <c:pt idx="17" formatCode="General">
                  <c:v>3.08</c:v>
                </c:pt>
                <c:pt idx="18" formatCode="General">
                  <c:v>3.44</c:v>
                </c:pt>
                <c:pt idx="19" formatCode="General">
                  <c:v>3.44</c:v>
                </c:pt>
                <c:pt idx="20" formatCode="General">
                  <c:v>3.88</c:v>
                </c:pt>
                <c:pt idx="21" formatCode="General">
                  <c:v>3.88</c:v>
                </c:pt>
                <c:pt idx="22" formatCode="General">
                  <c:v>4.24</c:v>
                </c:pt>
                <c:pt idx="23" formatCode="General">
                  <c:v>4.24</c:v>
                </c:pt>
                <c:pt idx="24" formatCode="General">
                  <c:v>4.4800000000000004</c:v>
                </c:pt>
                <c:pt idx="25" formatCode="General">
                  <c:v>4.4800000000000004</c:v>
                </c:pt>
                <c:pt idx="26" formatCode="General">
                  <c:v>4.4000000000000004</c:v>
                </c:pt>
                <c:pt idx="27" formatCode="General">
                  <c:v>4.4000000000000004</c:v>
                </c:pt>
                <c:pt idx="35" formatCode="General">
                  <c:v>3.84</c:v>
                </c:pt>
                <c:pt idx="36" formatCode="General">
                  <c:v>3.84</c:v>
                </c:pt>
                <c:pt idx="37" formatCode="General">
                  <c:v>4.16</c:v>
                </c:pt>
                <c:pt idx="38" formatCode="General">
                  <c:v>4.16</c:v>
                </c:pt>
                <c:pt idx="39" formatCode="General">
                  <c:v>4.28</c:v>
                </c:pt>
                <c:pt idx="40" formatCode="General">
                  <c:v>4.28</c:v>
                </c:pt>
                <c:pt idx="41" formatCode="General">
                  <c:v>2.2799999999999998</c:v>
                </c:pt>
                <c:pt idx="42" formatCode="General">
                  <c:v>2.2799999999999998</c:v>
                </c:pt>
                <c:pt idx="43" formatCode="General">
                  <c:v>4.32</c:v>
                </c:pt>
                <c:pt idx="44" formatCode="General">
                  <c:v>4.28</c:v>
                </c:pt>
                <c:pt idx="45" formatCode="General">
                  <c:v>4.4000000000000004</c:v>
                </c:pt>
                <c:pt idx="46" formatCode="General">
                  <c:v>4.4000000000000004</c:v>
                </c:pt>
                <c:pt idx="47" formatCode="General">
                  <c:v>4.4000000000000004</c:v>
                </c:pt>
                <c:pt idx="48" formatCode="General">
                  <c:v>4.4000000000000004</c:v>
                </c:pt>
                <c:pt idx="49" formatCode="General">
                  <c:v>4.4000000000000004</c:v>
                </c:pt>
                <c:pt idx="50" formatCode="General">
                  <c:v>4.4000000000000004</c:v>
                </c:pt>
                <c:pt idx="51" formatCode="General">
                  <c:v>2.2400000000000002</c:v>
                </c:pt>
                <c:pt idx="52" formatCode="General">
                  <c:v>2.2400000000000002</c:v>
                </c:pt>
                <c:pt idx="53" formatCode="General">
                  <c:v>2.64</c:v>
                </c:pt>
                <c:pt idx="54" formatCode="General">
                  <c:v>2.64</c:v>
                </c:pt>
                <c:pt idx="55" formatCode="General">
                  <c:v>3.08</c:v>
                </c:pt>
                <c:pt idx="56" formatCode="General">
                  <c:v>3.08</c:v>
                </c:pt>
                <c:pt idx="57" formatCode="General">
                  <c:v>3.52</c:v>
                </c:pt>
                <c:pt idx="58" formatCode="General">
                  <c:v>3.52</c:v>
                </c:pt>
                <c:pt idx="59" formatCode="General">
                  <c:v>3.8</c:v>
                </c:pt>
                <c:pt idx="60" formatCode="General">
                  <c:v>3.8</c:v>
                </c:pt>
                <c:pt idx="61" formatCode="General">
                  <c:v>4.28</c:v>
                </c:pt>
                <c:pt idx="62" formatCode="General">
                  <c:v>4.28</c:v>
                </c:pt>
                <c:pt idx="63" formatCode="General">
                  <c:v>4.6399999999999997</c:v>
                </c:pt>
                <c:pt idx="64" formatCode="General">
                  <c:v>4.6399999999999997</c:v>
                </c:pt>
                <c:pt idx="65" formatCode="General">
                  <c:v>4.76</c:v>
                </c:pt>
                <c:pt idx="66" formatCode="General">
                  <c:v>4.76</c:v>
                </c:pt>
                <c:pt idx="67" formatCode="General">
                  <c:v>4.76</c:v>
                </c:pt>
                <c:pt idx="68" formatCode="General">
                  <c:v>4.72</c:v>
                </c:pt>
              </c:numCache>
            </c:numRef>
          </c:xVal>
          <c:yVal>
            <c:numRef>
              <c:f>'Lens 27'!$C$7:$C$75</c:f>
              <c:numCache>
                <c:formatCode>General</c:formatCode>
                <c:ptCount val="69"/>
                <c:pt idx="0">
                  <c:v>0.29199999999999998</c:v>
                </c:pt>
                <c:pt idx="1">
                  <c:v>0.29199999999999998</c:v>
                </c:pt>
                <c:pt idx="2" formatCode="0.000">
                  <c:v>0.34399999999999997</c:v>
                </c:pt>
                <c:pt idx="3" formatCode="0.000">
                  <c:v>0.34399999999999997</c:v>
                </c:pt>
                <c:pt idx="4" formatCode="0.000">
                  <c:v>0.4</c:v>
                </c:pt>
                <c:pt idx="5" formatCode="0.000">
                  <c:v>0.4</c:v>
                </c:pt>
                <c:pt idx="6" formatCode="0.000">
                  <c:v>0.504</c:v>
                </c:pt>
                <c:pt idx="7" formatCode="0.000">
                  <c:v>0.504</c:v>
                </c:pt>
                <c:pt idx="8" formatCode="0.000">
                  <c:v>0.504</c:v>
                </c:pt>
                <c:pt idx="9" formatCode="0.000">
                  <c:v>0.52</c:v>
                </c:pt>
                <c:pt idx="10" formatCode="0.000">
                  <c:v>0.58399999999999996</c:v>
                </c:pt>
                <c:pt idx="11" formatCode="0.000">
                  <c:v>0.58399999999999996</c:v>
                </c:pt>
                <c:pt idx="12" formatCode="0.000">
                  <c:v>0.58399999999999996</c:v>
                </c:pt>
                <c:pt idx="13" formatCode="0.000">
                  <c:v>0.29599999999999999</c:v>
                </c:pt>
                <c:pt idx="14" formatCode="0.000">
                  <c:v>0.29599999999999999</c:v>
                </c:pt>
                <c:pt idx="15" formatCode="0.000">
                  <c:v>0.33600000000000002</c:v>
                </c:pt>
                <c:pt idx="16" formatCode="0.000">
                  <c:v>0.33600000000000002</c:v>
                </c:pt>
                <c:pt idx="17" formatCode="0.000">
                  <c:v>0.40799999999999997</c:v>
                </c:pt>
                <c:pt idx="18">
                  <c:v>0.45600000000000002</c:v>
                </c:pt>
                <c:pt idx="19">
                  <c:v>0.45600000000000002</c:v>
                </c:pt>
                <c:pt idx="20">
                  <c:v>0.504</c:v>
                </c:pt>
                <c:pt idx="21">
                  <c:v>0.504</c:v>
                </c:pt>
                <c:pt idx="22">
                  <c:v>0.56000000000000005</c:v>
                </c:pt>
                <c:pt idx="23">
                  <c:v>0.56000000000000005</c:v>
                </c:pt>
                <c:pt idx="24">
                  <c:v>0.59199999999999997</c:v>
                </c:pt>
                <c:pt idx="25">
                  <c:v>0.59199999999999997</c:v>
                </c:pt>
                <c:pt idx="26">
                  <c:v>0.58399999999999996</c:v>
                </c:pt>
                <c:pt idx="27">
                  <c:v>0.57599999999999996</c:v>
                </c:pt>
                <c:pt idx="35">
                  <c:v>0.50800000000000001</c:v>
                </c:pt>
                <c:pt idx="36">
                  <c:v>0.50800000000000001</c:v>
                </c:pt>
                <c:pt idx="37">
                  <c:v>0.55200000000000005</c:v>
                </c:pt>
                <c:pt idx="38">
                  <c:v>0.55200000000000005</c:v>
                </c:pt>
                <c:pt idx="39">
                  <c:v>0.57599999999999996</c:v>
                </c:pt>
                <c:pt idx="40">
                  <c:v>0.57199999999999995</c:v>
                </c:pt>
                <c:pt idx="41">
                  <c:v>0.29199999999999998</c:v>
                </c:pt>
                <c:pt idx="42">
                  <c:v>0.29199999999999998</c:v>
                </c:pt>
                <c:pt idx="43">
                  <c:v>0.57999999999999996</c:v>
                </c:pt>
                <c:pt idx="44">
                  <c:v>0.57199999999999995</c:v>
                </c:pt>
                <c:pt idx="45">
                  <c:v>0.57999999999999996</c:v>
                </c:pt>
                <c:pt idx="46">
                  <c:v>0.57999999999999996</c:v>
                </c:pt>
                <c:pt idx="47">
                  <c:v>0.57999999999999996</c:v>
                </c:pt>
                <c:pt idx="48">
                  <c:v>0.57999999999999996</c:v>
                </c:pt>
                <c:pt idx="49">
                  <c:v>0.57999999999999996</c:v>
                </c:pt>
                <c:pt idx="50">
                  <c:v>0.57999999999999996</c:v>
                </c:pt>
                <c:pt idx="51">
                  <c:v>0.29599999999999999</c:v>
                </c:pt>
                <c:pt idx="52">
                  <c:v>0.29599999999999999</c:v>
                </c:pt>
                <c:pt idx="53">
                  <c:v>0.35199999999999998</c:v>
                </c:pt>
                <c:pt idx="54">
                  <c:v>0.35199999999999998</c:v>
                </c:pt>
                <c:pt idx="55">
                  <c:v>0.40400000000000003</c:v>
                </c:pt>
                <c:pt idx="56">
                  <c:v>0.40400000000000003</c:v>
                </c:pt>
                <c:pt idx="57">
                  <c:v>0.45600000000000002</c:v>
                </c:pt>
                <c:pt idx="58">
                  <c:v>0.45600000000000002</c:v>
                </c:pt>
                <c:pt idx="59">
                  <c:v>0.504</c:v>
                </c:pt>
                <c:pt idx="60">
                  <c:v>0.504</c:v>
                </c:pt>
                <c:pt idx="61">
                  <c:v>0.55600000000000005</c:v>
                </c:pt>
                <c:pt idx="62">
                  <c:v>0.55600000000000005</c:v>
                </c:pt>
                <c:pt idx="63">
                  <c:v>0.60399999999999998</c:v>
                </c:pt>
                <c:pt idx="64">
                  <c:v>0.60399999999999998</c:v>
                </c:pt>
                <c:pt idx="65">
                  <c:v>0.628</c:v>
                </c:pt>
                <c:pt idx="66">
                  <c:v>0.628</c:v>
                </c:pt>
                <c:pt idx="67">
                  <c:v>0.62</c:v>
                </c:pt>
                <c:pt idx="68">
                  <c:v>0.62</c:v>
                </c:pt>
              </c:numCache>
            </c:numRef>
          </c:yVal>
          <c:smooth val="0"/>
          <c:extLst>
            <c:ext xmlns:c16="http://schemas.microsoft.com/office/drawing/2014/chart" uri="{C3380CC4-5D6E-409C-BE32-E72D297353CC}">
              <c16:uniqueId val="{00000001-47B8-4C76-BE46-F931764CC4ED}"/>
            </c:ext>
          </c:extLst>
        </c:ser>
        <c:dLbls>
          <c:showLegendKey val="0"/>
          <c:showVal val="0"/>
          <c:showCatName val="0"/>
          <c:showSerName val="0"/>
          <c:showPercent val="0"/>
          <c:showBubbleSize val="0"/>
        </c:dLbls>
        <c:axId val="764072943"/>
        <c:axId val="1"/>
      </c:scatterChart>
      <c:valAx>
        <c:axId val="764072943"/>
        <c:scaling>
          <c:orientation val="minMax"/>
          <c:max val="5"/>
          <c:min val="2"/>
        </c:scaling>
        <c:delete val="0"/>
        <c:axPos val="b"/>
        <c:title>
          <c:tx>
            <c:rich>
              <a:bodyPr/>
              <a:lstStyle/>
              <a:p>
                <a:pPr>
                  <a:defRPr sz="875" b="0" i="0" u="none" strike="noStrike" baseline="0">
                    <a:solidFill>
                      <a:srgbClr val="000000"/>
                    </a:solidFill>
                    <a:latin typeface="MathSoftText"/>
                    <a:ea typeface="MathSoftText"/>
                    <a:cs typeface="MathSoftText"/>
                  </a:defRPr>
                </a:pPr>
                <a:r>
                  <a:rPr lang="en-GB"/>
                  <a:t>Bdot (volts)</a:t>
                </a:r>
              </a:p>
            </c:rich>
          </c:tx>
          <c:layout>
            <c:manualLayout>
              <c:xMode val="edge"/>
              <c:yMode val="edge"/>
              <c:x val="0.46937281559997202"/>
              <c:y val="0.85477687502621358"/>
            </c:manualLayout>
          </c:layout>
          <c:overlay val="0"/>
          <c:spPr>
            <a:noFill/>
            <a:ln w="25400">
              <a:noFill/>
            </a:ln>
          </c:spPr>
        </c:title>
        <c:numFmt formatCode="0.00" sourceLinked="1"/>
        <c:majorTickMark val="out"/>
        <c:minorTickMark val="none"/>
        <c:tickLblPos val="nextTo"/>
        <c:spPr>
          <a:ln w="3175">
            <a:solidFill>
              <a:srgbClr val="99CC00"/>
            </a:solidFill>
            <a:prstDash val="solid"/>
          </a:ln>
        </c:spPr>
        <c:txPr>
          <a:bodyPr rot="0" vert="horz"/>
          <a:lstStyle/>
          <a:p>
            <a:pPr>
              <a:defRPr sz="875" b="0" i="0" u="none" strike="noStrike" baseline="0">
                <a:solidFill>
                  <a:srgbClr val="000000"/>
                </a:solidFill>
                <a:latin typeface="MathSoftText"/>
                <a:ea typeface="MathSoftText"/>
                <a:cs typeface="MathSoftText"/>
              </a:defRPr>
            </a:pPr>
            <a:endParaRPr lang="en-US"/>
          </a:p>
        </c:txPr>
        <c:crossAx val="1"/>
        <c:crosses val="autoZero"/>
        <c:crossBetween val="midCat"/>
        <c:minorUnit val="0.1"/>
      </c:valAx>
      <c:valAx>
        <c:axId val="1"/>
        <c:scaling>
          <c:orientation val="minMax"/>
        </c:scaling>
        <c:delete val="0"/>
        <c:axPos val="l"/>
        <c:majorGridlines>
          <c:spPr>
            <a:ln w="3175">
              <a:solidFill>
                <a:srgbClr val="99CC00"/>
              </a:solidFill>
              <a:prstDash val="solid"/>
            </a:ln>
          </c:spPr>
        </c:majorGridlines>
        <c:title>
          <c:tx>
            <c:rich>
              <a:bodyPr/>
              <a:lstStyle/>
              <a:p>
                <a:pPr>
                  <a:defRPr sz="875" b="0" i="0" u="none" strike="noStrike" baseline="0">
                    <a:solidFill>
                      <a:srgbClr val="000000"/>
                    </a:solidFill>
                    <a:latin typeface="MathSoftText"/>
                    <a:ea typeface="MathSoftText"/>
                    <a:cs typeface="MathSoftText"/>
                  </a:defRPr>
                </a:pPr>
                <a:r>
                  <a:rPr lang="en-GB"/>
                  <a:t>Rogowski (volts)</a:t>
                </a:r>
              </a:p>
            </c:rich>
          </c:tx>
          <c:layout>
            <c:manualLayout>
              <c:xMode val="edge"/>
              <c:yMode val="edge"/>
              <c:x val="3.2885993449679567E-2"/>
              <c:y val="0.29609917893064913"/>
            </c:manualLayout>
          </c:layout>
          <c:overlay val="0"/>
          <c:spPr>
            <a:noFill/>
            <a:ln w="25400">
              <a:noFill/>
            </a:ln>
          </c:spPr>
        </c:title>
        <c:numFmt formatCode="General" sourceLinked="1"/>
        <c:majorTickMark val="out"/>
        <c:minorTickMark val="none"/>
        <c:tickLblPos val="nextTo"/>
        <c:spPr>
          <a:ln w="3175">
            <a:solidFill>
              <a:srgbClr val="99CC00"/>
            </a:solidFill>
            <a:prstDash val="solid"/>
          </a:ln>
        </c:spPr>
        <c:txPr>
          <a:bodyPr rot="0" vert="horz"/>
          <a:lstStyle/>
          <a:p>
            <a:pPr>
              <a:defRPr sz="875" b="0" i="0" u="none" strike="noStrike" baseline="0">
                <a:solidFill>
                  <a:srgbClr val="000000"/>
                </a:solidFill>
                <a:latin typeface="MathSoftText"/>
                <a:ea typeface="MathSoftText"/>
                <a:cs typeface="MathSoftText"/>
              </a:defRPr>
            </a:pPr>
            <a:endParaRPr lang="en-US"/>
          </a:p>
        </c:txPr>
        <c:crossAx val="764072943"/>
        <c:crosses val="autoZero"/>
        <c:crossBetween val="midCat"/>
      </c:valAx>
      <c:spPr>
        <a:noFill/>
        <a:ln w="12700">
          <a:solidFill>
            <a:srgbClr val="99CC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75" b="0" i="0" u="none" strike="noStrike" baseline="0">
          <a:solidFill>
            <a:srgbClr val="000000"/>
          </a:solidFill>
          <a:latin typeface="MathSoftText"/>
          <a:ea typeface="MathSoftText"/>
          <a:cs typeface="MathSoftText"/>
        </a:defRPr>
      </a:pPr>
      <a:endParaRPr lang="en-US"/>
    </a:p>
  </c:txPr>
  <c:printSettings>
    <c:headerFooter alignWithMargins="0"/>
    <c:pageMargins b="1" l="0.75" r="0.75" t="1" header="0.5" footer="0.5"/>
    <c:pageSetup orientation="landscape"/>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450" b="0" i="0" u="none" strike="noStrike" baseline="0">
                <a:solidFill>
                  <a:srgbClr val="000000"/>
                </a:solidFill>
                <a:latin typeface="MathSoftText"/>
                <a:ea typeface="MathSoftText"/>
                <a:cs typeface="MathSoftText"/>
              </a:defRPr>
            </a:pPr>
            <a:r>
              <a:rPr lang="en-GB"/>
              <a:t>lens 28 pulse count vs peak current</a:t>
            </a:r>
          </a:p>
        </c:rich>
      </c:tx>
      <c:layout>
        <c:manualLayout>
          <c:xMode val="edge"/>
          <c:yMode val="edge"/>
          <c:x val="0.38956529851018212"/>
          <c:y val="6.5870719064804212E-2"/>
        </c:manualLayout>
      </c:layout>
      <c:overlay val="0"/>
      <c:spPr>
        <a:noFill/>
        <a:ln w="25400">
          <a:noFill/>
        </a:ln>
      </c:spPr>
    </c:title>
    <c:autoTitleDeleted val="0"/>
    <c:plotArea>
      <c:layout>
        <c:manualLayout>
          <c:layoutTarget val="inner"/>
          <c:xMode val="edge"/>
          <c:yMode val="edge"/>
          <c:x val="0.10895887659480188"/>
          <c:y val="0.29941235938547367"/>
          <c:w val="0.86122290130411905"/>
          <c:h val="0.37127132563798737"/>
        </c:manualLayout>
      </c:layout>
      <c:barChart>
        <c:barDir val="col"/>
        <c:grouping val="clustered"/>
        <c:varyColors val="0"/>
        <c:ser>
          <c:idx val="0"/>
          <c:order val="0"/>
          <c:spPr>
            <a:solidFill>
              <a:srgbClr val="9999FF"/>
            </a:solidFill>
            <a:ln w="12700">
              <a:solidFill>
                <a:srgbClr val="000000"/>
              </a:solidFill>
              <a:prstDash val="solid"/>
            </a:ln>
          </c:spPr>
          <c:invertIfNegative val="0"/>
          <c:cat>
            <c:numRef>
              <c:f>'Lens 28'!$D$46:$D$56</c:f>
              <c:numCache>
                <c:formatCode>General</c:formatCode>
                <c:ptCount val="11"/>
                <c:pt idx="0">
                  <c:v>295850.8868571535</c:v>
                </c:pt>
                <c:pt idx="1">
                  <c:v>345597.02934238361</c:v>
                </c:pt>
                <c:pt idx="2">
                  <c:v>395343.1718276139</c:v>
                </c:pt>
                <c:pt idx="3">
                  <c:v>445089.31431284407</c:v>
                </c:pt>
                <c:pt idx="4">
                  <c:v>494835.45679807424</c:v>
                </c:pt>
                <c:pt idx="5">
                  <c:v>544581.59928330453</c:v>
                </c:pt>
                <c:pt idx="6">
                  <c:v>558510.51917916897</c:v>
                </c:pt>
                <c:pt idx="7">
                  <c:v>559505.44202887348</c:v>
                </c:pt>
                <c:pt idx="8">
                  <c:v>569454.67052591953</c:v>
                </c:pt>
                <c:pt idx="9">
                  <c:v>584378.51327148848</c:v>
                </c:pt>
                <c:pt idx="10">
                  <c:v>589353.12752001162</c:v>
                </c:pt>
              </c:numCache>
            </c:numRef>
          </c:cat>
          <c:val>
            <c:numRef>
              <c:f>'Lens 28'!$A$46:$A$56</c:f>
              <c:numCache>
                <c:formatCode>General</c:formatCode>
                <c:ptCount val="11"/>
                <c:pt idx="0">
                  <c:v>500</c:v>
                </c:pt>
                <c:pt idx="1">
                  <c:v>427</c:v>
                </c:pt>
                <c:pt idx="2">
                  <c:v>248</c:v>
                </c:pt>
                <c:pt idx="3">
                  <c:v>420</c:v>
                </c:pt>
                <c:pt idx="4">
                  <c:v>318</c:v>
                </c:pt>
                <c:pt idx="5">
                  <c:v>284</c:v>
                </c:pt>
                <c:pt idx="6">
                  <c:v>8506</c:v>
                </c:pt>
                <c:pt idx="7">
                  <c:v>13294</c:v>
                </c:pt>
                <c:pt idx="8">
                  <c:v>29653</c:v>
                </c:pt>
                <c:pt idx="9">
                  <c:v>722</c:v>
                </c:pt>
                <c:pt idx="10">
                  <c:v>797</c:v>
                </c:pt>
              </c:numCache>
            </c:numRef>
          </c:val>
          <c:extLst>
            <c:ext xmlns:c16="http://schemas.microsoft.com/office/drawing/2014/chart" uri="{C3380CC4-5D6E-409C-BE32-E72D297353CC}">
              <c16:uniqueId val="{00000000-C36F-45A2-8A82-8C92C7A512B8}"/>
            </c:ext>
          </c:extLst>
        </c:ser>
        <c:dLbls>
          <c:showLegendKey val="0"/>
          <c:showVal val="0"/>
          <c:showCatName val="0"/>
          <c:showSerName val="0"/>
          <c:showPercent val="0"/>
          <c:showBubbleSize val="0"/>
        </c:dLbls>
        <c:gapWidth val="150"/>
        <c:axId val="855927935"/>
        <c:axId val="1"/>
      </c:barChart>
      <c:catAx>
        <c:axId val="855927935"/>
        <c:scaling>
          <c:orientation val="minMax"/>
        </c:scaling>
        <c:delete val="0"/>
        <c:axPos val="b"/>
        <c:title>
          <c:tx>
            <c:rich>
              <a:bodyPr/>
              <a:lstStyle/>
              <a:p>
                <a:pPr>
                  <a:defRPr sz="375" b="0" i="0" u="none" strike="noStrike" baseline="0">
                    <a:solidFill>
                      <a:srgbClr val="000000"/>
                    </a:solidFill>
                    <a:latin typeface="MathSoftText"/>
                    <a:ea typeface="MathSoftText"/>
                    <a:cs typeface="MathSoftText"/>
                  </a:defRPr>
                </a:pPr>
                <a:r>
                  <a:rPr lang="en-GB"/>
                  <a:t>amps</a:t>
                </a:r>
              </a:p>
            </c:rich>
          </c:tx>
          <c:layout>
            <c:manualLayout>
              <c:xMode val="edge"/>
              <c:yMode val="edge"/>
              <c:x val="0.52240557271480359"/>
              <c:y val="0.78446038158994102"/>
            </c:manualLayout>
          </c:layout>
          <c:overlay val="0"/>
          <c:spPr>
            <a:noFill/>
            <a:ln w="25400">
              <a:noFill/>
            </a:ln>
          </c:spPr>
        </c:title>
        <c:numFmt formatCode="0" sourceLinked="0"/>
        <c:majorTickMark val="out"/>
        <c:minorTickMark val="none"/>
        <c:tickLblPos val="nextTo"/>
        <c:spPr>
          <a:ln w="3175">
            <a:solidFill>
              <a:srgbClr val="99CC00"/>
            </a:solidFill>
            <a:prstDash val="solid"/>
          </a:ln>
        </c:spPr>
        <c:txPr>
          <a:bodyPr rot="0" vert="horz"/>
          <a:lstStyle/>
          <a:p>
            <a:pPr>
              <a:defRPr sz="375" b="0" i="0" u="none" strike="noStrike" baseline="0">
                <a:solidFill>
                  <a:srgbClr val="000000"/>
                </a:solidFill>
                <a:latin typeface="MathSoftText"/>
                <a:ea typeface="MathSoftText"/>
                <a:cs typeface="MathSoftText"/>
              </a:defRPr>
            </a:pPr>
            <a:endParaRPr lang="en-US"/>
          </a:p>
        </c:txPr>
        <c:crossAx val="1"/>
        <c:crosses val="autoZero"/>
        <c:auto val="1"/>
        <c:lblAlgn val="ctr"/>
        <c:lblOffset val="100"/>
        <c:tickLblSkip val="1"/>
        <c:tickMarkSkip val="1"/>
        <c:noMultiLvlLbl val="0"/>
      </c:catAx>
      <c:valAx>
        <c:axId val="1"/>
        <c:scaling>
          <c:logBase val="10"/>
          <c:orientation val="minMax"/>
          <c:min val="10"/>
        </c:scaling>
        <c:delete val="0"/>
        <c:axPos val="l"/>
        <c:majorGridlines>
          <c:spPr>
            <a:ln w="3175">
              <a:solidFill>
                <a:srgbClr val="99CC00"/>
              </a:solidFill>
              <a:prstDash val="solid"/>
            </a:ln>
          </c:spPr>
        </c:majorGridlines>
        <c:title>
          <c:tx>
            <c:rich>
              <a:bodyPr/>
              <a:lstStyle/>
              <a:p>
                <a:pPr>
                  <a:defRPr sz="375" b="0" i="0" u="none" strike="noStrike" baseline="0">
                    <a:solidFill>
                      <a:srgbClr val="000000"/>
                    </a:solidFill>
                    <a:latin typeface="MathSoftText"/>
                    <a:ea typeface="MathSoftText"/>
                    <a:cs typeface="MathSoftText"/>
                  </a:defRPr>
                </a:pPr>
                <a:r>
                  <a:rPr lang="en-GB"/>
                  <a:t>number of pulses</a:t>
                </a:r>
              </a:p>
            </c:rich>
          </c:tx>
          <c:layout>
            <c:manualLayout>
              <c:xMode val="edge"/>
              <c:yMode val="edge"/>
              <c:x val="3.2836921713501936E-2"/>
              <c:y val="0.29342411219776421"/>
            </c:manualLayout>
          </c:layout>
          <c:overlay val="0"/>
          <c:spPr>
            <a:noFill/>
            <a:ln w="25400">
              <a:noFill/>
            </a:ln>
          </c:spPr>
        </c:title>
        <c:numFmt formatCode="General" sourceLinked="1"/>
        <c:majorTickMark val="out"/>
        <c:minorTickMark val="none"/>
        <c:tickLblPos val="nextTo"/>
        <c:spPr>
          <a:ln w="3175">
            <a:solidFill>
              <a:srgbClr val="99CC00"/>
            </a:solidFill>
            <a:prstDash val="solid"/>
          </a:ln>
        </c:spPr>
        <c:txPr>
          <a:bodyPr rot="0" vert="horz"/>
          <a:lstStyle/>
          <a:p>
            <a:pPr>
              <a:defRPr sz="375" b="0" i="0" u="none" strike="noStrike" baseline="0">
                <a:solidFill>
                  <a:srgbClr val="000000"/>
                </a:solidFill>
                <a:latin typeface="MathSoftText"/>
                <a:ea typeface="MathSoftText"/>
                <a:cs typeface="MathSoftText"/>
              </a:defRPr>
            </a:pPr>
            <a:endParaRPr lang="en-US"/>
          </a:p>
        </c:txPr>
        <c:crossAx val="855927935"/>
        <c:crosses val="autoZero"/>
        <c:crossBetween val="between"/>
      </c:valAx>
      <c:spPr>
        <a:noFill/>
        <a:ln w="12700">
          <a:solidFill>
            <a:srgbClr val="99CC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375" b="0" i="0" u="none" strike="noStrike" baseline="0">
          <a:solidFill>
            <a:srgbClr val="000000"/>
          </a:solidFill>
          <a:latin typeface="MathSoftText"/>
          <a:ea typeface="MathSoftText"/>
          <a:cs typeface="MathSoftText"/>
        </a:defRPr>
      </a:pPr>
      <a:endParaRPr lang="en-US"/>
    </a:p>
  </c:txPr>
  <c:printSettings>
    <c:headerFooter alignWithMargins="0"/>
    <c:pageMargins b="1" l="0.75" r="0.75" t="1" header="0.5" footer="0.5"/>
    <c:pageSetup orientation="landscape"/>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25" b="0" i="0" u="none" strike="noStrike" baseline="0">
                <a:solidFill>
                  <a:srgbClr val="000000"/>
                </a:solidFill>
                <a:latin typeface="MathSoftText"/>
                <a:ea typeface="MathSoftText"/>
                <a:cs typeface="MathSoftText"/>
              </a:defRPr>
            </a:pPr>
            <a:r>
              <a:rPr lang="en-GB"/>
              <a:t>lens 28 pulse count vs peak current</a:t>
            </a:r>
          </a:p>
        </c:rich>
      </c:tx>
      <c:layout>
        <c:manualLayout>
          <c:xMode val="edge"/>
          <c:yMode val="edge"/>
          <c:x val="0.30379024782781416"/>
          <c:y val="4.4305162390870949E-2"/>
        </c:manualLayout>
      </c:layout>
      <c:overlay val="0"/>
      <c:spPr>
        <a:noFill/>
        <a:ln w="25400">
          <a:noFill/>
        </a:ln>
      </c:spPr>
    </c:title>
    <c:autoTitleDeleted val="0"/>
    <c:plotArea>
      <c:layout>
        <c:manualLayout>
          <c:layoutTarget val="inner"/>
          <c:xMode val="edge"/>
          <c:yMode val="edge"/>
          <c:x val="0.1421164678679474"/>
          <c:y val="0.24684304760628098"/>
          <c:w val="0.79272305012579836"/>
          <c:h val="0.49052144075607118"/>
        </c:manualLayout>
      </c:layout>
      <c:scatterChart>
        <c:scatterStyle val="lineMarker"/>
        <c:varyColors val="0"/>
        <c:ser>
          <c:idx val="0"/>
          <c:order val="0"/>
          <c:spPr>
            <a:ln w="19050">
              <a:noFill/>
            </a:ln>
          </c:spPr>
          <c:marker>
            <c:symbol val="diamond"/>
            <c:size val="5"/>
            <c:spPr>
              <a:solidFill>
                <a:srgbClr val="000080"/>
              </a:solidFill>
              <a:ln>
                <a:solidFill>
                  <a:srgbClr val="000080"/>
                </a:solidFill>
                <a:prstDash val="solid"/>
              </a:ln>
            </c:spPr>
          </c:marker>
          <c:xVal>
            <c:numRef>
              <c:f>'Lens 28'!$D$46:$D$56</c:f>
              <c:numCache>
                <c:formatCode>General</c:formatCode>
                <c:ptCount val="11"/>
                <c:pt idx="0">
                  <c:v>295850.8868571535</c:v>
                </c:pt>
                <c:pt idx="1">
                  <c:v>345597.02934238361</c:v>
                </c:pt>
                <c:pt idx="2">
                  <c:v>395343.1718276139</c:v>
                </c:pt>
                <c:pt idx="3">
                  <c:v>445089.31431284407</c:v>
                </c:pt>
                <c:pt idx="4">
                  <c:v>494835.45679807424</c:v>
                </c:pt>
                <c:pt idx="5">
                  <c:v>544581.59928330453</c:v>
                </c:pt>
                <c:pt idx="6">
                  <c:v>558510.51917916897</c:v>
                </c:pt>
                <c:pt idx="7">
                  <c:v>559505.44202887348</c:v>
                </c:pt>
                <c:pt idx="8">
                  <c:v>569454.67052591953</c:v>
                </c:pt>
                <c:pt idx="9">
                  <c:v>584378.51327148848</c:v>
                </c:pt>
                <c:pt idx="10">
                  <c:v>589353.12752001162</c:v>
                </c:pt>
              </c:numCache>
            </c:numRef>
          </c:xVal>
          <c:yVal>
            <c:numRef>
              <c:f>'Lens 28'!$A$46:$A$56</c:f>
              <c:numCache>
                <c:formatCode>General</c:formatCode>
                <c:ptCount val="11"/>
                <c:pt idx="0">
                  <c:v>500</c:v>
                </c:pt>
                <c:pt idx="1">
                  <c:v>427</c:v>
                </c:pt>
                <c:pt idx="2">
                  <c:v>248</c:v>
                </c:pt>
                <c:pt idx="3">
                  <c:v>420</c:v>
                </c:pt>
                <c:pt idx="4">
                  <c:v>318</c:v>
                </c:pt>
                <c:pt idx="5">
                  <c:v>284</c:v>
                </c:pt>
                <c:pt idx="6">
                  <c:v>8506</c:v>
                </c:pt>
                <c:pt idx="7">
                  <c:v>13294</c:v>
                </c:pt>
                <c:pt idx="8">
                  <c:v>29653</c:v>
                </c:pt>
                <c:pt idx="9">
                  <c:v>722</c:v>
                </c:pt>
                <c:pt idx="10">
                  <c:v>797</c:v>
                </c:pt>
              </c:numCache>
            </c:numRef>
          </c:yVal>
          <c:smooth val="0"/>
          <c:extLst>
            <c:ext xmlns:c16="http://schemas.microsoft.com/office/drawing/2014/chart" uri="{C3380CC4-5D6E-409C-BE32-E72D297353CC}">
              <c16:uniqueId val="{00000000-3FCB-4003-A180-AE3E8DC7E56B}"/>
            </c:ext>
          </c:extLst>
        </c:ser>
        <c:dLbls>
          <c:showLegendKey val="0"/>
          <c:showVal val="0"/>
          <c:showCatName val="0"/>
          <c:showSerName val="0"/>
          <c:showPercent val="0"/>
          <c:showBubbleSize val="0"/>
        </c:dLbls>
        <c:axId val="764067951"/>
        <c:axId val="1"/>
      </c:scatterChart>
      <c:valAx>
        <c:axId val="764067951"/>
        <c:scaling>
          <c:orientation val="minMax"/>
          <c:max val="700000"/>
          <c:min val="200000"/>
        </c:scaling>
        <c:delete val="0"/>
        <c:axPos val="b"/>
        <c:title>
          <c:tx>
            <c:rich>
              <a:bodyPr/>
              <a:lstStyle/>
              <a:p>
                <a:pPr>
                  <a:defRPr sz="800" b="0" i="0" u="none" strike="noStrike" baseline="0">
                    <a:solidFill>
                      <a:srgbClr val="000000"/>
                    </a:solidFill>
                    <a:latin typeface="MathSoftText"/>
                    <a:ea typeface="MathSoftText"/>
                    <a:cs typeface="MathSoftText"/>
                  </a:defRPr>
                </a:pPr>
                <a:r>
                  <a:rPr lang="en-GB"/>
                  <a:t>amps</a:t>
                </a:r>
              </a:p>
            </c:rich>
          </c:tx>
          <c:layout>
            <c:manualLayout>
              <c:xMode val="edge"/>
              <c:yMode val="edge"/>
              <c:x val="0.50979393519603144"/>
              <c:y val="0.85129204879602027"/>
            </c:manualLayout>
          </c:layout>
          <c:overlay val="0"/>
          <c:spPr>
            <a:noFill/>
            <a:ln w="25400">
              <a:noFill/>
            </a:ln>
          </c:spPr>
        </c:title>
        <c:numFmt formatCode="0" sourceLinked="0"/>
        <c:majorTickMark val="out"/>
        <c:minorTickMark val="none"/>
        <c:tickLblPos val="nextTo"/>
        <c:spPr>
          <a:ln w="3175">
            <a:solidFill>
              <a:srgbClr val="99CC00"/>
            </a:solidFill>
            <a:prstDash val="solid"/>
          </a:ln>
        </c:spPr>
        <c:txPr>
          <a:bodyPr rot="0" vert="horz"/>
          <a:lstStyle/>
          <a:p>
            <a:pPr>
              <a:defRPr sz="800" b="0" i="0" u="none" strike="noStrike" baseline="0">
                <a:solidFill>
                  <a:srgbClr val="000000"/>
                </a:solidFill>
                <a:latin typeface="MathSoftText"/>
                <a:ea typeface="MathSoftText"/>
                <a:cs typeface="MathSoftText"/>
              </a:defRPr>
            </a:pPr>
            <a:endParaRPr lang="en-US"/>
          </a:p>
        </c:txPr>
        <c:crossAx val="1"/>
        <c:crosses val="autoZero"/>
        <c:crossBetween val="midCat"/>
      </c:valAx>
      <c:valAx>
        <c:axId val="1"/>
        <c:scaling>
          <c:orientation val="minMax"/>
          <c:max val="40000"/>
          <c:min val="0"/>
        </c:scaling>
        <c:delete val="0"/>
        <c:axPos val="l"/>
        <c:majorGridlines>
          <c:spPr>
            <a:ln w="3175">
              <a:solidFill>
                <a:srgbClr val="99CC00"/>
              </a:solidFill>
              <a:prstDash val="solid"/>
            </a:ln>
          </c:spPr>
        </c:majorGridlines>
        <c:title>
          <c:tx>
            <c:rich>
              <a:bodyPr/>
              <a:lstStyle/>
              <a:p>
                <a:pPr>
                  <a:defRPr sz="800" b="0" i="0" u="none" strike="noStrike" baseline="0">
                    <a:solidFill>
                      <a:srgbClr val="000000"/>
                    </a:solidFill>
                    <a:latin typeface="MathSoftText"/>
                    <a:ea typeface="MathSoftText"/>
                    <a:cs typeface="MathSoftText"/>
                  </a:defRPr>
                </a:pPr>
                <a:r>
                  <a:rPr lang="en-GB"/>
                  <a:t>number of pulses</a:t>
                </a:r>
              </a:p>
            </c:rich>
          </c:tx>
          <c:layout>
            <c:manualLayout>
              <c:xMode val="edge"/>
              <c:yMode val="edge"/>
              <c:x val="2.8684057734815072E-2"/>
              <c:y val="0.29431286445364269"/>
            </c:manualLayout>
          </c:layout>
          <c:overlay val="0"/>
          <c:spPr>
            <a:noFill/>
            <a:ln w="25400">
              <a:noFill/>
            </a:ln>
          </c:spPr>
        </c:title>
        <c:numFmt formatCode="General" sourceLinked="1"/>
        <c:majorTickMark val="out"/>
        <c:minorTickMark val="none"/>
        <c:tickLblPos val="nextTo"/>
        <c:spPr>
          <a:ln w="3175">
            <a:solidFill>
              <a:srgbClr val="99CC00"/>
            </a:solidFill>
            <a:prstDash val="solid"/>
          </a:ln>
        </c:spPr>
        <c:txPr>
          <a:bodyPr rot="0" vert="horz"/>
          <a:lstStyle/>
          <a:p>
            <a:pPr>
              <a:defRPr sz="800" b="0" i="0" u="none" strike="noStrike" baseline="0">
                <a:solidFill>
                  <a:srgbClr val="000000"/>
                </a:solidFill>
                <a:latin typeface="MathSoftText"/>
                <a:ea typeface="MathSoftText"/>
                <a:cs typeface="MathSoftText"/>
              </a:defRPr>
            </a:pPr>
            <a:endParaRPr lang="en-US"/>
          </a:p>
        </c:txPr>
        <c:crossAx val="764067951"/>
        <c:crosses val="autoZero"/>
        <c:crossBetween val="midCat"/>
      </c:valAx>
      <c:spPr>
        <a:noFill/>
        <a:ln w="12700">
          <a:solidFill>
            <a:srgbClr val="99CC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MathSoftText"/>
          <a:ea typeface="MathSoftText"/>
          <a:cs typeface="MathSoftText"/>
        </a:defRPr>
      </a:pPr>
      <a:endParaRPr lang="en-US"/>
    </a:p>
  </c:txPr>
  <c:printSettings>
    <c:headerFooter alignWithMargins="0"/>
    <c:pageMargins b="1" l="0.75" r="0.75" t="1" header="0.5" footer="0.5"/>
    <c:pageSetup orientation="landscape" horizontalDpi="355" verticalDpi="355"/>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325" b="0" i="0" u="none" strike="noStrike" baseline="0">
                <a:solidFill>
                  <a:srgbClr val="000000"/>
                </a:solidFill>
                <a:latin typeface="MathSoftText"/>
                <a:ea typeface="MathSoftText"/>
                <a:cs typeface="MathSoftText"/>
              </a:defRPr>
            </a:pPr>
            <a:r>
              <a:rPr lang="en-GB"/>
              <a:t>lens 28 pulse count vs peak current</a:t>
            </a:r>
          </a:p>
        </c:rich>
      </c:tx>
      <c:layout>
        <c:manualLayout>
          <c:xMode val="edge"/>
          <c:yMode val="edge"/>
          <c:x val="0.41730038437859762"/>
          <c:y val="8.0002636805656432E-2"/>
        </c:manualLayout>
      </c:layout>
      <c:overlay val="0"/>
      <c:spPr>
        <a:noFill/>
        <a:ln w="25400">
          <a:noFill/>
        </a:ln>
      </c:spPr>
    </c:title>
    <c:autoTitleDeleted val="0"/>
    <c:plotArea>
      <c:layout>
        <c:manualLayout>
          <c:layoutTarget val="inner"/>
          <c:xMode val="edge"/>
          <c:yMode val="edge"/>
          <c:x val="8.3460076875719533E-2"/>
          <c:y val="0.36801212930601962"/>
          <c:w val="0.88676331680452003"/>
          <c:h val="0.22400738305583803"/>
        </c:manualLayout>
      </c:layout>
      <c:barChart>
        <c:barDir val="col"/>
        <c:grouping val="clustered"/>
        <c:varyColors val="0"/>
        <c:ser>
          <c:idx val="0"/>
          <c:order val="0"/>
          <c:spPr>
            <a:solidFill>
              <a:srgbClr val="9999FF"/>
            </a:solidFill>
            <a:ln w="12700">
              <a:solidFill>
                <a:srgbClr val="000000"/>
              </a:solidFill>
              <a:prstDash val="solid"/>
            </a:ln>
          </c:spPr>
          <c:invertIfNegative val="0"/>
          <c:cat>
            <c:numRef>
              <c:f>'Lens 28'!$D$46:$D$56</c:f>
              <c:numCache>
                <c:formatCode>General</c:formatCode>
                <c:ptCount val="11"/>
                <c:pt idx="0">
                  <c:v>295850.8868571535</c:v>
                </c:pt>
                <c:pt idx="1">
                  <c:v>345597.02934238361</c:v>
                </c:pt>
                <c:pt idx="2">
                  <c:v>395343.1718276139</c:v>
                </c:pt>
                <c:pt idx="3">
                  <c:v>445089.31431284407</c:v>
                </c:pt>
                <c:pt idx="4">
                  <c:v>494835.45679807424</c:v>
                </c:pt>
                <c:pt idx="5">
                  <c:v>544581.59928330453</c:v>
                </c:pt>
                <c:pt idx="6">
                  <c:v>558510.51917916897</c:v>
                </c:pt>
                <c:pt idx="7">
                  <c:v>559505.44202887348</c:v>
                </c:pt>
                <c:pt idx="8">
                  <c:v>569454.67052591953</c:v>
                </c:pt>
                <c:pt idx="9">
                  <c:v>584378.51327148848</c:v>
                </c:pt>
                <c:pt idx="10">
                  <c:v>589353.12752001162</c:v>
                </c:pt>
              </c:numCache>
            </c:numRef>
          </c:cat>
          <c:val>
            <c:numRef>
              <c:f>'Lens 28'!$A$46:$A$56</c:f>
              <c:numCache>
                <c:formatCode>General</c:formatCode>
                <c:ptCount val="11"/>
                <c:pt idx="0">
                  <c:v>500</c:v>
                </c:pt>
                <c:pt idx="1">
                  <c:v>427</c:v>
                </c:pt>
                <c:pt idx="2">
                  <c:v>248</c:v>
                </c:pt>
                <c:pt idx="3">
                  <c:v>420</c:v>
                </c:pt>
                <c:pt idx="4">
                  <c:v>318</c:v>
                </c:pt>
                <c:pt idx="5">
                  <c:v>284</c:v>
                </c:pt>
                <c:pt idx="6">
                  <c:v>8506</c:v>
                </c:pt>
                <c:pt idx="7">
                  <c:v>13294</c:v>
                </c:pt>
                <c:pt idx="8">
                  <c:v>29653</c:v>
                </c:pt>
                <c:pt idx="9">
                  <c:v>722</c:v>
                </c:pt>
                <c:pt idx="10">
                  <c:v>797</c:v>
                </c:pt>
              </c:numCache>
            </c:numRef>
          </c:val>
          <c:extLst>
            <c:ext xmlns:c16="http://schemas.microsoft.com/office/drawing/2014/chart" uri="{C3380CC4-5D6E-409C-BE32-E72D297353CC}">
              <c16:uniqueId val="{00000000-114C-4EA3-88B8-80EFE407CF20}"/>
            </c:ext>
          </c:extLst>
        </c:ser>
        <c:dLbls>
          <c:showLegendKey val="0"/>
          <c:showVal val="0"/>
          <c:showCatName val="0"/>
          <c:showSerName val="0"/>
          <c:showPercent val="0"/>
          <c:showBubbleSize val="0"/>
        </c:dLbls>
        <c:gapWidth val="150"/>
        <c:axId val="855925135"/>
        <c:axId val="1"/>
      </c:barChart>
      <c:catAx>
        <c:axId val="855925135"/>
        <c:scaling>
          <c:orientation val="minMax"/>
        </c:scaling>
        <c:delete val="0"/>
        <c:axPos val="b"/>
        <c:title>
          <c:tx>
            <c:rich>
              <a:bodyPr/>
              <a:lstStyle/>
              <a:p>
                <a:pPr>
                  <a:defRPr sz="275" b="0" i="0" u="none" strike="noStrike" baseline="0">
                    <a:solidFill>
                      <a:srgbClr val="000000"/>
                    </a:solidFill>
                    <a:latin typeface="MathSoftText"/>
                    <a:ea typeface="MathSoftText"/>
                    <a:cs typeface="MathSoftText"/>
                  </a:defRPr>
                </a:pPr>
                <a:r>
                  <a:rPr lang="en-GB"/>
                  <a:t>amps</a:t>
                </a:r>
              </a:p>
            </c:rich>
          </c:tx>
          <c:layout>
            <c:manualLayout>
              <c:xMode val="edge"/>
              <c:yMode val="edge"/>
              <c:x val="0.51566404641069563"/>
              <c:y val="0.72802399493147352"/>
            </c:manualLayout>
          </c:layout>
          <c:overlay val="0"/>
          <c:spPr>
            <a:noFill/>
            <a:ln w="25400">
              <a:noFill/>
            </a:ln>
          </c:spPr>
        </c:title>
        <c:numFmt formatCode="0" sourceLinked="0"/>
        <c:majorTickMark val="out"/>
        <c:minorTickMark val="none"/>
        <c:tickLblPos val="nextTo"/>
        <c:spPr>
          <a:ln w="3175">
            <a:solidFill>
              <a:srgbClr val="99CC00"/>
            </a:solidFill>
            <a:prstDash val="solid"/>
          </a:ln>
        </c:spPr>
        <c:txPr>
          <a:bodyPr rot="0" vert="horz"/>
          <a:lstStyle/>
          <a:p>
            <a:pPr>
              <a:defRPr sz="275" b="0" i="0" u="none" strike="noStrike" baseline="0">
                <a:solidFill>
                  <a:srgbClr val="000000"/>
                </a:solidFill>
                <a:latin typeface="MathSoftText"/>
                <a:ea typeface="MathSoftText"/>
                <a:cs typeface="MathSoftText"/>
              </a:defRPr>
            </a:pPr>
            <a:endParaRPr lang="en-US"/>
          </a:p>
        </c:txPr>
        <c:crossAx val="1"/>
        <c:crosses val="autoZero"/>
        <c:auto val="1"/>
        <c:lblAlgn val="ctr"/>
        <c:lblOffset val="100"/>
        <c:tickLblSkip val="1"/>
        <c:tickMarkSkip val="1"/>
        <c:noMultiLvlLbl val="0"/>
      </c:catAx>
      <c:valAx>
        <c:axId val="1"/>
        <c:scaling>
          <c:orientation val="minMax"/>
          <c:max val="40000"/>
          <c:min val="0"/>
        </c:scaling>
        <c:delete val="0"/>
        <c:axPos val="l"/>
        <c:majorGridlines>
          <c:spPr>
            <a:ln w="3175">
              <a:solidFill>
                <a:srgbClr val="99CC00"/>
              </a:solidFill>
              <a:prstDash val="solid"/>
            </a:ln>
          </c:spPr>
        </c:majorGridlines>
        <c:title>
          <c:tx>
            <c:rich>
              <a:bodyPr/>
              <a:lstStyle/>
              <a:p>
                <a:pPr>
                  <a:defRPr sz="275" b="0" i="0" u="none" strike="noStrike" baseline="0">
                    <a:solidFill>
                      <a:srgbClr val="000000"/>
                    </a:solidFill>
                    <a:latin typeface="MathSoftText"/>
                    <a:ea typeface="MathSoftText"/>
                    <a:cs typeface="MathSoftText"/>
                  </a:defRPr>
                </a:pPr>
                <a:r>
                  <a:rPr lang="en-GB"/>
                  <a:t>number of pulses</a:t>
                </a:r>
              </a:p>
            </c:rich>
          </c:tx>
          <c:layout>
            <c:manualLayout>
              <c:xMode val="edge"/>
              <c:yMode val="edge"/>
              <c:x val="3.2787887344032672E-2"/>
              <c:y val="0.29600975618092884"/>
            </c:manualLayout>
          </c:layout>
          <c:overlay val="0"/>
          <c:spPr>
            <a:noFill/>
            <a:ln w="25400">
              <a:noFill/>
            </a:ln>
          </c:spPr>
        </c:title>
        <c:numFmt formatCode="General" sourceLinked="1"/>
        <c:majorTickMark val="out"/>
        <c:minorTickMark val="none"/>
        <c:tickLblPos val="nextTo"/>
        <c:spPr>
          <a:ln w="3175">
            <a:solidFill>
              <a:srgbClr val="99CC00"/>
            </a:solidFill>
            <a:prstDash val="solid"/>
          </a:ln>
        </c:spPr>
        <c:txPr>
          <a:bodyPr rot="0" vert="horz"/>
          <a:lstStyle/>
          <a:p>
            <a:pPr>
              <a:defRPr sz="275" b="0" i="0" u="none" strike="noStrike" baseline="0">
                <a:solidFill>
                  <a:srgbClr val="000000"/>
                </a:solidFill>
                <a:latin typeface="MathSoftText"/>
                <a:ea typeface="MathSoftText"/>
                <a:cs typeface="MathSoftText"/>
              </a:defRPr>
            </a:pPr>
            <a:endParaRPr lang="en-US"/>
          </a:p>
        </c:txPr>
        <c:crossAx val="855925135"/>
        <c:crosses val="autoZero"/>
        <c:crossBetween val="between"/>
      </c:valAx>
      <c:spPr>
        <a:noFill/>
        <a:ln w="12700">
          <a:solidFill>
            <a:srgbClr val="99CC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MathSoftText"/>
          <a:ea typeface="MathSoftText"/>
          <a:cs typeface="MathSoftText"/>
        </a:defRPr>
      </a:pPr>
      <a:endParaRPr lang="en-US"/>
    </a:p>
  </c:txPr>
  <c:printSettings>
    <c:headerFooter alignWithMargins="0"/>
    <c:pageMargins b="1" l="0.75" r="0.75" t="1" header="0.5" footer="0.5"/>
    <c:pageSetup orientation="landscape" horizontalDpi="355" verticalDpi="355"/>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0" i="0" u="none" strike="noStrike" baseline="0">
                <a:solidFill>
                  <a:srgbClr val="000000"/>
                </a:solidFill>
                <a:latin typeface="MathSoftText"/>
                <a:ea typeface="MathSoftText"/>
                <a:cs typeface="MathSoftText"/>
              </a:defRPr>
            </a:pPr>
            <a:r>
              <a:rPr lang="en-GB"/>
              <a:t>Lens 28 Rogowski and Bdot vs Pot</a:t>
            </a:r>
          </a:p>
        </c:rich>
      </c:tx>
      <c:layout>
        <c:manualLayout>
          <c:xMode val="edge"/>
          <c:yMode val="edge"/>
          <c:x val="0.24365531510444405"/>
          <c:y val="3.9165689224335762E-2"/>
        </c:manualLayout>
      </c:layout>
      <c:overlay val="0"/>
      <c:spPr>
        <a:noFill/>
        <a:ln w="25400">
          <a:noFill/>
        </a:ln>
      </c:spPr>
    </c:title>
    <c:autoTitleDeleted val="0"/>
    <c:plotArea>
      <c:layout>
        <c:manualLayout>
          <c:layoutTarget val="inner"/>
          <c:xMode val="edge"/>
          <c:yMode val="edge"/>
          <c:x val="0.18087296397323763"/>
          <c:y val="0.27938191646692845"/>
          <c:w val="0.40958010023691821"/>
          <c:h val="0.43082258146769342"/>
        </c:manualLayout>
      </c:layout>
      <c:scatterChart>
        <c:scatterStyle val="lineMarker"/>
        <c:varyColors val="0"/>
        <c:ser>
          <c:idx val="1"/>
          <c:order val="1"/>
          <c:tx>
            <c:v>bdot vs pot</c:v>
          </c:tx>
          <c:spPr>
            <a:ln w="19050">
              <a:noFill/>
            </a:ln>
          </c:spPr>
          <c:marker>
            <c:symbol val="square"/>
            <c:size val="5"/>
            <c:spPr>
              <a:solidFill>
                <a:srgbClr val="339966"/>
              </a:solidFill>
              <a:ln>
                <a:solidFill>
                  <a:srgbClr val="339966"/>
                </a:solidFill>
                <a:prstDash val="solid"/>
              </a:ln>
            </c:spPr>
          </c:marker>
          <c:trendline>
            <c:spPr>
              <a:ln w="12700">
                <a:solidFill>
                  <a:srgbClr val="339966"/>
                </a:solidFill>
                <a:prstDash val="solid"/>
              </a:ln>
            </c:spPr>
            <c:trendlineType val="linear"/>
            <c:dispRSqr val="1"/>
            <c:dispEq val="1"/>
            <c:trendlineLbl>
              <c:layout>
                <c:manualLayout>
                  <c:xMode val="edge"/>
                  <c:yMode val="edge"/>
                  <c:x val="0.68014213725473649"/>
                  <c:y val="0.59792952215819262"/>
                </c:manualLayout>
              </c:layout>
              <c:numFmt formatCode="General" sourceLinked="0"/>
              <c:spPr>
                <a:noFill/>
                <a:ln w="25400">
                  <a:noFill/>
                </a:ln>
              </c:spPr>
              <c:txPr>
                <a:bodyPr/>
                <a:lstStyle/>
                <a:p>
                  <a:pPr>
                    <a:defRPr sz="900" b="0" i="0" u="none" strike="noStrike" baseline="0">
                      <a:solidFill>
                        <a:srgbClr val="339966"/>
                      </a:solidFill>
                      <a:latin typeface="MathSoftText"/>
                      <a:ea typeface="MathSoftText"/>
                      <a:cs typeface="MathSoftText"/>
                    </a:defRPr>
                  </a:pPr>
                  <a:endParaRPr lang="en-US"/>
                </a:p>
              </c:txPr>
            </c:trendlineLbl>
          </c:trendline>
          <c:xVal>
            <c:numRef>
              <c:f>'Lens 28'!$A$7:$A$40</c:f>
              <c:numCache>
                <c:formatCode>General</c:formatCode>
                <c:ptCount val="34"/>
                <c:pt idx="0">
                  <c:v>0</c:v>
                </c:pt>
                <c:pt idx="1">
                  <c:v>0</c:v>
                </c:pt>
                <c:pt idx="2">
                  <c:v>1</c:v>
                </c:pt>
                <c:pt idx="3">
                  <c:v>1</c:v>
                </c:pt>
                <c:pt idx="4">
                  <c:v>2</c:v>
                </c:pt>
                <c:pt idx="5">
                  <c:v>2</c:v>
                </c:pt>
                <c:pt idx="6">
                  <c:v>3</c:v>
                </c:pt>
                <c:pt idx="7">
                  <c:v>3</c:v>
                </c:pt>
                <c:pt idx="8">
                  <c:v>4</c:v>
                </c:pt>
                <c:pt idx="9">
                  <c:v>4</c:v>
                </c:pt>
                <c:pt idx="10">
                  <c:v>5</c:v>
                </c:pt>
                <c:pt idx="11">
                  <c:v>5</c:v>
                </c:pt>
                <c:pt idx="12">
                  <c:v>5.6</c:v>
                </c:pt>
                <c:pt idx="13">
                  <c:v>5.6</c:v>
                </c:pt>
                <c:pt idx="14">
                  <c:v>5.9</c:v>
                </c:pt>
                <c:pt idx="15">
                  <c:v>5.9</c:v>
                </c:pt>
                <c:pt idx="16">
                  <c:v>5.8</c:v>
                </c:pt>
                <c:pt idx="17">
                  <c:v>5.8</c:v>
                </c:pt>
                <c:pt idx="18">
                  <c:v>5.5</c:v>
                </c:pt>
                <c:pt idx="19">
                  <c:v>5.5</c:v>
                </c:pt>
                <c:pt idx="20">
                  <c:v>5.3</c:v>
                </c:pt>
                <c:pt idx="21">
                  <c:v>5.3</c:v>
                </c:pt>
                <c:pt idx="22">
                  <c:v>1</c:v>
                </c:pt>
                <c:pt idx="23">
                  <c:v>1</c:v>
                </c:pt>
                <c:pt idx="24">
                  <c:v>2</c:v>
                </c:pt>
                <c:pt idx="25">
                  <c:v>2</c:v>
                </c:pt>
                <c:pt idx="26">
                  <c:v>3</c:v>
                </c:pt>
                <c:pt idx="27">
                  <c:v>3</c:v>
                </c:pt>
                <c:pt idx="28">
                  <c:v>4</c:v>
                </c:pt>
                <c:pt idx="29">
                  <c:v>4</c:v>
                </c:pt>
                <c:pt idx="30">
                  <c:v>5</c:v>
                </c:pt>
                <c:pt idx="31">
                  <c:v>5</c:v>
                </c:pt>
                <c:pt idx="32">
                  <c:v>5.28</c:v>
                </c:pt>
                <c:pt idx="33">
                  <c:v>5.28</c:v>
                </c:pt>
              </c:numCache>
            </c:numRef>
          </c:xVal>
          <c:yVal>
            <c:numRef>
              <c:f>'Lens 28'!$D$7:$D$40</c:f>
              <c:numCache>
                <c:formatCode>0.00</c:formatCode>
                <c:ptCount val="34"/>
                <c:pt idx="0">
                  <c:v>2.16</c:v>
                </c:pt>
                <c:pt idx="1">
                  <c:v>2.16</c:v>
                </c:pt>
                <c:pt idx="2">
                  <c:v>2.6</c:v>
                </c:pt>
                <c:pt idx="3">
                  <c:v>2.6</c:v>
                </c:pt>
                <c:pt idx="4">
                  <c:v>3</c:v>
                </c:pt>
                <c:pt idx="5">
                  <c:v>3</c:v>
                </c:pt>
                <c:pt idx="6">
                  <c:v>3.4</c:v>
                </c:pt>
                <c:pt idx="7">
                  <c:v>3.4</c:v>
                </c:pt>
                <c:pt idx="8">
                  <c:v>3.68</c:v>
                </c:pt>
                <c:pt idx="9">
                  <c:v>3.68</c:v>
                </c:pt>
                <c:pt idx="10">
                  <c:v>4.08</c:v>
                </c:pt>
                <c:pt idx="11">
                  <c:v>4.08</c:v>
                </c:pt>
                <c:pt idx="12">
                  <c:v>4.32</c:v>
                </c:pt>
                <c:pt idx="13">
                  <c:v>4.32</c:v>
                </c:pt>
                <c:pt idx="14" formatCode="General">
                  <c:v>4.4000000000000004</c:v>
                </c:pt>
                <c:pt idx="15" formatCode="General">
                  <c:v>4.4000000000000004</c:v>
                </c:pt>
                <c:pt idx="16" formatCode="General">
                  <c:v>4.4000000000000004</c:v>
                </c:pt>
                <c:pt idx="17" formatCode="General">
                  <c:v>4.4000000000000004</c:v>
                </c:pt>
                <c:pt idx="18" formatCode="General">
                  <c:v>4.24</c:v>
                </c:pt>
                <c:pt idx="19" formatCode="General">
                  <c:v>4.16</c:v>
                </c:pt>
                <c:pt idx="20" formatCode="General">
                  <c:v>4.08</c:v>
                </c:pt>
                <c:pt idx="21" formatCode="General">
                  <c:v>4.08</c:v>
                </c:pt>
                <c:pt idx="22" formatCode="General">
                  <c:v>2.64</c:v>
                </c:pt>
                <c:pt idx="23" formatCode="General">
                  <c:v>2.64</c:v>
                </c:pt>
                <c:pt idx="24" formatCode="General">
                  <c:v>3.04</c:v>
                </c:pt>
                <c:pt idx="25" formatCode="General">
                  <c:v>3.04</c:v>
                </c:pt>
                <c:pt idx="26" formatCode="General">
                  <c:v>3.28</c:v>
                </c:pt>
                <c:pt idx="27" formatCode="General">
                  <c:v>3.28</c:v>
                </c:pt>
                <c:pt idx="28" formatCode="General">
                  <c:v>3.84</c:v>
                </c:pt>
                <c:pt idx="29" formatCode="General">
                  <c:v>3.84</c:v>
                </c:pt>
                <c:pt idx="30" formatCode="General">
                  <c:v>4.08</c:v>
                </c:pt>
                <c:pt idx="31" formatCode="General">
                  <c:v>4.08</c:v>
                </c:pt>
                <c:pt idx="32" formatCode="General">
                  <c:v>4.16</c:v>
                </c:pt>
                <c:pt idx="33" formatCode="General">
                  <c:v>4.16</c:v>
                </c:pt>
              </c:numCache>
            </c:numRef>
          </c:yVal>
          <c:smooth val="0"/>
          <c:extLst>
            <c:ext xmlns:c16="http://schemas.microsoft.com/office/drawing/2014/chart" uri="{C3380CC4-5D6E-409C-BE32-E72D297353CC}">
              <c16:uniqueId val="{00000001-7871-4DA8-8DFC-73284A2E4DA7}"/>
            </c:ext>
          </c:extLst>
        </c:ser>
        <c:dLbls>
          <c:showLegendKey val="0"/>
          <c:showVal val="0"/>
          <c:showCatName val="0"/>
          <c:showSerName val="0"/>
          <c:showPercent val="0"/>
          <c:showBubbleSize val="0"/>
        </c:dLbls>
        <c:axId val="764071279"/>
        <c:axId val="1"/>
      </c:scatterChart>
      <c:scatterChart>
        <c:scatterStyle val="lineMarker"/>
        <c:varyColors val="0"/>
        <c:ser>
          <c:idx val="0"/>
          <c:order val="0"/>
          <c:tx>
            <c:v>rog vs pot</c:v>
          </c:tx>
          <c:spPr>
            <a:ln w="19050">
              <a:noFill/>
            </a:ln>
          </c:spPr>
          <c:marker>
            <c:symbol val="diamond"/>
            <c:size val="5"/>
            <c:spPr>
              <a:solidFill>
                <a:srgbClr val="FF0000"/>
              </a:solidFill>
              <a:ln>
                <a:solidFill>
                  <a:srgbClr val="FF0000"/>
                </a:solidFill>
                <a:prstDash val="solid"/>
              </a:ln>
            </c:spPr>
          </c:marker>
          <c:trendline>
            <c:spPr>
              <a:ln w="12700">
                <a:solidFill>
                  <a:srgbClr val="FF0000"/>
                </a:solidFill>
                <a:prstDash val="solid"/>
              </a:ln>
            </c:spPr>
            <c:trendlineType val="linear"/>
            <c:dispRSqr val="1"/>
            <c:dispEq val="1"/>
            <c:trendlineLbl>
              <c:layout>
                <c:manualLayout>
                  <c:xMode val="edge"/>
                  <c:yMode val="edge"/>
                  <c:x val="0.67416286571843109"/>
                  <c:y val="0.76242541690040289"/>
                </c:manualLayout>
              </c:layout>
              <c:numFmt formatCode="General" sourceLinked="0"/>
              <c:spPr>
                <a:noFill/>
                <a:ln w="25400">
                  <a:noFill/>
                </a:ln>
              </c:spPr>
              <c:txPr>
                <a:bodyPr/>
                <a:lstStyle/>
                <a:p>
                  <a:pPr>
                    <a:defRPr sz="900" b="0" i="0" u="none" strike="noStrike" baseline="0">
                      <a:solidFill>
                        <a:srgbClr val="FF0000"/>
                      </a:solidFill>
                      <a:latin typeface="MathSoftText"/>
                      <a:ea typeface="MathSoftText"/>
                      <a:cs typeface="MathSoftText"/>
                    </a:defRPr>
                  </a:pPr>
                  <a:endParaRPr lang="en-US"/>
                </a:p>
              </c:txPr>
            </c:trendlineLbl>
          </c:trendline>
          <c:xVal>
            <c:numRef>
              <c:f>'Lens 28'!$A$7:$A$40</c:f>
              <c:numCache>
                <c:formatCode>General</c:formatCode>
                <c:ptCount val="34"/>
                <c:pt idx="0">
                  <c:v>0</c:v>
                </c:pt>
                <c:pt idx="1">
                  <c:v>0</c:v>
                </c:pt>
                <c:pt idx="2">
                  <c:v>1</c:v>
                </c:pt>
                <c:pt idx="3">
                  <c:v>1</c:v>
                </c:pt>
                <c:pt idx="4">
                  <c:v>2</c:v>
                </c:pt>
                <c:pt idx="5">
                  <c:v>2</c:v>
                </c:pt>
                <c:pt idx="6">
                  <c:v>3</c:v>
                </c:pt>
                <c:pt idx="7">
                  <c:v>3</c:v>
                </c:pt>
                <c:pt idx="8">
                  <c:v>4</c:v>
                </c:pt>
                <c:pt idx="9">
                  <c:v>4</c:v>
                </c:pt>
                <c:pt idx="10">
                  <c:v>5</c:v>
                </c:pt>
                <c:pt idx="11">
                  <c:v>5</c:v>
                </c:pt>
                <c:pt idx="12">
                  <c:v>5.6</c:v>
                </c:pt>
                <c:pt idx="13">
                  <c:v>5.6</c:v>
                </c:pt>
                <c:pt idx="14">
                  <c:v>5.9</c:v>
                </c:pt>
                <c:pt idx="15">
                  <c:v>5.9</c:v>
                </c:pt>
                <c:pt idx="16">
                  <c:v>5.8</c:v>
                </c:pt>
                <c:pt idx="17">
                  <c:v>5.8</c:v>
                </c:pt>
                <c:pt idx="18">
                  <c:v>5.5</c:v>
                </c:pt>
                <c:pt idx="19">
                  <c:v>5.5</c:v>
                </c:pt>
                <c:pt idx="20">
                  <c:v>5.3</c:v>
                </c:pt>
                <c:pt idx="21">
                  <c:v>5.3</c:v>
                </c:pt>
                <c:pt idx="22">
                  <c:v>1</c:v>
                </c:pt>
                <c:pt idx="23">
                  <c:v>1</c:v>
                </c:pt>
                <c:pt idx="24">
                  <c:v>2</c:v>
                </c:pt>
                <c:pt idx="25">
                  <c:v>2</c:v>
                </c:pt>
                <c:pt idx="26">
                  <c:v>3</c:v>
                </c:pt>
                <c:pt idx="27">
                  <c:v>3</c:v>
                </c:pt>
                <c:pt idx="28">
                  <c:v>4</c:v>
                </c:pt>
                <c:pt idx="29">
                  <c:v>4</c:v>
                </c:pt>
                <c:pt idx="30">
                  <c:v>5</c:v>
                </c:pt>
                <c:pt idx="31">
                  <c:v>5</c:v>
                </c:pt>
                <c:pt idx="32">
                  <c:v>5.28</c:v>
                </c:pt>
                <c:pt idx="33">
                  <c:v>5.28</c:v>
                </c:pt>
              </c:numCache>
            </c:numRef>
          </c:xVal>
          <c:yVal>
            <c:numRef>
              <c:f>'Lens 28'!$C$7:$C$40</c:f>
              <c:numCache>
                <c:formatCode>0.000</c:formatCode>
                <c:ptCount val="34"/>
                <c:pt idx="0" formatCode="General">
                  <c:v>0.32</c:v>
                </c:pt>
                <c:pt idx="1">
                  <c:v>0.32</c:v>
                </c:pt>
                <c:pt idx="2">
                  <c:v>0.376</c:v>
                </c:pt>
                <c:pt idx="3">
                  <c:v>0.376</c:v>
                </c:pt>
                <c:pt idx="4">
                  <c:v>0.44</c:v>
                </c:pt>
                <c:pt idx="5">
                  <c:v>0.44</c:v>
                </c:pt>
                <c:pt idx="6">
                  <c:v>0.496</c:v>
                </c:pt>
                <c:pt idx="7">
                  <c:v>0.496</c:v>
                </c:pt>
                <c:pt idx="8">
                  <c:v>0.54400000000000004</c:v>
                </c:pt>
                <c:pt idx="9">
                  <c:v>0.54400000000000004</c:v>
                </c:pt>
                <c:pt idx="10">
                  <c:v>0.59199999999999997</c:v>
                </c:pt>
                <c:pt idx="11">
                  <c:v>0.59199999999999997</c:v>
                </c:pt>
                <c:pt idx="12">
                  <c:v>0.624</c:v>
                </c:pt>
                <c:pt idx="13">
                  <c:v>0.624</c:v>
                </c:pt>
                <c:pt idx="14">
                  <c:v>0.64</c:v>
                </c:pt>
                <c:pt idx="15">
                  <c:v>0.64</c:v>
                </c:pt>
                <c:pt idx="16" formatCode="General">
                  <c:v>0.64</c:v>
                </c:pt>
                <c:pt idx="17" formatCode="General">
                  <c:v>0.64</c:v>
                </c:pt>
                <c:pt idx="18" formatCode="General">
                  <c:v>0.624</c:v>
                </c:pt>
                <c:pt idx="19" formatCode="General">
                  <c:v>0.64</c:v>
                </c:pt>
                <c:pt idx="20" formatCode="General">
                  <c:v>0.624</c:v>
                </c:pt>
                <c:pt idx="21" formatCode="General">
                  <c:v>0.624</c:v>
                </c:pt>
                <c:pt idx="22" formatCode="General">
                  <c:v>0.39200000000000002</c:v>
                </c:pt>
                <c:pt idx="23" formatCode="General">
                  <c:v>0.39200000000000002</c:v>
                </c:pt>
                <c:pt idx="24" formatCode="General">
                  <c:v>0.44800000000000001</c:v>
                </c:pt>
                <c:pt idx="25" formatCode="General">
                  <c:v>0.44800000000000001</c:v>
                </c:pt>
                <c:pt idx="26" formatCode="General">
                  <c:v>0.504</c:v>
                </c:pt>
                <c:pt idx="27" formatCode="General">
                  <c:v>0.504</c:v>
                </c:pt>
                <c:pt idx="28" formatCode="General">
                  <c:v>0.56000000000000005</c:v>
                </c:pt>
                <c:pt idx="29" formatCode="General">
                  <c:v>0.56000000000000005</c:v>
                </c:pt>
                <c:pt idx="30" formatCode="General">
                  <c:v>0.61599999999999999</c:v>
                </c:pt>
                <c:pt idx="31" formatCode="General">
                  <c:v>0.61599999999999999</c:v>
                </c:pt>
                <c:pt idx="32" formatCode="General">
                  <c:v>0.63200000000000001</c:v>
                </c:pt>
                <c:pt idx="33" formatCode="General">
                  <c:v>0.624</c:v>
                </c:pt>
              </c:numCache>
            </c:numRef>
          </c:yVal>
          <c:smooth val="0"/>
          <c:extLst>
            <c:ext xmlns:c16="http://schemas.microsoft.com/office/drawing/2014/chart" uri="{C3380CC4-5D6E-409C-BE32-E72D297353CC}">
              <c16:uniqueId val="{00000003-7871-4DA8-8DFC-73284A2E4DA7}"/>
            </c:ext>
          </c:extLst>
        </c:ser>
        <c:dLbls>
          <c:showLegendKey val="0"/>
          <c:showVal val="0"/>
          <c:showCatName val="0"/>
          <c:showSerName val="0"/>
          <c:showPercent val="0"/>
          <c:showBubbleSize val="0"/>
        </c:dLbls>
        <c:axId val="3"/>
        <c:axId val="4"/>
      </c:scatterChart>
      <c:valAx>
        <c:axId val="764071279"/>
        <c:scaling>
          <c:orientation val="minMax"/>
        </c:scaling>
        <c:delete val="0"/>
        <c:axPos val="b"/>
        <c:title>
          <c:tx>
            <c:rich>
              <a:bodyPr/>
              <a:lstStyle/>
              <a:p>
                <a:pPr>
                  <a:defRPr sz="900" b="0" i="0" u="none" strike="noStrike" baseline="0">
                    <a:solidFill>
                      <a:srgbClr val="000000"/>
                    </a:solidFill>
                    <a:latin typeface="MathSoftText"/>
                    <a:ea typeface="MathSoftText"/>
                    <a:cs typeface="MathSoftText"/>
                  </a:defRPr>
                </a:pPr>
                <a:r>
                  <a:rPr lang="en-GB"/>
                  <a:t>pot setting</a:t>
                </a:r>
              </a:p>
            </c:rich>
          </c:tx>
          <c:layout>
            <c:manualLayout>
              <c:xMode val="edge"/>
              <c:yMode val="edge"/>
              <c:x val="0.31989102719233758"/>
              <c:y val="0.82247947371105101"/>
            </c:manualLayout>
          </c:layout>
          <c:overlay val="0"/>
          <c:spPr>
            <a:noFill/>
            <a:ln w="25400">
              <a:noFill/>
            </a:ln>
          </c:spPr>
        </c:title>
        <c:numFmt formatCode="General" sourceLinked="1"/>
        <c:majorTickMark val="out"/>
        <c:minorTickMark val="none"/>
        <c:tickLblPos val="nextTo"/>
        <c:spPr>
          <a:ln w="3175">
            <a:solidFill>
              <a:srgbClr val="99CC00"/>
            </a:solidFill>
            <a:prstDash val="solid"/>
          </a:ln>
        </c:spPr>
        <c:txPr>
          <a:bodyPr rot="0" vert="horz"/>
          <a:lstStyle/>
          <a:p>
            <a:pPr>
              <a:defRPr sz="900" b="0" i="0" u="none" strike="noStrike" baseline="0">
                <a:solidFill>
                  <a:srgbClr val="000000"/>
                </a:solidFill>
                <a:latin typeface="MathSoftText"/>
                <a:ea typeface="MathSoftText"/>
                <a:cs typeface="MathSoftText"/>
              </a:defRPr>
            </a:pPr>
            <a:endParaRPr lang="en-US"/>
          </a:p>
        </c:txPr>
        <c:crossAx val="1"/>
        <c:crosses val="autoZero"/>
        <c:crossBetween val="midCat"/>
      </c:valAx>
      <c:valAx>
        <c:axId val="1"/>
        <c:scaling>
          <c:orientation val="minMax"/>
        </c:scaling>
        <c:delete val="0"/>
        <c:axPos val="l"/>
        <c:majorGridlines>
          <c:spPr>
            <a:ln w="3175">
              <a:solidFill>
                <a:srgbClr val="99CC00"/>
              </a:solidFill>
              <a:prstDash val="solid"/>
            </a:ln>
          </c:spPr>
        </c:majorGridlines>
        <c:title>
          <c:tx>
            <c:rich>
              <a:bodyPr/>
              <a:lstStyle/>
              <a:p>
                <a:pPr>
                  <a:defRPr sz="900" b="0" i="0" u="none" strike="noStrike" baseline="0">
                    <a:solidFill>
                      <a:srgbClr val="000000"/>
                    </a:solidFill>
                    <a:latin typeface="MathSoftText"/>
                    <a:ea typeface="MathSoftText"/>
                    <a:cs typeface="MathSoftText"/>
                  </a:defRPr>
                </a:pPr>
                <a:r>
                  <a:rPr lang="en-GB"/>
                  <a:t>bdot (volts)</a:t>
                </a:r>
              </a:p>
            </c:rich>
          </c:tx>
          <c:layout>
            <c:manualLayout>
              <c:xMode val="edge"/>
              <c:yMode val="edge"/>
              <c:x val="5.5308261710824723E-2"/>
              <c:y val="0.37076852465704524"/>
            </c:manualLayout>
          </c:layout>
          <c:overlay val="0"/>
          <c:spPr>
            <a:noFill/>
            <a:ln w="25400">
              <a:noFill/>
            </a:ln>
          </c:spPr>
        </c:title>
        <c:numFmt formatCode="0.00" sourceLinked="1"/>
        <c:majorTickMark val="out"/>
        <c:minorTickMark val="none"/>
        <c:tickLblPos val="nextTo"/>
        <c:spPr>
          <a:ln w="3175">
            <a:solidFill>
              <a:srgbClr val="99CC00"/>
            </a:solidFill>
            <a:prstDash val="solid"/>
          </a:ln>
        </c:spPr>
        <c:txPr>
          <a:bodyPr rot="0" vert="horz"/>
          <a:lstStyle/>
          <a:p>
            <a:pPr>
              <a:defRPr sz="900" b="0" i="0" u="none" strike="noStrike" baseline="0">
                <a:solidFill>
                  <a:srgbClr val="000000"/>
                </a:solidFill>
                <a:latin typeface="MathSoftText"/>
                <a:ea typeface="MathSoftText"/>
                <a:cs typeface="MathSoftText"/>
              </a:defRPr>
            </a:pPr>
            <a:endParaRPr lang="en-US"/>
          </a:p>
        </c:txPr>
        <c:crossAx val="764071279"/>
        <c:crosses val="autoZero"/>
        <c:crossBetween val="midCat"/>
      </c:valAx>
      <c:valAx>
        <c:axId val="3"/>
        <c:scaling>
          <c:orientation val="minMax"/>
        </c:scaling>
        <c:delete val="1"/>
        <c:axPos val="b"/>
        <c:numFmt formatCode="General" sourceLinked="1"/>
        <c:majorTickMark val="out"/>
        <c:minorTickMark val="none"/>
        <c:tickLblPos val="nextTo"/>
        <c:crossAx val="4"/>
        <c:crosses val="autoZero"/>
        <c:crossBetween val="midCat"/>
      </c:valAx>
      <c:valAx>
        <c:axId val="4"/>
        <c:scaling>
          <c:orientation val="minMax"/>
        </c:scaling>
        <c:delete val="0"/>
        <c:axPos val="r"/>
        <c:numFmt formatCode="General" sourceLinked="1"/>
        <c:majorTickMark val="out"/>
        <c:minorTickMark val="none"/>
        <c:tickLblPos val="nextTo"/>
        <c:spPr>
          <a:ln w="3175">
            <a:solidFill>
              <a:srgbClr val="99CC00"/>
            </a:solidFill>
            <a:prstDash val="solid"/>
          </a:ln>
        </c:spPr>
        <c:txPr>
          <a:bodyPr rot="0" vert="horz"/>
          <a:lstStyle/>
          <a:p>
            <a:pPr>
              <a:defRPr sz="900" b="0" i="0" u="none" strike="noStrike" baseline="0">
                <a:solidFill>
                  <a:srgbClr val="000000"/>
                </a:solidFill>
                <a:latin typeface="MathSoftText"/>
                <a:ea typeface="MathSoftText"/>
                <a:cs typeface="MathSoftText"/>
              </a:defRPr>
            </a:pPr>
            <a:endParaRPr lang="en-US"/>
          </a:p>
        </c:txPr>
        <c:crossAx val="3"/>
        <c:crosses val="max"/>
        <c:crossBetween val="midCat"/>
      </c:valAx>
      <c:spPr>
        <a:noFill/>
        <a:ln w="12700">
          <a:solidFill>
            <a:srgbClr val="99CC00"/>
          </a:solidFill>
          <a:prstDash val="solid"/>
        </a:ln>
      </c:spPr>
    </c:plotArea>
    <c:legend>
      <c:legendPos val="r"/>
      <c:layout>
        <c:manualLayout>
          <c:xMode val="edge"/>
          <c:yMode val="edge"/>
          <c:x val="0.66668877629804935"/>
          <c:y val="0.20888367586312406"/>
          <c:w val="0.31391175565603224"/>
          <c:h val="0.28460400836350658"/>
        </c:manualLayout>
      </c:layout>
      <c:overlay val="0"/>
      <c:spPr>
        <a:solidFill>
          <a:srgbClr val="FFFFFF"/>
        </a:solidFill>
        <a:ln w="3175">
          <a:solidFill>
            <a:srgbClr val="000000"/>
          </a:solidFill>
          <a:prstDash val="solid"/>
        </a:ln>
      </c:spPr>
      <c:txPr>
        <a:bodyPr/>
        <a:lstStyle/>
        <a:p>
          <a:pPr>
            <a:defRPr sz="825" b="0" i="0" u="none" strike="noStrike" baseline="0">
              <a:solidFill>
                <a:srgbClr val="000000"/>
              </a:solidFill>
              <a:latin typeface="MathSoftText"/>
              <a:ea typeface="MathSoftText"/>
              <a:cs typeface="MathSoftText"/>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900" b="0" i="0" u="none" strike="noStrike" baseline="0">
          <a:solidFill>
            <a:srgbClr val="000000"/>
          </a:solidFill>
          <a:latin typeface="MathSoftText"/>
          <a:ea typeface="MathSoftText"/>
          <a:cs typeface="MathSoftText"/>
        </a:defRPr>
      </a:pPr>
      <a:endParaRPr lang="en-US"/>
    </a:p>
  </c:txPr>
  <c:printSettings>
    <c:headerFooter alignWithMargins="0"/>
    <c:pageMargins b="1" l="0.75" r="0.75" t="1" header="0.5" footer="0.5"/>
    <c:pageSetup orientation="landscape" horizontalDpi="355" verticalDpi="355"/>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0" i="0" u="none" strike="noStrike" baseline="0">
                <a:solidFill>
                  <a:srgbClr val="000000"/>
                </a:solidFill>
                <a:latin typeface="MathSoftText"/>
                <a:ea typeface="MathSoftText"/>
                <a:cs typeface="MathSoftText"/>
              </a:defRPr>
            </a:pPr>
            <a:r>
              <a:rPr lang="en-GB"/>
              <a:t>Lens 28 Bdot vs Rogowski</a:t>
            </a:r>
          </a:p>
        </c:rich>
      </c:tx>
      <c:layout>
        <c:manualLayout>
          <c:xMode val="edge"/>
          <c:yMode val="edge"/>
          <c:x val="0.3094273020038032"/>
          <c:y val="4.1900827207167333E-2"/>
        </c:manualLayout>
      </c:layout>
      <c:overlay val="0"/>
      <c:spPr>
        <a:noFill/>
        <a:ln w="25400">
          <a:noFill/>
        </a:ln>
      </c:spPr>
    </c:title>
    <c:autoTitleDeleted val="0"/>
    <c:plotArea>
      <c:layout>
        <c:manualLayout>
          <c:layoutTarget val="inner"/>
          <c:xMode val="edge"/>
          <c:yMode val="edge"/>
          <c:x val="0.14350251687132901"/>
          <c:y val="0.24302479780157052"/>
          <c:w val="0.79673793221269129"/>
          <c:h val="0.4916363725640967"/>
        </c:manualLayout>
      </c:layout>
      <c:scatterChart>
        <c:scatterStyle val="lineMarker"/>
        <c:varyColors val="0"/>
        <c:ser>
          <c:idx val="0"/>
          <c:order val="0"/>
          <c:spPr>
            <a:ln w="19050">
              <a:noFill/>
            </a:ln>
          </c:spPr>
          <c:marker>
            <c:symbol val="diamond"/>
            <c:size val="5"/>
            <c:spPr>
              <a:solidFill>
                <a:srgbClr val="FF0000"/>
              </a:solidFill>
              <a:ln>
                <a:solidFill>
                  <a:srgbClr val="FF0000"/>
                </a:solidFill>
                <a:prstDash val="solid"/>
              </a:ln>
            </c:spPr>
          </c:marker>
          <c:trendline>
            <c:spPr>
              <a:ln w="3175">
                <a:solidFill>
                  <a:srgbClr val="FF0000"/>
                </a:solidFill>
                <a:prstDash val="solid"/>
              </a:ln>
            </c:spPr>
            <c:trendlineType val="linear"/>
            <c:dispRSqr val="1"/>
            <c:dispEq val="1"/>
            <c:trendlineLbl>
              <c:layout>
                <c:manualLayout>
                  <c:xMode val="edge"/>
                  <c:yMode val="edge"/>
                  <c:x val="0.70405922339995797"/>
                  <c:y val="2.2347107843822579E-2"/>
                </c:manualLayout>
              </c:layout>
              <c:numFmt formatCode="General" sourceLinked="0"/>
              <c:spPr>
                <a:noFill/>
                <a:ln w="25400">
                  <a:noFill/>
                </a:ln>
              </c:spPr>
              <c:txPr>
                <a:bodyPr/>
                <a:lstStyle/>
                <a:p>
                  <a:pPr>
                    <a:defRPr sz="875" b="0" i="0" u="none" strike="noStrike" baseline="0">
                      <a:solidFill>
                        <a:srgbClr val="FF0000"/>
                      </a:solidFill>
                      <a:latin typeface="MathSoftText"/>
                      <a:ea typeface="MathSoftText"/>
                      <a:cs typeface="MathSoftText"/>
                    </a:defRPr>
                  </a:pPr>
                  <a:endParaRPr lang="en-US"/>
                </a:p>
              </c:txPr>
            </c:trendlineLbl>
          </c:trendline>
          <c:xVal>
            <c:numRef>
              <c:f>'Lens 28'!$D$7:$D$40</c:f>
              <c:numCache>
                <c:formatCode>0.00</c:formatCode>
                <c:ptCount val="34"/>
                <c:pt idx="0">
                  <c:v>2.16</c:v>
                </c:pt>
                <c:pt idx="1">
                  <c:v>2.16</c:v>
                </c:pt>
                <c:pt idx="2">
                  <c:v>2.6</c:v>
                </c:pt>
                <c:pt idx="3">
                  <c:v>2.6</c:v>
                </c:pt>
                <c:pt idx="4">
                  <c:v>3</c:v>
                </c:pt>
                <c:pt idx="5">
                  <c:v>3</c:v>
                </c:pt>
                <c:pt idx="6">
                  <c:v>3.4</c:v>
                </c:pt>
                <c:pt idx="7">
                  <c:v>3.4</c:v>
                </c:pt>
                <c:pt idx="8">
                  <c:v>3.68</c:v>
                </c:pt>
                <c:pt idx="9">
                  <c:v>3.68</c:v>
                </c:pt>
                <c:pt idx="10">
                  <c:v>4.08</c:v>
                </c:pt>
                <c:pt idx="11">
                  <c:v>4.08</c:v>
                </c:pt>
                <c:pt idx="12">
                  <c:v>4.32</c:v>
                </c:pt>
                <c:pt idx="13">
                  <c:v>4.32</c:v>
                </c:pt>
                <c:pt idx="14" formatCode="General">
                  <c:v>4.4000000000000004</c:v>
                </c:pt>
                <c:pt idx="15" formatCode="General">
                  <c:v>4.4000000000000004</c:v>
                </c:pt>
                <c:pt idx="16" formatCode="General">
                  <c:v>4.4000000000000004</c:v>
                </c:pt>
                <c:pt idx="17" formatCode="General">
                  <c:v>4.4000000000000004</c:v>
                </c:pt>
                <c:pt idx="18" formatCode="General">
                  <c:v>4.24</c:v>
                </c:pt>
                <c:pt idx="19" formatCode="General">
                  <c:v>4.16</c:v>
                </c:pt>
                <c:pt idx="20" formatCode="General">
                  <c:v>4.08</c:v>
                </c:pt>
                <c:pt idx="21" formatCode="General">
                  <c:v>4.08</c:v>
                </c:pt>
                <c:pt idx="22" formatCode="General">
                  <c:v>2.64</c:v>
                </c:pt>
                <c:pt idx="23" formatCode="General">
                  <c:v>2.64</c:v>
                </c:pt>
                <c:pt idx="24" formatCode="General">
                  <c:v>3.04</c:v>
                </c:pt>
                <c:pt idx="25" formatCode="General">
                  <c:v>3.04</c:v>
                </c:pt>
                <c:pt idx="26" formatCode="General">
                  <c:v>3.28</c:v>
                </c:pt>
                <c:pt idx="27" formatCode="General">
                  <c:v>3.28</c:v>
                </c:pt>
                <c:pt idx="28" formatCode="General">
                  <c:v>3.84</c:v>
                </c:pt>
                <c:pt idx="29" formatCode="General">
                  <c:v>3.84</c:v>
                </c:pt>
                <c:pt idx="30" formatCode="General">
                  <c:v>4.08</c:v>
                </c:pt>
                <c:pt idx="31" formatCode="General">
                  <c:v>4.08</c:v>
                </c:pt>
                <c:pt idx="32" formatCode="General">
                  <c:v>4.16</c:v>
                </c:pt>
                <c:pt idx="33" formatCode="General">
                  <c:v>4.16</c:v>
                </c:pt>
              </c:numCache>
            </c:numRef>
          </c:xVal>
          <c:yVal>
            <c:numRef>
              <c:f>'Lens 28'!$C$7:$C$40</c:f>
              <c:numCache>
                <c:formatCode>0.000</c:formatCode>
                <c:ptCount val="34"/>
                <c:pt idx="0" formatCode="General">
                  <c:v>0.32</c:v>
                </c:pt>
                <c:pt idx="1">
                  <c:v>0.32</c:v>
                </c:pt>
                <c:pt idx="2">
                  <c:v>0.376</c:v>
                </c:pt>
                <c:pt idx="3">
                  <c:v>0.376</c:v>
                </c:pt>
                <c:pt idx="4">
                  <c:v>0.44</c:v>
                </c:pt>
                <c:pt idx="5">
                  <c:v>0.44</c:v>
                </c:pt>
                <c:pt idx="6">
                  <c:v>0.496</c:v>
                </c:pt>
                <c:pt idx="7">
                  <c:v>0.496</c:v>
                </c:pt>
                <c:pt idx="8">
                  <c:v>0.54400000000000004</c:v>
                </c:pt>
                <c:pt idx="9">
                  <c:v>0.54400000000000004</c:v>
                </c:pt>
                <c:pt idx="10">
                  <c:v>0.59199999999999997</c:v>
                </c:pt>
                <c:pt idx="11">
                  <c:v>0.59199999999999997</c:v>
                </c:pt>
                <c:pt idx="12">
                  <c:v>0.624</c:v>
                </c:pt>
                <c:pt idx="13">
                  <c:v>0.624</c:v>
                </c:pt>
                <c:pt idx="14">
                  <c:v>0.64</c:v>
                </c:pt>
                <c:pt idx="15">
                  <c:v>0.64</c:v>
                </c:pt>
                <c:pt idx="16" formatCode="General">
                  <c:v>0.64</c:v>
                </c:pt>
                <c:pt idx="17" formatCode="General">
                  <c:v>0.64</c:v>
                </c:pt>
                <c:pt idx="18" formatCode="General">
                  <c:v>0.624</c:v>
                </c:pt>
                <c:pt idx="19" formatCode="General">
                  <c:v>0.64</c:v>
                </c:pt>
                <c:pt idx="20" formatCode="General">
                  <c:v>0.624</c:v>
                </c:pt>
                <c:pt idx="21" formatCode="General">
                  <c:v>0.624</c:v>
                </c:pt>
                <c:pt idx="22" formatCode="General">
                  <c:v>0.39200000000000002</c:v>
                </c:pt>
                <c:pt idx="23" formatCode="General">
                  <c:v>0.39200000000000002</c:v>
                </c:pt>
                <c:pt idx="24" formatCode="General">
                  <c:v>0.44800000000000001</c:v>
                </c:pt>
                <c:pt idx="25" formatCode="General">
                  <c:v>0.44800000000000001</c:v>
                </c:pt>
                <c:pt idx="26" formatCode="General">
                  <c:v>0.504</c:v>
                </c:pt>
                <c:pt idx="27" formatCode="General">
                  <c:v>0.504</c:v>
                </c:pt>
                <c:pt idx="28" formatCode="General">
                  <c:v>0.56000000000000005</c:v>
                </c:pt>
                <c:pt idx="29" formatCode="General">
                  <c:v>0.56000000000000005</c:v>
                </c:pt>
                <c:pt idx="30" formatCode="General">
                  <c:v>0.61599999999999999</c:v>
                </c:pt>
                <c:pt idx="31" formatCode="General">
                  <c:v>0.61599999999999999</c:v>
                </c:pt>
                <c:pt idx="32" formatCode="General">
                  <c:v>0.63200000000000001</c:v>
                </c:pt>
                <c:pt idx="33" formatCode="General">
                  <c:v>0.624</c:v>
                </c:pt>
              </c:numCache>
            </c:numRef>
          </c:yVal>
          <c:smooth val="0"/>
          <c:extLst>
            <c:ext xmlns:c16="http://schemas.microsoft.com/office/drawing/2014/chart" uri="{C3380CC4-5D6E-409C-BE32-E72D297353CC}">
              <c16:uniqueId val="{00000001-EEC0-437D-B44B-59072C81E1D1}"/>
            </c:ext>
          </c:extLst>
        </c:ser>
        <c:dLbls>
          <c:showLegendKey val="0"/>
          <c:showVal val="0"/>
          <c:showCatName val="0"/>
          <c:showSerName val="0"/>
          <c:showPercent val="0"/>
          <c:showBubbleSize val="0"/>
        </c:dLbls>
        <c:axId val="764074607"/>
        <c:axId val="1"/>
      </c:scatterChart>
      <c:valAx>
        <c:axId val="764074607"/>
        <c:scaling>
          <c:orientation val="minMax"/>
          <c:max val="5"/>
          <c:min val="2"/>
        </c:scaling>
        <c:delete val="0"/>
        <c:axPos val="b"/>
        <c:title>
          <c:tx>
            <c:rich>
              <a:bodyPr/>
              <a:lstStyle/>
              <a:p>
                <a:pPr>
                  <a:defRPr sz="875" b="0" i="0" u="none" strike="noStrike" baseline="0">
                    <a:solidFill>
                      <a:srgbClr val="000000"/>
                    </a:solidFill>
                    <a:latin typeface="MathSoftText"/>
                    <a:ea typeface="MathSoftText"/>
                    <a:cs typeface="MathSoftText"/>
                  </a:defRPr>
                </a:pPr>
                <a:r>
                  <a:rPr lang="en-GB"/>
                  <a:t>Bdot (volts)</a:t>
                </a:r>
              </a:p>
            </c:rich>
          </c:tx>
          <c:layout>
            <c:manualLayout>
              <c:xMode val="edge"/>
              <c:yMode val="edge"/>
              <c:x val="0.46937281559997202"/>
              <c:y val="0.85477687502621358"/>
            </c:manualLayout>
          </c:layout>
          <c:overlay val="0"/>
          <c:spPr>
            <a:noFill/>
            <a:ln w="25400">
              <a:noFill/>
            </a:ln>
          </c:spPr>
        </c:title>
        <c:numFmt formatCode="0.00" sourceLinked="1"/>
        <c:majorTickMark val="out"/>
        <c:minorTickMark val="none"/>
        <c:tickLblPos val="nextTo"/>
        <c:spPr>
          <a:ln w="3175">
            <a:solidFill>
              <a:srgbClr val="99CC00"/>
            </a:solidFill>
            <a:prstDash val="solid"/>
          </a:ln>
        </c:spPr>
        <c:txPr>
          <a:bodyPr rot="0" vert="horz"/>
          <a:lstStyle/>
          <a:p>
            <a:pPr>
              <a:defRPr sz="875" b="0" i="0" u="none" strike="noStrike" baseline="0">
                <a:solidFill>
                  <a:srgbClr val="000000"/>
                </a:solidFill>
                <a:latin typeface="MathSoftText"/>
                <a:ea typeface="MathSoftText"/>
                <a:cs typeface="MathSoftText"/>
              </a:defRPr>
            </a:pPr>
            <a:endParaRPr lang="en-US"/>
          </a:p>
        </c:txPr>
        <c:crossAx val="1"/>
        <c:crosses val="autoZero"/>
        <c:crossBetween val="midCat"/>
        <c:minorUnit val="0.1"/>
      </c:valAx>
      <c:valAx>
        <c:axId val="1"/>
        <c:scaling>
          <c:orientation val="minMax"/>
        </c:scaling>
        <c:delete val="0"/>
        <c:axPos val="l"/>
        <c:majorGridlines>
          <c:spPr>
            <a:ln w="3175">
              <a:solidFill>
                <a:srgbClr val="99CC00"/>
              </a:solidFill>
              <a:prstDash val="solid"/>
            </a:ln>
          </c:spPr>
        </c:majorGridlines>
        <c:title>
          <c:tx>
            <c:rich>
              <a:bodyPr/>
              <a:lstStyle/>
              <a:p>
                <a:pPr>
                  <a:defRPr sz="875" b="0" i="0" u="none" strike="noStrike" baseline="0">
                    <a:solidFill>
                      <a:srgbClr val="000000"/>
                    </a:solidFill>
                    <a:latin typeface="MathSoftText"/>
                    <a:ea typeface="MathSoftText"/>
                    <a:cs typeface="MathSoftText"/>
                  </a:defRPr>
                </a:pPr>
                <a:r>
                  <a:rPr lang="en-GB"/>
                  <a:t>Rogowski (volts)</a:t>
                </a:r>
              </a:p>
            </c:rich>
          </c:tx>
          <c:layout>
            <c:manualLayout>
              <c:xMode val="edge"/>
              <c:yMode val="edge"/>
              <c:x val="3.2885993449679567E-2"/>
              <c:y val="0.29609917893064913"/>
            </c:manualLayout>
          </c:layout>
          <c:overlay val="0"/>
          <c:spPr>
            <a:noFill/>
            <a:ln w="25400">
              <a:noFill/>
            </a:ln>
          </c:spPr>
        </c:title>
        <c:numFmt formatCode="General" sourceLinked="1"/>
        <c:majorTickMark val="out"/>
        <c:minorTickMark val="none"/>
        <c:tickLblPos val="nextTo"/>
        <c:spPr>
          <a:ln w="3175">
            <a:solidFill>
              <a:srgbClr val="99CC00"/>
            </a:solidFill>
            <a:prstDash val="solid"/>
          </a:ln>
        </c:spPr>
        <c:txPr>
          <a:bodyPr rot="0" vert="horz"/>
          <a:lstStyle/>
          <a:p>
            <a:pPr>
              <a:defRPr sz="875" b="0" i="0" u="none" strike="noStrike" baseline="0">
                <a:solidFill>
                  <a:srgbClr val="000000"/>
                </a:solidFill>
                <a:latin typeface="MathSoftText"/>
                <a:ea typeface="MathSoftText"/>
                <a:cs typeface="MathSoftText"/>
              </a:defRPr>
            </a:pPr>
            <a:endParaRPr lang="en-US"/>
          </a:p>
        </c:txPr>
        <c:crossAx val="764074607"/>
        <c:crosses val="autoZero"/>
        <c:crossBetween val="midCat"/>
      </c:valAx>
      <c:spPr>
        <a:noFill/>
        <a:ln w="12700">
          <a:solidFill>
            <a:srgbClr val="99CC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75" b="0" i="0" u="none" strike="noStrike" baseline="0">
          <a:solidFill>
            <a:srgbClr val="000000"/>
          </a:solidFill>
          <a:latin typeface="MathSoftText"/>
          <a:ea typeface="MathSoftText"/>
          <a:cs typeface="MathSoftText"/>
        </a:defRPr>
      </a:pPr>
      <a:endParaRPr lang="en-US"/>
    </a:p>
  </c:txPr>
  <c:printSettings>
    <c:headerFooter alignWithMargins="0"/>
    <c:pageMargins b="1" l="0.75" r="0.75" t="1" header="0.5" footer="0.5"/>
    <c:pageSetup orientation="landscape"/>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 Id="rId6" Type="http://schemas.openxmlformats.org/officeDocument/2006/relationships/chart" Target="../charts/chart20.xml"/><Relationship Id="rId5" Type="http://schemas.openxmlformats.org/officeDocument/2006/relationships/chart" Target="../charts/chart19.xml"/><Relationship Id="rId4" Type="http://schemas.openxmlformats.org/officeDocument/2006/relationships/chart" Target="../charts/chart18.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chart" Target="../charts/chart22.xml"/><Relationship Id="rId1" Type="http://schemas.openxmlformats.org/officeDocument/2006/relationships/chart" Target="../charts/chart21.xml"/><Relationship Id="rId6" Type="http://schemas.openxmlformats.org/officeDocument/2006/relationships/chart" Target="../charts/chart26.xml"/><Relationship Id="rId5" Type="http://schemas.openxmlformats.org/officeDocument/2006/relationships/chart" Target="../charts/chart25.xml"/><Relationship Id="rId4" Type="http://schemas.openxmlformats.org/officeDocument/2006/relationships/chart" Target="../charts/chart2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9.xml"/><Relationship Id="rId2" Type="http://schemas.openxmlformats.org/officeDocument/2006/relationships/chart" Target="../charts/chart28.xml"/><Relationship Id="rId1" Type="http://schemas.openxmlformats.org/officeDocument/2006/relationships/chart" Target="../charts/chart27.xml"/><Relationship Id="rId6" Type="http://schemas.openxmlformats.org/officeDocument/2006/relationships/chart" Target="../charts/chart32.xml"/><Relationship Id="rId5" Type="http://schemas.openxmlformats.org/officeDocument/2006/relationships/chart" Target="../charts/chart31.xml"/><Relationship Id="rId4" Type="http://schemas.openxmlformats.org/officeDocument/2006/relationships/chart" Target="../charts/chart30.xml"/></Relationships>
</file>

<file path=xl/drawings/_rels/drawing7.xml.rels><?xml version="1.0" encoding="UTF-8" standalone="yes"?>
<Relationships xmlns="http://schemas.openxmlformats.org/package/2006/relationships"><Relationship Id="rId3" Type="http://schemas.openxmlformats.org/officeDocument/2006/relationships/chart" Target="../charts/chart35.xml"/><Relationship Id="rId2" Type="http://schemas.openxmlformats.org/officeDocument/2006/relationships/chart" Target="../charts/chart34.xml"/><Relationship Id="rId1" Type="http://schemas.openxmlformats.org/officeDocument/2006/relationships/chart" Target="../charts/chart33.xml"/><Relationship Id="rId5" Type="http://schemas.openxmlformats.org/officeDocument/2006/relationships/chart" Target="../charts/chart37.xml"/><Relationship Id="rId4" Type="http://schemas.openxmlformats.org/officeDocument/2006/relationships/chart" Target="../charts/chart36.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0.xml"/><Relationship Id="rId2" Type="http://schemas.openxmlformats.org/officeDocument/2006/relationships/chart" Target="../charts/chart39.xml"/><Relationship Id="rId1" Type="http://schemas.openxmlformats.org/officeDocument/2006/relationships/chart" Target="../charts/chart38.xml"/><Relationship Id="rId4" Type="http://schemas.openxmlformats.org/officeDocument/2006/relationships/chart" Target="../charts/chart41.xml"/></Relationships>
</file>

<file path=xl/drawings/_rels/drawing9.xml.rels><?xml version="1.0" encoding="UTF-8" standalone="yes"?>
<Relationships xmlns="http://schemas.openxmlformats.org/package/2006/relationships"><Relationship Id="rId3" Type="http://schemas.openxmlformats.org/officeDocument/2006/relationships/chart" Target="../charts/chart44.xml"/><Relationship Id="rId2" Type="http://schemas.openxmlformats.org/officeDocument/2006/relationships/chart" Target="../charts/chart43.xml"/><Relationship Id="rId1" Type="http://schemas.openxmlformats.org/officeDocument/2006/relationships/chart" Target="../charts/chart42.xml"/><Relationship Id="rId5" Type="http://schemas.openxmlformats.org/officeDocument/2006/relationships/chart" Target="../charts/chart46.xml"/><Relationship Id="rId4" Type="http://schemas.openxmlformats.org/officeDocument/2006/relationships/chart" Target="../charts/chart45.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49.xml"/><Relationship Id="rId2" Type="http://schemas.openxmlformats.org/officeDocument/2006/relationships/chart" Target="../charts/chart48.xml"/><Relationship Id="rId1" Type="http://schemas.openxmlformats.org/officeDocument/2006/relationships/chart" Target="../charts/chart47.xml"/><Relationship Id="rId5" Type="http://schemas.openxmlformats.org/officeDocument/2006/relationships/chart" Target="../charts/chart51.xml"/><Relationship Id="rId4" Type="http://schemas.openxmlformats.org/officeDocument/2006/relationships/chart" Target="../charts/chart50.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54.xml"/><Relationship Id="rId2" Type="http://schemas.openxmlformats.org/officeDocument/2006/relationships/chart" Target="../charts/chart53.xml"/><Relationship Id="rId1" Type="http://schemas.openxmlformats.org/officeDocument/2006/relationships/chart" Target="../charts/chart52.xml"/><Relationship Id="rId5" Type="http://schemas.openxmlformats.org/officeDocument/2006/relationships/chart" Target="../charts/chart56.xml"/><Relationship Id="rId4" Type="http://schemas.openxmlformats.org/officeDocument/2006/relationships/chart" Target="../charts/chart55.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59.xml"/><Relationship Id="rId2" Type="http://schemas.openxmlformats.org/officeDocument/2006/relationships/chart" Target="../charts/chart58.xml"/><Relationship Id="rId1" Type="http://schemas.openxmlformats.org/officeDocument/2006/relationships/chart" Target="../charts/chart57.xml"/><Relationship Id="rId6" Type="http://schemas.openxmlformats.org/officeDocument/2006/relationships/chart" Target="../charts/chart62.xml"/><Relationship Id="rId5" Type="http://schemas.openxmlformats.org/officeDocument/2006/relationships/chart" Target="../charts/chart61.xml"/><Relationship Id="rId4" Type="http://schemas.openxmlformats.org/officeDocument/2006/relationships/chart" Target="../charts/chart60.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65.xml"/><Relationship Id="rId2" Type="http://schemas.openxmlformats.org/officeDocument/2006/relationships/chart" Target="../charts/chart64.xml"/><Relationship Id="rId1" Type="http://schemas.openxmlformats.org/officeDocument/2006/relationships/chart" Target="../charts/chart63.xml"/><Relationship Id="rId5" Type="http://schemas.openxmlformats.org/officeDocument/2006/relationships/chart" Target="../charts/chart67.xml"/><Relationship Id="rId4" Type="http://schemas.openxmlformats.org/officeDocument/2006/relationships/chart" Target="../charts/chart66.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3.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4.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5.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8.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9.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10.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11.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12.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50800</xdr:colOff>
      <xdr:row>17</xdr:row>
      <xdr:rowOff>127000</xdr:rowOff>
    </xdr:from>
    <xdr:to>
      <xdr:col>10</xdr:col>
      <xdr:colOff>355600</xdr:colOff>
      <xdr:row>44</xdr:row>
      <xdr:rowOff>6350</xdr:rowOff>
    </xdr:to>
    <xdr:graphicFrame macro="">
      <xdr:nvGraphicFramePr>
        <xdr:cNvPr id="14337" name="Chart 1">
          <a:extLst>
            <a:ext uri="{FF2B5EF4-FFF2-40B4-BE49-F238E27FC236}">
              <a16:creationId xmlns:a16="http://schemas.microsoft.com/office/drawing/2014/main" id="{946D4D56-6087-4AFA-8DBF-87A69BA5F0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508000</xdr:colOff>
      <xdr:row>30</xdr:row>
      <xdr:rowOff>31750</xdr:rowOff>
    </xdr:from>
    <xdr:to>
      <xdr:col>14</xdr:col>
      <xdr:colOff>279400</xdr:colOff>
      <xdr:row>54</xdr:row>
      <xdr:rowOff>101600</xdr:rowOff>
    </xdr:to>
    <xdr:graphicFrame macro="">
      <xdr:nvGraphicFramePr>
        <xdr:cNvPr id="14339" name="Chart 3">
          <a:extLst>
            <a:ext uri="{FF2B5EF4-FFF2-40B4-BE49-F238E27FC236}">
              <a16:creationId xmlns:a16="http://schemas.microsoft.com/office/drawing/2014/main" id="{86F5A7DF-06EA-42BC-8F40-1411EF83B5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165100</xdr:colOff>
          <xdr:row>0</xdr:row>
          <xdr:rowOff>133350</xdr:rowOff>
        </xdr:from>
        <xdr:to>
          <xdr:col>9</xdr:col>
          <xdr:colOff>285750</xdr:colOff>
          <xdr:row>3</xdr:row>
          <xdr:rowOff>0</xdr:rowOff>
        </xdr:to>
        <xdr:sp macro="" textlink="">
          <xdr:nvSpPr>
            <xdr:cNvPr id="12289" name="Object 1" hidden="1">
              <a:extLst>
                <a:ext uri="{63B3BB69-23CF-44E3-9099-C40C66FF867C}">
                  <a14:compatExt spid="_x0000_s12289"/>
                </a:ext>
                <a:ext uri="{FF2B5EF4-FFF2-40B4-BE49-F238E27FC236}">
                  <a16:creationId xmlns:a16="http://schemas.microsoft.com/office/drawing/2014/main" id="{440169B1-16AE-4AE0-980C-8DE9BFB1A67C}"/>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539750</xdr:colOff>
          <xdr:row>1</xdr:row>
          <xdr:rowOff>31750</xdr:rowOff>
        </xdr:from>
        <xdr:to>
          <xdr:col>12</xdr:col>
          <xdr:colOff>50800</xdr:colOff>
          <xdr:row>2</xdr:row>
          <xdr:rowOff>127000</xdr:rowOff>
        </xdr:to>
        <xdr:sp macro="" textlink="">
          <xdr:nvSpPr>
            <xdr:cNvPr id="12290" name="Object 2" hidden="1">
              <a:extLst>
                <a:ext uri="{63B3BB69-23CF-44E3-9099-C40C66FF867C}">
                  <a14:compatExt spid="_x0000_s12290"/>
                </a:ext>
                <a:ext uri="{FF2B5EF4-FFF2-40B4-BE49-F238E27FC236}">
                  <a16:creationId xmlns:a16="http://schemas.microsoft.com/office/drawing/2014/main" id="{B89D7001-7E1C-4429-902C-C88E4943F9F2}"/>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twoCellAnchor>
    <xdr:from>
      <xdr:col>0</xdr:col>
      <xdr:colOff>273050</xdr:colOff>
      <xdr:row>52</xdr:row>
      <xdr:rowOff>0</xdr:rowOff>
    </xdr:from>
    <xdr:to>
      <xdr:col>8</xdr:col>
      <xdr:colOff>260350</xdr:colOff>
      <xdr:row>68</xdr:row>
      <xdr:rowOff>31750</xdr:rowOff>
    </xdr:to>
    <xdr:graphicFrame macro="">
      <xdr:nvGraphicFramePr>
        <xdr:cNvPr id="12291" name="Chart 3">
          <a:extLst>
            <a:ext uri="{FF2B5EF4-FFF2-40B4-BE49-F238E27FC236}">
              <a16:creationId xmlns:a16="http://schemas.microsoft.com/office/drawing/2014/main" id="{42F55877-5525-44C1-B9FC-E9FEBE192B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342900</xdr:colOff>
      <xdr:row>39</xdr:row>
      <xdr:rowOff>88900</xdr:rowOff>
    </xdr:from>
    <xdr:to>
      <xdr:col>11</xdr:col>
      <xdr:colOff>495300</xdr:colOff>
      <xdr:row>49</xdr:row>
      <xdr:rowOff>6350</xdr:rowOff>
    </xdr:to>
    <xdr:graphicFrame macro="">
      <xdr:nvGraphicFramePr>
        <xdr:cNvPr id="12292" name="Chart 4">
          <a:extLst>
            <a:ext uri="{FF2B5EF4-FFF2-40B4-BE49-F238E27FC236}">
              <a16:creationId xmlns:a16="http://schemas.microsoft.com/office/drawing/2014/main" id="{78854C52-19CA-47CC-B836-D72D047027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editAs="oneCell">
        <xdr:from>
          <xdr:col>8</xdr:col>
          <xdr:colOff>165100</xdr:colOff>
          <xdr:row>0</xdr:row>
          <xdr:rowOff>133350</xdr:rowOff>
        </xdr:from>
        <xdr:to>
          <xdr:col>9</xdr:col>
          <xdr:colOff>285750</xdr:colOff>
          <xdr:row>3</xdr:row>
          <xdr:rowOff>0</xdr:rowOff>
        </xdr:to>
        <xdr:sp macro="" textlink="">
          <xdr:nvSpPr>
            <xdr:cNvPr id="12293" name="Object 5" hidden="1">
              <a:extLst>
                <a:ext uri="{63B3BB69-23CF-44E3-9099-C40C66FF867C}">
                  <a14:compatExt spid="_x0000_s12293"/>
                </a:ext>
                <a:ext uri="{FF2B5EF4-FFF2-40B4-BE49-F238E27FC236}">
                  <a16:creationId xmlns:a16="http://schemas.microsoft.com/office/drawing/2014/main" id="{8BF67A59-BE6D-4649-AF03-7A357A0B4E48}"/>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539750</xdr:colOff>
          <xdr:row>1</xdr:row>
          <xdr:rowOff>31750</xdr:rowOff>
        </xdr:from>
        <xdr:to>
          <xdr:col>12</xdr:col>
          <xdr:colOff>50800</xdr:colOff>
          <xdr:row>2</xdr:row>
          <xdr:rowOff>127000</xdr:rowOff>
        </xdr:to>
        <xdr:sp macro="" textlink="">
          <xdr:nvSpPr>
            <xdr:cNvPr id="12294" name="Object 6" hidden="1">
              <a:extLst>
                <a:ext uri="{63B3BB69-23CF-44E3-9099-C40C66FF867C}">
                  <a14:compatExt spid="_x0000_s12294"/>
                </a:ext>
                <a:ext uri="{FF2B5EF4-FFF2-40B4-BE49-F238E27FC236}">
                  <a16:creationId xmlns:a16="http://schemas.microsoft.com/office/drawing/2014/main" id="{9D7F9901-00B7-491B-9C93-94BA3243C3AF}"/>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twoCellAnchor>
    <xdr:from>
      <xdr:col>7</xdr:col>
      <xdr:colOff>254000</xdr:colOff>
      <xdr:row>50</xdr:row>
      <xdr:rowOff>88900</xdr:rowOff>
    </xdr:from>
    <xdr:to>
      <xdr:col>15</xdr:col>
      <xdr:colOff>69850</xdr:colOff>
      <xdr:row>59</xdr:row>
      <xdr:rowOff>57150</xdr:rowOff>
    </xdr:to>
    <xdr:graphicFrame macro="">
      <xdr:nvGraphicFramePr>
        <xdr:cNvPr id="12295" name="Chart 7">
          <a:extLst>
            <a:ext uri="{FF2B5EF4-FFF2-40B4-BE49-F238E27FC236}">
              <a16:creationId xmlns:a16="http://schemas.microsoft.com/office/drawing/2014/main" id="{42347663-1F9E-49BB-BF8E-1A66E60973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412750</xdr:colOff>
      <xdr:row>1</xdr:row>
      <xdr:rowOff>133350</xdr:rowOff>
    </xdr:from>
    <xdr:to>
      <xdr:col>23</xdr:col>
      <xdr:colOff>260350</xdr:colOff>
      <xdr:row>10</xdr:row>
      <xdr:rowOff>127000</xdr:rowOff>
    </xdr:to>
    <xdr:graphicFrame macro="">
      <xdr:nvGraphicFramePr>
        <xdr:cNvPr id="12298" name="Chart 10">
          <a:extLst>
            <a:ext uri="{FF2B5EF4-FFF2-40B4-BE49-F238E27FC236}">
              <a16:creationId xmlns:a16="http://schemas.microsoft.com/office/drawing/2014/main" id="{1E5F25BC-4AD0-4CD4-B852-A7AC371F4E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139700</xdr:colOff>
      <xdr:row>15</xdr:row>
      <xdr:rowOff>82550</xdr:rowOff>
    </xdr:from>
    <xdr:to>
      <xdr:col>23</xdr:col>
      <xdr:colOff>0</xdr:colOff>
      <xdr:row>29</xdr:row>
      <xdr:rowOff>139700</xdr:rowOff>
    </xdr:to>
    <xdr:graphicFrame macro="">
      <xdr:nvGraphicFramePr>
        <xdr:cNvPr id="12299" name="Chart 11">
          <a:extLst>
            <a:ext uri="{FF2B5EF4-FFF2-40B4-BE49-F238E27FC236}">
              <a16:creationId xmlns:a16="http://schemas.microsoft.com/office/drawing/2014/main" id="{3B86E41B-84A3-455F-A4CC-DE23711AA1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158750</xdr:colOff>
      <xdr:row>32</xdr:row>
      <xdr:rowOff>127000</xdr:rowOff>
    </xdr:from>
    <xdr:to>
      <xdr:col>18</xdr:col>
      <xdr:colOff>342900</xdr:colOff>
      <xdr:row>48</xdr:row>
      <xdr:rowOff>6350</xdr:rowOff>
    </xdr:to>
    <xdr:graphicFrame macro="">
      <xdr:nvGraphicFramePr>
        <xdr:cNvPr id="12300" name="Chart 12">
          <a:extLst>
            <a:ext uri="{FF2B5EF4-FFF2-40B4-BE49-F238E27FC236}">
              <a16:creationId xmlns:a16="http://schemas.microsoft.com/office/drawing/2014/main" id="{CACB17F8-FFB5-412C-BA41-920FC2CE9B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165100</xdr:colOff>
          <xdr:row>0</xdr:row>
          <xdr:rowOff>133350</xdr:rowOff>
        </xdr:from>
        <xdr:to>
          <xdr:col>9</xdr:col>
          <xdr:colOff>285750</xdr:colOff>
          <xdr:row>3</xdr:row>
          <xdr:rowOff>0</xdr:rowOff>
        </xdr:to>
        <xdr:sp macro="" textlink="">
          <xdr:nvSpPr>
            <xdr:cNvPr id="11265" name="Object 1" hidden="1">
              <a:extLst>
                <a:ext uri="{63B3BB69-23CF-44E3-9099-C40C66FF867C}">
                  <a14:compatExt spid="_x0000_s11265"/>
                </a:ext>
                <a:ext uri="{FF2B5EF4-FFF2-40B4-BE49-F238E27FC236}">
                  <a16:creationId xmlns:a16="http://schemas.microsoft.com/office/drawing/2014/main" id="{010C55F2-C81E-4489-B606-50B1C70E77D6}"/>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539750</xdr:colOff>
          <xdr:row>1</xdr:row>
          <xdr:rowOff>31750</xdr:rowOff>
        </xdr:from>
        <xdr:to>
          <xdr:col>12</xdr:col>
          <xdr:colOff>50800</xdr:colOff>
          <xdr:row>2</xdr:row>
          <xdr:rowOff>127000</xdr:rowOff>
        </xdr:to>
        <xdr:sp macro="" textlink="">
          <xdr:nvSpPr>
            <xdr:cNvPr id="11266" name="Object 2" hidden="1">
              <a:extLst>
                <a:ext uri="{63B3BB69-23CF-44E3-9099-C40C66FF867C}">
                  <a14:compatExt spid="_x0000_s11266"/>
                </a:ext>
                <a:ext uri="{FF2B5EF4-FFF2-40B4-BE49-F238E27FC236}">
                  <a16:creationId xmlns:a16="http://schemas.microsoft.com/office/drawing/2014/main" id="{94C1B97B-1DF0-44FA-AD18-C50B3ACDAD5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twoCellAnchor>
    <xdr:from>
      <xdr:col>0</xdr:col>
      <xdr:colOff>304800</xdr:colOff>
      <xdr:row>42</xdr:row>
      <xdr:rowOff>25400</xdr:rowOff>
    </xdr:from>
    <xdr:to>
      <xdr:col>7</xdr:col>
      <xdr:colOff>558800</xdr:colOff>
      <xdr:row>57</xdr:row>
      <xdr:rowOff>25400</xdr:rowOff>
    </xdr:to>
    <xdr:graphicFrame macro="">
      <xdr:nvGraphicFramePr>
        <xdr:cNvPr id="11267" name="Chart 3">
          <a:extLst>
            <a:ext uri="{FF2B5EF4-FFF2-40B4-BE49-F238E27FC236}">
              <a16:creationId xmlns:a16="http://schemas.microsoft.com/office/drawing/2014/main" id="{A9E2B2E6-12AF-4B91-82AC-3B55FCCBE3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29</xdr:row>
      <xdr:rowOff>76200</xdr:rowOff>
    </xdr:from>
    <xdr:to>
      <xdr:col>7</xdr:col>
      <xdr:colOff>165100</xdr:colOff>
      <xdr:row>41</xdr:row>
      <xdr:rowOff>88900</xdr:rowOff>
    </xdr:to>
    <xdr:graphicFrame macro="">
      <xdr:nvGraphicFramePr>
        <xdr:cNvPr id="11268" name="Chart 4">
          <a:extLst>
            <a:ext uri="{FF2B5EF4-FFF2-40B4-BE49-F238E27FC236}">
              <a16:creationId xmlns:a16="http://schemas.microsoft.com/office/drawing/2014/main" id="{47A77986-05DA-48DC-81AF-BE21479C72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editAs="oneCell">
        <xdr:from>
          <xdr:col>8</xdr:col>
          <xdr:colOff>165100</xdr:colOff>
          <xdr:row>0</xdr:row>
          <xdr:rowOff>133350</xdr:rowOff>
        </xdr:from>
        <xdr:to>
          <xdr:col>9</xdr:col>
          <xdr:colOff>285750</xdr:colOff>
          <xdr:row>3</xdr:row>
          <xdr:rowOff>0</xdr:rowOff>
        </xdr:to>
        <xdr:sp macro="" textlink="">
          <xdr:nvSpPr>
            <xdr:cNvPr id="11269" name="Object 5" hidden="1">
              <a:extLst>
                <a:ext uri="{63B3BB69-23CF-44E3-9099-C40C66FF867C}">
                  <a14:compatExt spid="_x0000_s11269"/>
                </a:ext>
                <a:ext uri="{FF2B5EF4-FFF2-40B4-BE49-F238E27FC236}">
                  <a16:creationId xmlns:a16="http://schemas.microsoft.com/office/drawing/2014/main" id="{6CD058B8-0757-44F2-83F0-6D813D171C9A}"/>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539750</xdr:colOff>
          <xdr:row>1</xdr:row>
          <xdr:rowOff>31750</xdr:rowOff>
        </xdr:from>
        <xdr:to>
          <xdr:col>12</xdr:col>
          <xdr:colOff>50800</xdr:colOff>
          <xdr:row>2</xdr:row>
          <xdr:rowOff>127000</xdr:rowOff>
        </xdr:to>
        <xdr:sp macro="" textlink="">
          <xdr:nvSpPr>
            <xdr:cNvPr id="11270" name="Object 6" hidden="1">
              <a:extLst>
                <a:ext uri="{63B3BB69-23CF-44E3-9099-C40C66FF867C}">
                  <a14:compatExt spid="_x0000_s11270"/>
                </a:ext>
                <a:ext uri="{FF2B5EF4-FFF2-40B4-BE49-F238E27FC236}">
                  <a16:creationId xmlns:a16="http://schemas.microsoft.com/office/drawing/2014/main" id="{D38CF987-A7D4-45B4-A921-B2CA01FDA633}"/>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twoCellAnchor>
    <xdr:from>
      <xdr:col>7</xdr:col>
      <xdr:colOff>444500</xdr:colOff>
      <xdr:row>29</xdr:row>
      <xdr:rowOff>57150</xdr:rowOff>
    </xdr:from>
    <xdr:to>
      <xdr:col>15</xdr:col>
      <xdr:colOff>165100</xdr:colOff>
      <xdr:row>36</xdr:row>
      <xdr:rowOff>6350</xdr:rowOff>
    </xdr:to>
    <xdr:graphicFrame macro="">
      <xdr:nvGraphicFramePr>
        <xdr:cNvPr id="11271" name="Chart 7">
          <a:extLst>
            <a:ext uri="{FF2B5EF4-FFF2-40B4-BE49-F238E27FC236}">
              <a16:creationId xmlns:a16="http://schemas.microsoft.com/office/drawing/2014/main" id="{9893A21F-6321-48A0-A7F7-1F78457D45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5</xdr:row>
      <xdr:rowOff>514350</xdr:rowOff>
    </xdr:from>
    <xdr:to>
      <xdr:col>6</xdr:col>
      <xdr:colOff>463550</xdr:colOff>
      <xdr:row>17</xdr:row>
      <xdr:rowOff>25400</xdr:rowOff>
    </xdr:to>
    <xdr:graphicFrame macro="">
      <xdr:nvGraphicFramePr>
        <xdr:cNvPr id="11272" name="Chart 8">
          <a:extLst>
            <a:ext uri="{FF2B5EF4-FFF2-40B4-BE49-F238E27FC236}">
              <a16:creationId xmlns:a16="http://schemas.microsoft.com/office/drawing/2014/main" id="{95AC2538-5A2C-4717-92D7-EE04B4076C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165100</xdr:colOff>
      <xdr:row>21</xdr:row>
      <xdr:rowOff>476250</xdr:rowOff>
    </xdr:from>
    <xdr:to>
      <xdr:col>12</xdr:col>
      <xdr:colOff>622300</xdr:colOff>
      <xdr:row>35</xdr:row>
      <xdr:rowOff>82550</xdr:rowOff>
    </xdr:to>
    <xdr:graphicFrame macro="">
      <xdr:nvGraphicFramePr>
        <xdr:cNvPr id="11273" name="Chart 9">
          <a:extLst>
            <a:ext uri="{FF2B5EF4-FFF2-40B4-BE49-F238E27FC236}">
              <a16:creationId xmlns:a16="http://schemas.microsoft.com/office/drawing/2014/main" id="{20BD5BE2-40CB-4DB9-845C-2B85FFAB78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0</xdr:colOff>
      <xdr:row>44</xdr:row>
      <xdr:rowOff>0</xdr:rowOff>
    </xdr:from>
    <xdr:to>
      <xdr:col>17</xdr:col>
      <xdr:colOff>285750</xdr:colOff>
      <xdr:row>59</xdr:row>
      <xdr:rowOff>6350</xdr:rowOff>
    </xdr:to>
    <xdr:graphicFrame macro="">
      <xdr:nvGraphicFramePr>
        <xdr:cNvPr id="11274" name="Chart 10">
          <a:extLst>
            <a:ext uri="{FF2B5EF4-FFF2-40B4-BE49-F238E27FC236}">
              <a16:creationId xmlns:a16="http://schemas.microsoft.com/office/drawing/2014/main" id="{F234D8E2-6912-4C48-AA1B-C252703B9F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165100</xdr:colOff>
          <xdr:row>0</xdr:row>
          <xdr:rowOff>133350</xdr:rowOff>
        </xdr:from>
        <xdr:to>
          <xdr:col>9</xdr:col>
          <xdr:colOff>285750</xdr:colOff>
          <xdr:row>3</xdr:row>
          <xdr:rowOff>0</xdr:rowOff>
        </xdr:to>
        <xdr:sp macro="" textlink="">
          <xdr:nvSpPr>
            <xdr:cNvPr id="10241" name="Object 1" hidden="1">
              <a:extLst>
                <a:ext uri="{63B3BB69-23CF-44E3-9099-C40C66FF867C}">
                  <a14:compatExt spid="_x0000_s10241"/>
                </a:ext>
                <a:ext uri="{FF2B5EF4-FFF2-40B4-BE49-F238E27FC236}">
                  <a16:creationId xmlns:a16="http://schemas.microsoft.com/office/drawing/2014/main" id="{7C515D6C-AC74-4350-8B21-366BC747C8B5}"/>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539750</xdr:colOff>
          <xdr:row>1</xdr:row>
          <xdr:rowOff>31750</xdr:rowOff>
        </xdr:from>
        <xdr:to>
          <xdr:col>12</xdr:col>
          <xdr:colOff>50800</xdr:colOff>
          <xdr:row>2</xdr:row>
          <xdr:rowOff>127000</xdr:rowOff>
        </xdr:to>
        <xdr:sp macro="" textlink="">
          <xdr:nvSpPr>
            <xdr:cNvPr id="10242" name="Object 2" hidden="1">
              <a:extLst>
                <a:ext uri="{63B3BB69-23CF-44E3-9099-C40C66FF867C}">
                  <a14:compatExt spid="_x0000_s10242"/>
                </a:ext>
                <a:ext uri="{FF2B5EF4-FFF2-40B4-BE49-F238E27FC236}">
                  <a16:creationId xmlns:a16="http://schemas.microsoft.com/office/drawing/2014/main" id="{62912583-D781-41BD-A248-568940A90824}"/>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twoCellAnchor>
    <xdr:from>
      <xdr:col>0</xdr:col>
      <xdr:colOff>609600</xdr:colOff>
      <xdr:row>58</xdr:row>
      <xdr:rowOff>50800</xdr:rowOff>
    </xdr:from>
    <xdr:to>
      <xdr:col>8</xdr:col>
      <xdr:colOff>260350</xdr:colOff>
      <xdr:row>71</xdr:row>
      <xdr:rowOff>57150</xdr:rowOff>
    </xdr:to>
    <xdr:graphicFrame macro="">
      <xdr:nvGraphicFramePr>
        <xdr:cNvPr id="10243" name="Chart 3">
          <a:extLst>
            <a:ext uri="{FF2B5EF4-FFF2-40B4-BE49-F238E27FC236}">
              <a16:creationId xmlns:a16="http://schemas.microsoft.com/office/drawing/2014/main" id="{EFA60E46-13BD-4185-A522-AE08E5565D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254000</xdr:colOff>
      <xdr:row>44</xdr:row>
      <xdr:rowOff>6350</xdr:rowOff>
    </xdr:from>
    <xdr:to>
      <xdr:col>7</xdr:col>
      <xdr:colOff>419100</xdr:colOff>
      <xdr:row>55</xdr:row>
      <xdr:rowOff>88900</xdr:rowOff>
    </xdr:to>
    <xdr:graphicFrame macro="">
      <xdr:nvGraphicFramePr>
        <xdr:cNvPr id="10244" name="Chart 4">
          <a:extLst>
            <a:ext uri="{FF2B5EF4-FFF2-40B4-BE49-F238E27FC236}">
              <a16:creationId xmlns:a16="http://schemas.microsoft.com/office/drawing/2014/main" id="{856CD9F6-2BF3-4119-AE76-0DF2C3133F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editAs="oneCell">
        <xdr:from>
          <xdr:col>8</xdr:col>
          <xdr:colOff>165100</xdr:colOff>
          <xdr:row>0</xdr:row>
          <xdr:rowOff>133350</xdr:rowOff>
        </xdr:from>
        <xdr:to>
          <xdr:col>9</xdr:col>
          <xdr:colOff>285750</xdr:colOff>
          <xdr:row>3</xdr:row>
          <xdr:rowOff>0</xdr:rowOff>
        </xdr:to>
        <xdr:sp macro="" textlink="">
          <xdr:nvSpPr>
            <xdr:cNvPr id="10245" name="Object 5" hidden="1">
              <a:extLst>
                <a:ext uri="{63B3BB69-23CF-44E3-9099-C40C66FF867C}">
                  <a14:compatExt spid="_x0000_s10245"/>
                </a:ext>
                <a:ext uri="{FF2B5EF4-FFF2-40B4-BE49-F238E27FC236}">
                  <a16:creationId xmlns:a16="http://schemas.microsoft.com/office/drawing/2014/main" id="{F53D9849-256F-4337-BBA1-D16F89884DAC}"/>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539750</xdr:colOff>
          <xdr:row>1</xdr:row>
          <xdr:rowOff>31750</xdr:rowOff>
        </xdr:from>
        <xdr:to>
          <xdr:col>12</xdr:col>
          <xdr:colOff>50800</xdr:colOff>
          <xdr:row>2</xdr:row>
          <xdr:rowOff>127000</xdr:rowOff>
        </xdr:to>
        <xdr:sp macro="" textlink="">
          <xdr:nvSpPr>
            <xdr:cNvPr id="10246" name="Object 6" hidden="1">
              <a:extLst>
                <a:ext uri="{63B3BB69-23CF-44E3-9099-C40C66FF867C}">
                  <a14:compatExt spid="_x0000_s10246"/>
                </a:ext>
                <a:ext uri="{FF2B5EF4-FFF2-40B4-BE49-F238E27FC236}">
                  <a16:creationId xmlns:a16="http://schemas.microsoft.com/office/drawing/2014/main" id="{FD211A1F-3620-4218-A0A5-395F9598EE29}"/>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twoCellAnchor>
    <xdr:from>
      <xdr:col>4</xdr:col>
      <xdr:colOff>215900</xdr:colOff>
      <xdr:row>42</xdr:row>
      <xdr:rowOff>76200</xdr:rowOff>
    </xdr:from>
    <xdr:to>
      <xdr:col>12</xdr:col>
      <xdr:colOff>146050</xdr:colOff>
      <xdr:row>55</xdr:row>
      <xdr:rowOff>82550</xdr:rowOff>
    </xdr:to>
    <xdr:graphicFrame macro="">
      <xdr:nvGraphicFramePr>
        <xdr:cNvPr id="10247" name="Chart 7">
          <a:extLst>
            <a:ext uri="{FF2B5EF4-FFF2-40B4-BE49-F238E27FC236}">
              <a16:creationId xmlns:a16="http://schemas.microsoft.com/office/drawing/2014/main" id="{1070713C-2E89-4260-B240-B56692DC41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508000</xdr:colOff>
      <xdr:row>5</xdr:row>
      <xdr:rowOff>31750</xdr:rowOff>
    </xdr:from>
    <xdr:to>
      <xdr:col>12</xdr:col>
      <xdr:colOff>330200</xdr:colOff>
      <xdr:row>14</xdr:row>
      <xdr:rowOff>76200</xdr:rowOff>
    </xdr:to>
    <xdr:graphicFrame macro="">
      <xdr:nvGraphicFramePr>
        <xdr:cNvPr id="10251" name="Chart 11">
          <a:extLst>
            <a:ext uri="{FF2B5EF4-FFF2-40B4-BE49-F238E27FC236}">
              <a16:creationId xmlns:a16="http://schemas.microsoft.com/office/drawing/2014/main" id="{039A268B-D68D-493D-8E5E-9DEFABAD58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552450</xdr:colOff>
      <xdr:row>14</xdr:row>
      <xdr:rowOff>139700</xdr:rowOff>
    </xdr:from>
    <xdr:to>
      <xdr:col>12</xdr:col>
      <xdr:colOff>374650</xdr:colOff>
      <xdr:row>29</xdr:row>
      <xdr:rowOff>31750</xdr:rowOff>
    </xdr:to>
    <xdr:graphicFrame macro="">
      <xdr:nvGraphicFramePr>
        <xdr:cNvPr id="10252" name="Chart 12">
          <a:extLst>
            <a:ext uri="{FF2B5EF4-FFF2-40B4-BE49-F238E27FC236}">
              <a16:creationId xmlns:a16="http://schemas.microsoft.com/office/drawing/2014/main" id="{92DBF227-1352-448F-AF0B-112E5843CC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0</xdr:colOff>
      <xdr:row>46</xdr:row>
      <xdr:rowOff>0</xdr:rowOff>
    </xdr:from>
    <xdr:to>
      <xdr:col>20</xdr:col>
      <xdr:colOff>323850</xdr:colOff>
      <xdr:row>59</xdr:row>
      <xdr:rowOff>19050</xdr:rowOff>
    </xdr:to>
    <xdr:graphicFrame macro="">
      <xdr:nvGraphicFramePr>
        <xdr:cNvPr id="10253" name="Chart 13">
          <a:extLst>
            <a:ext uri="{FF2B5EF4-FFF2-40B4-BE49-F238E27FC236}">
              <a16:creationId xmlns:a16="http://schemas.microsoft.com/office/drawing/2014/main" id="{7C454A78-85E0-4625-9A6D-DDBB1AF3CA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165100</xdr:colOff>
          <xdr:row>0</xdr:row>
          <xdr:rowOff>133350</xdr:rowOff>
        </xdr:from>
        <xdr:to>
          <xdr:col>9</xdr:col>
          <xdr:colOff>285750</xdr:colOff>
          <xdr:row>3</xdr:row>
          <xdr:rowOff>0</xdr:rowOff>
        </xdr:to>
        <xdr:sp macro="" textlink="">
          <xdr:nvSpPr>
            <xdr:cNvPr id="9217" name="Object 1" hidden="1">
              <a:extLst>
                <a:ext uri="{63B3BB69-23CF-44E3-9099-C40C66FF867C}">
                  <a14:compatExt spid="_x0000_s9217"/>
                </a:ext>
                <a:ext uri="{FF2B5EF4-FFF2-40B4-BE49-F238E27FC236}">
                  <a16:creationId xmlns:a16="http://schemas.microsoft.com/office/drawing/2014/main" id="{6A48B574-851E-4F6A-8620-1272205D02BA}"/>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539750</xdr:colOff>
          <xdr:row>1</xdr:row>
          <xdr:rowOff>31750</xdr:rowOff>
        </xdr:from>
        <xdr:to>
          <xdr:col>12</xdr:col>
          <xdr:colOff>50800</xdr:colOff>
          <xdr:row>2</xdr:row>
          <xdr:rowOff>127000</xdr:rowOff>
        </xdr:to>
        <xdr:sp macro="" textlink="">
          <xdr:nvSpPr>
            <xdr:cNvPr id="9218" name="Object 2" hidden="1">
              <a:extLst>
                <a:ext uri="{63B3BB69-23CF-44E3-9099-C40C66FF867C}">
                  <a14:compatExt spid="_x0000_s9218"/>
                </a:ext>
                <a:ext uri="{FF2B5EF4-FFF2-40B4-BE49-F238E27FC236}">
                  <a16:creationId xmlns:a16="http://schemas.microsoft.com/office/drawing/2014/main" id="{EB7559D3-DB6E-4A77-A345-B8905337EBF8}"/>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twoCellAnchor>
    <xdr:from>
      <xdr:col>0</xdr:col>
      <xdr:colOff>393700</xdr:colOff>
      <xdr:row>57</xdr:row>
      <xdr:rowOff>127000</xdr:rowOff>
    </xdr:from>
    <xdr:to>
      <xdr:col>9</xdr:col>
      <xdr:colOff>171450</xdr:colOff>
      <xdr:row>73</xdr:row>
      <xdr:rowOff>31750</xdr:rowOff>
    </xdr:to>
    <xdr:graphicFrame macro="">
      <xdr:nvGraphicFramePr>
        <xdr:cNvPr id="9219" name="Chart 3">
          <a:extLst>
            <a:ext uri="{FF2B5EF4-FFF2-40B4-BE49-F238E27FC236}">
              <a16:creationId xmlns:a16="http://schemas.microsoft.com/office/drawing/2014/main" id="{3DBFA6A0-3DB0-41A4-971D-4381D83582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44</xdr:row>
      <xdr:rowOff>76200</xdr:rowOff>
    </xdr:from>
    <xdr:to>
      <xdr:col>7</xdr:col>
      <xdr:colOff>165100</xdr:colOff>
      <xdr:row>56</xdr:row>
      <xdr:rowOff>88900</xdr:rowOff>
    </xdr:to>
    <xdr:graphicFrame macro="">
      <xdr:nvGraphicFramePr>
        <xdr:cNvPr id="9221" name="Chart 5">
          <a:extLst>
            <a:ext uri="{FF2B5EF4-FFF2-40B4-BE49-F238E27FC236}">
              <a16:creationId xmlns:a16="http://schemas.microsoft.com/office/drawing/2014/main" id="{9074CADB-B3B0-4B1C-B3A7-08FEC7F8C6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editAs="oneCell">
        <xdr:from>
          <xdr:col>8</xdr:col>
          <xdr:colOff>165100</xdr:colOff>
          <xdr:row>0</xdr:row>
          <xdr:rowOff>133350</xdr:rowOff>
        </xdr:from>
        <xdr:to>
          <xdr:col>9</xdr:col>
          <xdr:colOff>285750</xdr:colOff>
          <xdr:row>3</xdr:row>
          <xdr:rowOff>0</xdr:rowOff>
        </xdr:to>
        <xdr:sp macro="" textlink="">
          <xdr:nvSpPr>
            <xdr:cNvPr id="9222" name="Object 6" hidden="1">
              <a:extLst>
                <a:ext uri="{63B3BB69-23CF-44E3-9099-C40C66FF867C}">
                  <a14:compatExt spid="_x0000_s9222"/>
                </a:ext>
                <a:ext uri="{FF2B5EF4-FFF2-40B4-BE49-F238E27FC236}">
                  <a16:creationId xmlns:a16="http://schemas.microsoft.com/office/drawing/2014/main" id="{12875644-8032-446A-9D4D-8DF973A7639B}"/>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539750</xdr:colOff>
          <xdr:row>1</xdr:row>
          <xdr:rowOff>31750</xdr:rowOff>
        </xdr:from>
        <xdr:to>
          <xdr:col>12</xdr:col>
          <xdr:colOff>50800</xdr:colOff>
          <xdr:row>2</xdr:row>
          <xdr:rowOff>127000</xdr:rowOff>
        </xdr:to>
        <xdr:sp macro="" textlink="">
          <xdr:nvSpPr>
            <xdr:cNvPr id="9223" name="Object 7" hidden="1">
              <a:extLst>
                <a:ext uri="{63B3BB69-23CF-44E3-9099-C40C66FF867C}">
                  <a14:compatExt spid="_x0000_s9223"/>
                </a:ext>
                <a:ext uri="{FF2B5EF4-FFF2-40B4-BE49-F238E27FC236}">
                  <a16:creationId xmlns:a16="http://schemas.microsoft.com/office/drawing/2014/main" id="{78208A34-24BE-4E42-9670-93C914591AF8}"/>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twoCellAnchor>
    <xdr:from>
      <xdr:col>7</xdr:col>
      <xdr:colOff>444500</xdr:colOff>
      <xdr:row>44</xdr:row>
      <xdr:rowOff>57150</xdr:rowOff>
    </xdr:from>
    <xdr:to>
      <xdr:col>15</xdr:col>
      <xdr:colOff>165100</xdr:colOff>
      <xdr:row>51</xdr:row>
      <xdr:rowOff>6350</xdr:rowOff>
    </xdr:to>
    <xdr:graphicFrame macro="">
      <xdr:nvGraphicFramePr>
        <xdr:cNvPr id="9225" name="Chart 9">
          <a:extLst>
            <a:ext uri="{FF2B5EF4-FFF2-40B4-BE49-F238E27FC236}">
              <a16:creationId xmlns:a16="http://schemas.microsoft.com/office/drawing/2014/main" id="{4FAE8179-0282-46ED-ACA6-05CF4B9CFE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508000</xdr:colOff>
      <xdr:row>4</xdr:row>
      <xdr:rowOff>25400</xdr:rowOff>
    </xdr:from>
    <xdr:to>
      <xdr:col>12</xdr:col>
      <xdr:colOff>330200</xdr:colOff>
      <xdr:row>13</xdr:row>
      <xdr:rowOff>76200</xdr:rowOff>
    </xdr:to>
    <xdr:graphicFrame macro="">
      <xdr:nvGraphicFramePr>
        <xdr:cNvPr id="9227" name="Chart 11">
          <a:extLst>
            <a:ext uri="{FF2B5EF4-FFF2-40B4-BE49-F238E27FC236}">
              <a16:creationId xmlns:a16="http://schemas.microsoft.com/office/drawing/2014/main" id="{118A2A3F-89B9-491E-B67A-DF495A5B6B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552450</xdr:colOff>
      <xdr:row>13</xdr:row>
      <xdr:rowOff>139700</xdr:rowOff>
    </xdr:from>
    <xdr:to>
      <xdr:col>12</xdr:col>
      <xdr:colOff>374650</xdr:colOff>
      <xdr:row>28</xdr:row>
      <xdr:rowOff>31750</xdr:rowOff>
    </xdr:to>
    <xdr:graphicFrame macro="">
      <xdr:nvGraphicFramePr>
        <xdr:cNvPr id="9228" name="Chart 12">
          <a:extLst>
            <a:ext uri="{FF2B5EF4-FFF2-40B4-BE49-F238E27FC236}">
              <a16:creationId xmlns:a16="http://schemas.microsoft.com/office/drawing/2014/main" id="{E43D3FF3-3852-425C-9C83-67F30BD1D8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0</xdr:colOff>
      <xdr:row>53</xdr:row>
      <xdr:rowOff>0</xdr:rowOff>
    </xdr:from>
    <xdr:to>
      <xdr:col>19</xdr:col>
      <xdr:colOff>463550</xdr:colOff>
      <xdr:row>68</xdr:row>
      <xdr:rowOff>82550</xdr:rowOff>
    </xdr:to>
    <xdr:graphicFrame macro="">
      <xdr:nvGraphicFramePr>
        <xdr:cNvPr id="9229" name="Chart 13">
          <a:extLst>
            <a:ext uri="{FF2B5EF4-FFF2-40B4-BE49-F238E27FC236}">
              <a16:creationId xmlns:a16="http://schemas.microsoft.com/office/drawing/2014/main" id="{B048DAEE-F196-493D-B83E-2C8D4E0DA7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165100</xdr:colOff>
          <xdr:row>0</xdr:row>
          <xdr:rowOff>133350</xdr:rowOff>
        </xdr:from>
        <xdr:to>
          <xdr:col>9</xdr:col>
          <xdr:colOff>285750</xdr:colOff>
          <xdr:row>3</xdr:row>
          <xdr:rowOff>0</xdr:rowOff>
        </xdr:to>
        <xdr:sp macro="" textlink="">
          <xdr:nvSpPr>
            <xdr:cNvPr id="8193" name="Object 1" hidden="1">
              <a:extLst>
                <a:ext uri="{63B3BB69-23CF-44E3-9099-C40C66FF867C}">
                  <a14:compatExt spid="_x0000_s8193"/>
                </a:ext>
                <a:ext uri="{FF2B5EF4-FFF2-40B4-BE49-F238E27FC236}">
                  <a16:creationId xmlns:a16="http://schemas.microsoft.com/office/drawing/2014/main" id="{42290ED4-F501-4B6D-9534-5E201D296624}"/>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539750</xdr:colOff>
          <xdr:row>1</xdr:row>
          <xdr:rowOff>31750</xdr:rowOff>
        </xdr:from>
        <xdr:to>
          <xdr:col>12</xdr:col>
          <xdr:colOff>50800</xdr:colOff>
          <xdr:row>2</xdr:row>
          <xdr:rowOff>127000</xdr:rowOff>
        </xdr:to>
        <xdr:sp macro="" textlink="">
          <xdr:nvSpPr>
            <xdr:cNvPr id="8194" name="Object 2" hidden="1">
              <a:extLst>
                <a:ext uri="{63B3BB69-23CF-44E3-9099-C40C66FF867C}">
                  <a14:compatExt spid="_x0000_s8194"/>
                </a:ext>
                <a:ext uri="{FF2B5EF4-FFF2-40B4-BE49-F238E27FC236}">
                  <a16:creationId xmlns:a16="http://schemas.microsoft.com/office/drawing/2014/main" id="{90BDBCAF-5071-4B87-973B-4DD2B70AB96E}"/>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twoCellAnchor>
    <xdr:from>
      <xdr:col>0</xdr:col>
      <xdr:colOff>234950</xdr:colOff>
      <xdr:row>64</xdr:row>
      <xdr:rowOff>152400</xdr:rowOff>
    </xdr:from>
    <xdr:to>
      <xdr:col>9</xdr:col>
      <xdr:colOff>273050</xdr:colOff>
      <xdr:row>84</xdr:row>
      <xdr:rowOff>31750</xdr:rowOff>
    </xdr:to>
    <xdr:graphicFrame macro="">
      <xdr:nvGraphicFramePr>
        <xdr:cNvPr id="8195" name="Chart 3">
          <a:extLst>
            <a:ext uri="{FF2B5EF4-FFF2-40B4-BE49-F238E27FC236}">
              <a16:creationId xmlns:a16="http://schemas.microsoft.com/office/drawing/2014/main" id="{C03A416B-64BB-4B07-A465-B8620D6E38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514350</xdr:colOff>
      <xdr:row>49</xdr:row>
      <xdr:rowOff>31750</xdr:rowOff>
    </xdr:from>
    <xdr:to>
      <xdr:col>15</xdr:col>
      <xdr:colOff>234950</xdr:colOff>
      <xdr:row>54</xdr:row>
      <xdr:rowOff>0</xdr:rowOff>
    </xdr:to>
    <xdr:graphicFrame macro="">
      <xdr:nvGraphicFramePr>
        <xdr:cNvPr id="8196" name="Chart 4">
          <a:extLst>
            <a:ext uri="{FF2B5EF4-FFF2-40B4-BE49-F238E27FC236}">
              <a16:creationId xmlns:a16="http://schemas.microsoft.com/office/drawing/2014/main" id="{EB63C5F2-24B1-46FD-814A-037BAE5EDC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146050</xdr:colOff>
      <xdr:row>48</xdr:row>
      <xdr:rowOff>25400</xdr:rowOff>
    </xdr:from>
    <xdr:to>
      <xdr:col>7</xdr:col>
      <xdr:colOff>323850</xdr:colOff>
      <xdr:row>64</xdr:row>
      <xdr:rowOff>31750</xdr:rowOff>
    </xdr:to>
    <xdr:graphicFrame macro="">
      <xdr:nvGraphicFramePr>
        <xdr:cNvPr id="8197" name="Chart 5">
          <a:extLst>
            <a:ext uri="{FF2B5EF4-FFF2-40B4-BE49-F238E27FC236}">
              <a16:creationId xmlns:a16="http://schemas.microsoft.com/office/drawing/2014/main" id="{F36AE2F3-97BA-4348-95D5-5281D5102F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241300</xdr:colOff>
      <xdr:row>10</xdr:row>
      <xdr:rowOff>139700</xdr:rowOff>
    </xdr:from>
    <xdr:to>
      <xdr:col>7</xdr:col>
      <xdr:colOff>69850</xdr:colOff>
      <xdr:row>25</xdr:row>
      <xdr:rowOff>31750</xdr:rowOff>
    </xdr:to>
    <xdr:graphicFrame macro="">
      <xdr:nvGraphicFramePr>
        <xdr:cNvPr id="8200" name="Chart 8">
          <a:extLst>
            <a:ext uri="{FF2B5EF4-FFF2-40B4-BE49-F238E27FC236}">
              <a16:creationId xmlns:a16="http://schemas.microsoft.com/office/drawing/2014/main" id="{C5E1383F-DCFD-4136-99A9-EA21B63E34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495300</xdr:colOff>
      <xdr:row>19</xdr:row>
      <xdr:rowOff>82550</xdr:rowOff>
    </xdr:from>
    <xdr:to>
      <xdr:col>8</xdr:col>
      <xdr:colOff>323850</xdr:colOff>
      <xdr:row>33</xdr:row>
      <xdr:rowOff>133350</xdr:rowOff>
    </xdr:to>
    <xdr:graphicFrame macro="">
      <xdr:nvGraphicFramePr>
        <xdr:cNvPr id="8201" name="Chart 9">
          <a:extLst>
            <a:ext uri="{FF2B5EF4-FFF2-40B4-BE49-F238E27FC236}">
              <a16:creationId xmlns:a16="http://schemas.microsoft.com/office/drawing/2014/main" id="{1CEDB5DD-94BF-41E9-9CBC-44D217DFBE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0</xdr:colOff>
      <xdr:row>59</xdr:row>
      <xdr:rowOff>0</xdr:rowOff>
    </xdr:from>
    <xdr:to>
      <xdr:col>19</xdr:col>
      <xdr:colOff>69850</xdr:colOff>
      <xdr:row>78</xdr:row>
      <xdr:rowOff>57150</xdr:rowOff>
    </xdr:to>
    <xdr:graphicFrame macro="">
      <xdr:nvGraphicFramePr>
        <xdr:cNvPr id="8202" name="Chart 10">
          <a:extLst>
            <a:ext uri="{FF2B5EF4-FFF2-40B4-BE49-F238E27FC236}">
              <a16:creationId xmlns:a16="http://schemas.microsoft.com/office/drawing/2014/main" id="{2CD476DE-1654-4298-8F15-0753252BDD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165100</xdr:colOff>
          <xdr:row>0</xdr:row>
          <xdr:rowOff>133350</xdr:rowOff>
        </xdr:from>
        <xdr:to>
          <xdr:col>9</xdr:col>
          <xdr:colOff>285750</xdr:colOff>
          <xdr:row>3</xdr:row>
          <xdr:rowOff>0</xdr:rowOff>
        </xdr:to>
        <xdr:sp macro="" textlink="">
          <xdr:nvSpPr>
            <xdr:cNvPr id="7169" name="Object 1" hidden="1">
              <a:extLst>
                <a:ext uri="{63B3BB69-23CF-44E3-9099-C40C66FF867C}">
                  <a14:compatExt spid="_x0000_s7169"/>
                </a:ext>
                <a:ext uri="{FF2B5EF4-FFF2-40B4-BE49-F238E27FC236}">
                  <a16:creationId xmlns:a16="http://schemas.microsoft.com/office/drawing/2014/main" id="{80E4860E-E947-470D-A23A-60F3EAD2F4DF}"/>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539750</xdr:colOff>
          <xdr:row>1</xdr:row>
          <xdr:rowOff>31750</xdr:rowOff>
        </xdr:from>
        <xdr:to>
          <xdr:col>12</xdr:col>
          <xdr:colOff>50800</xdr:colOff>
          <xdr:row>2</xdr:row>
          <xdr:rowOff>127000</xdr:rowOff>
        </xdr:to>
        <xdr:sp macro="" textlink="">
          <xdr:nvSpPr>
            <xdr:cNvPr id="7170" name="Object 2" hidden="1">
              <a:extLst>
                <a:ext uri="{63B3BB69-23CF-44E3-9099-C40C66FF867C}">
                  <a14:compatExt spid="_x0000_s7170"/>
                </a:ext>
                <a:ext uri="{FF2B5EF4-FFF2-40B4-BE49-F238E27FC236}">
                  <a16:creationId xmlns:a16="http://schemas.microsoft.com/office/drawing/2014/main" id="{6C4C8D6D-DF53-499B-B551-55F6E12D85B6}"/>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twoCellAnchor>
    <xdr:from>
      <xdr:col>7</xdr:col>
      <xdr:colOff>463550</xdr:colOff>
      <xdr:row>36</xdr:row>
      <xdr:rowOff>50800</xdr:rowOff>
    </xdr:from>
    <xdr:to>
      <xdr:col>15</xdr:col>
      <xdr:colOff>88900</xdr:colOff>
      <xdr:row>43</xdr:row>
      <xdr:rowOff>31750</xdr:rowOff>
    </xdr:to>
    <xdr:graphicFrame macro="">
      <xdr:nvGraphicFramePr>
        <xdr:cNvPr id="7171" name="Chart 3">
          <a:extLst>
            <a:ext uri="{FF2B5EF4-FFF2-40B4-BE49-F238E27FC236}">
              <a16:creationId xmlns:a16="http://schemas.microsoft.com/office/drawing/2014/main" id="{604A9F0E-5A98-4033-A5D3-B9DAEBE134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120650</xdr:colOff>
      <xdr:row>45</xdr:row>
      <xdr:rowOff>31750</xdr:rowOff>
    </xdr:from>
    <xdr:to>
      <xdr:col>15</xdr:col>
      <xdr:colOff>469900</xdr:colOff>
      <xdr:row>50</xdr:row>
      <xdr:rowOff>0</xdr:rowOff>
    </xdr:to>
    <xdr:graphicFrame macro="">
      <xdr:nvGraphicFramePr>
        <xdr:cNvPr id="7172" name="Chart 4">
          <a:extLst>
            <a:ext uri="{FF2B5EF4-FFF2-40B4-BE49-F238E27FC236}">
              <a16:creationId xmlns:a16="http://schemas.microsoft.com/office/drawing/2014/main" id="{E7CBD7C4-18DF-4DC4-84C4-8A447BC8AA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190500</xdr:colOff>
      <xdr:row>32</xdr:row>
      <xdr:rowOff>69850</xdr:rowOff>
    </xdr:from>
    <xdr:to>
      <xdr:col>7</xdr:col>
      <xdr:colOff>355600</xdr:colOff>
      <xdr:row>54</xdr:row>
      <xdr:rowOff>82550</xdr:rowOff>
    </xdr:to>
    <xdr:graphicFrame macro="">
      <xdr:nvGraphicFramePr>
        <xdr:cNvPr id="7173" name="Chart 5">
          <a:extLst>
            <a:ext uri="{FF2B5EF4-FFF2-40B4-BE49-F238E27FC236}">
              <a16:creationId xmlns:a16="http://schemas.microsoft.com/office/drawing/2014/main" id="{8373AC79-47B3-42C3-90DD-BB4F542F25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533400</xdr:colOff>
      <xdr:row>4</xdr:row>
      <xdr:rowOff>25400</xdr:rowOff>
    </xdr:from>
    <xdr:to>
      <xdr:col>12</xdr:col>
      <xdr:colOff>355600</xdr:colOff>
      <xdr:row>13</xdr:row>
      <xdr:rowOff>76200</xdr:rowOff>
    </xdr:to>
    <xdr:graphicFrame macro="">
      <xdr:nvGraphicFramePr>
        <xdr:cNvPr id="7176" name="Chart 8">
          <a:extLst>
            <a:ext uri="{FF2B5EF4-FFF2-40B4-BE49-F238E27FC236}">
              <a16:creationId xmlns:a16="http://schemas.microsoft.com/office/drawing/2014/main" id="{15ED1CCB-7310-4DA6-A2BE-8393A66968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577850</xdr:colOff>
      <xdr:row>13</xdr:row>
      <xdr:rowOff>139700</xdr:rowOff>
    </xdr:from>
    <xdr:to>
      <xdr:col>12</xdr:col>
      <xdr:colOff>400050</xdr:colOff>
      <xdr:row>26</xdr:row>
      <xdr:rowOff>31750</xdr:rowOff>
    </xdr:to>
    <xdr:graphicFrame macro="">
      <xdr:nvGraphicFramePr>
        <xdr:cNvPr id="7177" name="Chart 9">
          <a:extLst>
            <a:ext uri="{FF2B5EF4-FFF2-40B4-BE49-F238E27FC236}">
              <a16:creationId xmlns:a16="http://schemas.microsoft.com/office/drawing/2014/main" id="{3CC9E8DB-9DA2-4F9C-B75E-7029F019B8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165100</xdr:colOff>
          <xdr:row>0</xdr:row>
          <xdr:rowOff>133350</xdr:rowOff>
        </xdr:from>
        <xdr:to>
          <xdr:col>9</xdr:col>
          <xdr:colOff>285750</xdr:colOff>
          <xdr:row>3</xdr:row>
          <xdr:rowOff>0</xdr:rowOff>
        </xdr:to>
        <xdr:sp macro="" textlink="">
          <xdr:nvSpPr>
            <xdr:cNvPr id="6145" name="Object 1" hidden="1">
              <a:extLst>
                <a:ext uri="{63B3BB69-23CF-44E3-9099-C40C66FF867C}">
                  <a14:compatExt spid="_x0000_s6145"/>
                </a:ext>
                <a:ext uri="{FF2B5EF4-FFF2-40B4-BE49-F238E27FC236}">
                  <a16:creationId xmlns:a16="http://schemas.microsoft.com/office/drawing/2014/main" id="{63F1C94E-0257-46BB-B80C-2CEDF480EE6A}"/>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539750</xdr:colOff>
          <xdr:row>1</xdr:row>
          <xdr:rowOff>31750</xdr:rowOff>
        </xdr:from>
        <xdr:to>
          <xdr:col>12</xdr:col>
          <xdr:colOff>50800</xdr:colOff>
          <xdr:row>2</xdr:row>
          <xdr:rowOff>127000</xdr:rowOff>
        </xdr:to>
        <xdr:sp macro="" textlink="">
          <xdr:nvSpPr>
            <xdr:cNvPr id="6146" name="Object 2" hidden="1">
              <a:extLst>
                <a:ext uri="{63B3BB69-23CF-44E3-9099-C40C66FF867C}">
                  <a14:compatExt spid="_x0000_s6146"/>
                </a:ext>
                <a:ext uri="{FF2B5EF4-FFF2-40B4-BE49-F238E27FC236}">
                  <a16:creationId xmlns:a16="http://schemas.microsoft.com/office/drawing/2014/main" id="{98BB8FAB-4DC8-4035-8362-2DA36922AAA7}"/>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twoCellAnchor>
    <xdr:from>
      <xdr:col>0</xdr:col>
      <xdr:colOff>400050</xdr:colOff>
      <xdr:row>30</xdr:row>
      <xdr:rowOff>0</xdr:rowOff>
    </xdr:from>
    <xdr:to>
      <xdr:col>8</xdr:col>
      <xdr:colOff>50800</xdr:colOff>
      <xdr:row>35</xdr:row>
      <xdr:rowOff>107950</xdr:rowOff>
    </xdr:to>
    <xdr:graphicFrame macro="">
      <xdr:nvGraphicFramePr>
        <xdr:cNvPr id="6147" name="Chart 3">
          <a:extLst>
            <a:ext uri="{FF2B5EF4-FFF2-40B4-BE49-F238E27FC236}">
              <a16:creationId xmlns:a16="http://schemas.microsoft.com/office/drawing/2014/main" id="{F48E0C9D-CC73-4253-BF72-11A3F26099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514350</xdr:colOff>
      <xdr:row>31</xdr:row>
      <xdr:rowOff>88900</xdr:rowOff>
    </xdr:from>
    <xdr:to>
      <xdr:col>16</xdr:col>
      <xdr:colOff>234950</xdr:colOff>
      <xdr:row>38</xdr:row>
      <xdr:rowOff>50800</xdr:rowOff>
    </xdr:to>
    <xdr:graphicFrame macro="">
      <xdr:nvGraphicFramePr>
        <xdr:cNvPr id="6148" name="Chart 4">
          <a:extLst>
            <a:ext uri="{FF2B5EF4-FFF2-40B4-BE49-F238E27FC236}">
              <a16:creationId xmlns:a16="http://schemas.microsoft.com/office/drawing/2014/main" id="{654A3948-9E88-4A33-92D7-AB5A036C86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50800</xdr:colOff>
      <xdr:row>28</xdr:row>
      <xdr:rowOff>107950</xdr:rowOff>
    </xdr:from>
    <xdr:to>
      <xdr:col>11</xdr:col>
      <xdr:colOff>190500</xdr:colOff>
      <xdr:row>50</xdr:row>
      <xdr:rowOff>127000</xdr:rowOff>
    </xdr:to>
    <xdr:graphicFrame macro="">
      <xdr:nvGraphicFramePr>
        <xdr:cNvPr id="6149" name="Chart 5">
          <a:extLst>
            <a:ext uri="{FF2B5EF4-FFF2-40B4-BE49-F238E27FC236}">
              <a16:creationId xmlns:a16="http://schemas.microsoft.com/office/drawing/2014/main" id="{E17F2CF0-E1C5-41A3-8A63-C798847076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50800</xdr:colOff>
      <xdr:row>20</xdr:row>
      <xdr:rowOff>82550</xdr:rowOff>
    </xdr:from>
    <xdr:to>
      <xdr:col>11</xdr:col>
      <xdr:colOff>508000</xdr:colOff>
      <xdr:row>34</xdr:row>
      <xdr:rowOff>133350</xdr:rowOff>
    </xdr:to>
    <xdr:graphicFrame macro="">
      <xdr:nvGraphicFramePr>
        <xdr:cNvPr id="6154" name="Chart 10">
          <a:extLst>
            <a:ext uri="{FF2B5EF4-FFF2-40B4-BE49-F238E27FC236}">
              <a16:creationId xmlns:a16="http://schemas.microsoft.com/office/drawing/2014/main" id="{695EB4B3-FAD4-41B3-B977-273A9EADC2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165100</xdr:colOff>
          <xdr:row>0</xdr:row>
          <xdr:rowOff>133350</xdr:rowOff>
        </xdr:from>
        <xdr:to>
          <xdr:col>9</xdr:col>
          <xdr:colOff>285750</xdr:colOff>
          <xdr:row>3</xdr:row>
          <xdr:rowOff>0</xdr:rowOff>
        </xdr:to>
        <xdr:sp macro="" textlink="">
          <xdr:nvSpPr>
            <xdr:cNvPr id="5121" name="Object 1" hidden="1">
              <a:extLst>
                <a:ext uri="{63B3BB69-23CF-44E3-9099-C40C66FF867C}">
                  <a14:compatExt spid="_x0000_s5121"/>
                </a:ext>
                <a:ext uri="{FF2B5EF4-FFF2-40B4-BE49-F238E27FC236}">
                  <a16:creationId xmlns:a16="http://schemas.microsoft.com/office/drawing/2014/main" id="{6C865983-7760-44D9-9C33-4867333F1C29}"/>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539750</xdr:colOff>
          <xdr:row>1</xdr:row>
          <xdr:rowOff>31750</xdr:rowOff>
        </xdr:from>
        <xdr:to>
          <xdr:col>12</xdr:col>
          <xdr:colOff>50800</xdr:colOff>
          <xdr:row>2</xdr:row>
          <xdr:rowOff>127000</xdr:rowOff>
        </xdr:to>
        <xdr:sp macro="" textlink="">
          <xdr:nvSpPr>
            <xdr:cNvPr id="5122" name="Object 2" hidden="1">
              <a:extLst>
                <a:ext uri="{63B3BB69-23CF-44E3-9099-C40C66FF867C}">
                  <a14:compatExt spid="_x0000_s5122"/>
                </a:ext>
                <a:ext uri="{FF2B5EF4-FFF2-40B4-BE49-F238E27FC236}">
                  <a16:creationId xmlns:a16="http://schemas.microsoft.com/office/drawing/2014/main" id="{7CA782FF-E675-4B1E-B278-2B8801981FFD}"/>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twoCellAnchor>
    <xdr:from>
      <xdr:col>4</xdr:col>
      <xdr:colOff>114300</xdr:colOff>
      <xdr:row>36</xdr:row>
      <xdr:rowOff>6350</xdr:rowOff>
    </xdr:from>
    <xdr:to>
      <xdr:col>11</xdr:col>
      <xdr:colOff>488950</xdr:colOff>
      <xdr:row>44</xdr:row>
      <xdr:rowOff>76200</xdr:rowOff>
    </xdr:to>
    <xdr:graphicFrame macro="">
      <xdr:nvGraphicFramePr>
        <xdr:cNvPr id="5123" name="Chart 3">
          <a:extLst>
            <a:ext uri="{FF2B5EF4-FFF2-40B4-BE49-F238E27FC236}">
              <a16:creationId xmlns:a16="http://schemas.microsoft.com/office/drawing/2014/main" id="{875EA96F-382B-4603-85BB-E8D4704DFA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165100</xdr:colOff>
      <xdr:row>36</xdr:row>
      <xdr:rowOff>152400</xdr:rowOff>
    </xdr:from>
    <xdr:to>
      <xdr:col>7</xdr:col>
      <xdr:colOff>584200</xdr:colOff>
      <xdr:row>44</xdr:row>
      <xdr:rowOff>127000</xdr:rowOff>
    </xdr:to>
    <xdr:graphicFrame macro="">
      <xdr:nvGraphicFramePr>
        <xdr:cNvPr id="5124" name="Chart 4">
          <a:extLst>
            <a:ext uri="{FF2B5EF4-FFF2-40B4-BE49-F238E27FC236}">
              <a16:creationId xmlns:a16="http://schemas.microsoft.com/office/drawing/2014/main" id="{C36127CA-0588-4AC0-9B8E-ACB1AA79E8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285750</xdr:colOff>
      <xdr:row>45</xdr:row>
      <xdr:rowOff>88900</xdr:rowOff>
    </xdr:from>
    <xdr:to>
      <xdr:col>11</xdr:col>
      <xdr:colOff>482600</xdr:colOff>
      <xdr:row>51</xdr:row>
      <xdr:rowOff>127000</xdr:rowOff>
    </xdr:to>
    <xdr:graphicFrame macro="">
      <xdr:nvGraphicFramePr>
        <xdr:cNvPr id="5125" name="Chart 5">
          <a:extLst>
            <a:ext uri="{FF2B5EF4-FFF2-40B4-BE49-F238E27FC236}">
              <a16:creationId xmlns:a16="http://schemas.microsoft.com/office/drawing/2014/main" id="{3E39ABAA-022B-481C-96D3-75952F53F8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533400</xdr:colOff>
      <xdr:row>4</xdr:row>
      <xdr:rowOff>25400</xdr:rowOff>
    </xdr:from>
    <xdr:to>
      <xdr:col>12</xdr:col>
      <xdr:colOff>355600</xdr:colOff>
      <xdr:row>13</xdr:row>
      <xdr:rowOff>76200</xdr:rowOff>
    </xdr:to>
    <xdr:graphicFrame macro="">
      <xdr:nvGraphicFramePr>
        <xdr:cNvPr id="5128" name="Chart 8">
          <a:extLst>
            <a:ext uri="{FF2B5EF4-FFF2-40B4-BE49-F238E27FC236}">
              <a16:creationId xmlns:a16="http://schemas.microsoft.com/office/drawing/2014/main" id="{1D536EB6-A06B-4CA7-B062-2AA60BD310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577850</xdr:colOff>
      <xdr:row>13</xdr:row>
      <xdr:rowOff>139700</xdr:rowOff>
    </xdr:from>
    <xdr:to>
      <xdr:col>12</xdr:col>
      <xdr:colOff>400050</xdr:colOff>
      <xdr:row>28</xdr:row>
      <xdr:rowOff>31750</xdr:rowOff>
    </xdr:to>
    <xdr:graphicFrame macro="">
      <xdr:nvGraphicFramePr>
        <xdr:cNvPr id="5129" name="Chart 9">
          <a:extLst>
            <a:ext uri="{FF2B5EF4-FFF2-40B4-BE49-F238E27FC236}">
              <a16:creationId xmlns:a16="http://schemas.microsoft.com/office/drawing/2014/main" id="{5964AE87-340C-448B-81B2-884A43DB58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165100</xdr:colOff>
          <xdr:row>0</xdr:row>
          <xdr:rowOff>133350</xdr:rowOff>
        </xdr:from>
        <xdr:to>
          <xdr:col>9</xdr:col>
          <xdr:colOff>285750</xdr:colOff>
          <xdr:row>3</xdr:row>
          <xdr:rowOff>0</xdr:rowOff>
        </xdr:to>
        <xdr:sp macro="" textlink="">
          <xdr:nvSpPr>
            <xdr:cNvPr id="4097" name="Object 1" hidden="1">
              <a:extLst>
                <a:ext uri="{63B3BB69-23CF-44E3-9099-C40C66FF867C}">
                  <a14:compatExt spid="_x0000_s4097"/>
                </a:ext>
                <a:ext uri="{FF2B5EF4-FFF2-40B4-BE49-F238E27FC236}">
                  <a16:creationId xmlns:a16="http://schemas.microsoft.com/office/drawing/2014/main" id="{86151C5B-5B71-416C-8840-5C6796AEAB4B}"/>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539750</xdr:colOff>
          <xdr:row>1</xdr:row>
          <xdr:rowOff>31750</xdr:rowOff>
        </xdr:from>
        <xdr:to>
          <xdr:col>12</xdr:col>
          <xdr:colOff>50800</xdr:colOff>
          <xdr:row>2</xdr:row>
          <xdr:rowOff>127000</xdr:rowOff>
        </xdr:to>
        <xdr:sp macro="" textlink="">
          <xdr:nvSpPr>
            <xdr:cNvPr id="4098" name="Object 2" hidden="1">
              <a:extLst>
                <a:ext uri="{63B3BB69-23CF-44E3-9099-C40C66FF867C}">
                  <a14:compatExt spid="_x0000_s4098"/>
                </a:ext>
                <a:ext uri="{FF2B5EF4-FFF2-40B4-BE49-F238E27FC236}">
                  <a16:creationId xmlns:a16="http://schemas.microsoft.com/office/drawing/2014/main" id="{376D7C01-497A-4187-9725-D5E9C7DB6B33}"/>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twoCellAnchor>
    <xdr:from>
      <xdr:col>4</xdr:col>
      <xdr:colOff>165100</xdr:colOff>
      <xdr:row>34</xdr:row>
      <xdr:rowOff>101600</xdr:rowOff>
    </xdr:from>
    <xdr:to>
      <xdr:col>11</xdr:col>
      <xdr:colOff>425450</xdr:colOff>
      <xdr:row>45</xdr:row>
      <xdr:rowOff>6350</xdr:rowOff>
    </xdr:to>
    <xdr:graphicFrame macro="">
      <xdr:nvGraphicFramePr>
        <xdr:cNvPr id="4099" name="Chart 3">
          <a:extLst>
            <a:ext uri="{FF2B5EF4-FFF2-40B4-BE49-F238E27FC236}">
              <a16:creationId xmlns:a16="http://schemas.microsoft.com/office/drawing/2014/main" id="{54C76C59-B9D3-4B3C-BA1B-192E6CEEAF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114300</xdr:colOff>
      <xdr:row>42</xdr:row>
      <xdr:rowOff>82550</xdr:rowOff>
    </xdr:from>
    <xdr:to>
      <xdr:col>14</xdr:col>
      <xdr:colOff>463550</xdr:colOff>
      <xdr:row>57</xdr:row>
      <xdr:rowOff>6350</xdr:rowOff>
    </xdr:to>
    <xdr:graphicFrame macro="">
      <xdr:nvGraphicFramePr>
        <xdr:cNvPr id="4100" name="Chart 4">
          <a:extLst>
            <a:ext uri="{FF2B5EF4-FFF2-40B4-BE49-F238E27FC236}">
              <a16:creationId xmlns:a16="http://schemas.microsoft.com/office/drawing/2014/main" id="{52D49BD8-A356-428A-B93C-7F98A91EC7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146050</xdr:colOff>
      <xdr:row>47</xdr:row>
      <xdr:rowOff>31750</xdr:rowOff>
    </xdr:from>
    <xdr:to>
      <xdr:col>7</xdr:col>
      <xdr:colOff>323850</xdr:colOff>
      <xdr:row>69</xdr:row>
      <xdr:rowOff>57150</xdr:rowOff>
    </xdr:to>
    <xdr:graphicFrame macro="">
      <xdr:nvGraphicFramePr>
        <xdr:cNvPr id="4101" name="Chart 5">
          <a:extLst>
            <a:ext uri="{FF2B5EF4-FFF2-40B4-BE49-F238E27FC236}">
              <a16:creationId xmlns:a16="http://schemas.microsoft.com/office/drawing/2014/main" id="{04971167-2587-4071-8FCE-D084A3097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533400</xdr:colOff>
      <xdr:row>4</xdr:row>
      <xdr:rowOff>25400</xdr:rowOff>
    </xdr:from>
    <xdr:to>
      <xdr:col>12</xdr:col>
      <xdr:colOff>355600</xdr:colOff>
      <xdr:row>13</xdr:row>
      <xdr:rowOff>76200</xdr:rowOff>
    </xdr:to>
    <xdr:graphicFrame macro="">
      <xdr:nvGraphicFramePr>
        <xdr:cNvPr id="4102" name="Chart 6">
          <a:extLst>
            <a:ext uri="{FF2B5EF4-FFF2-40B4-BE49-F238E27FC236}">
              <a16:creationId xmlns:a16="http://schemas.microsoft.com/office/drawing/2014/main" id="{69B6D386-0BB2-4E24-8394-BA03BDAFB7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577850</xdr:colOff>
      <xdr:row>13</xdr:row>
      <xdr:rowOff>139700</xdr:rowOff>
    </xdr:from>
    <xdr:to>
      <xdr:col>12</xdr:col>
      <xdr:colOff>400050</xdr:colOff>
      <xdr:row>28</xdr:row>
      <xdr:rowOff>31750</xdr:rowOff>
    </xdr:to>
    <xdr:graphicFrame macro="">
      <xdr:nvGraphicFramePr>
        <xdr:cNvPr id="4103" name="Chart 7">
          <a:extLst>
            <a:ext uri="{FF2B5EF4-FFF2-40B4-BE49-F238E27FC236}">
              <a16:creationId xmlns:a16="http://schemas.microsoft.com/office/drawing/2014/main" id="{3D812766-98AB-4AD0-BD12-D1B92A3124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165100</xdr:colOff>
          <xdr:row>0</xdr:row>
          <xdr:rowOff>133350</xdr:rowOff>
        </xdr:from>
        <xdr:to>
          <xdr:col>9</xdr:col>
          <xdr:colOff>285750</xdr:colOff>
          <xdr:row>3</xdr:row>
          <xdr:rowOff>0</xdr:rowOff>
        </xdr:to>
        <xdr:sp macro="" textlink="">
          <xdr:nvSpPr>
            <xdr:cNvPr id="3073" name="Object 1" hidden="1">
              <a:extLst>
                <a:ext uri="{63B3BB69-23CF-44E3-9099-C40C66FF867C}">
                  <a14:compatExt spid="_x0000_s3073"/>
                </a:ext>
                <a:ext uri="{FF2B5EF4-FFF2-40B4-BE49-F238E27FC236}">
                  <a16:creationId xmlns:a16="http://schemas.microsoft.com/office/drawing/2014/main" id="{9CF73AA3-760C-4E85-8E14-EB1379FA5516}"/>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539750</xdr:colOff>
          <xdr:row>1</xdr:row>
          <xdr:rowOff>31750</xdr:rowOff>
        </xdr:from>
        <xdr:to>
          <xdr:col>12</xdr:col>
          <xdr:colOff>50800</xdr:colOff>
          <xdr:row>2</xdr:row>
          <xdr:rowOff>127000</xdr:rowOff>
        </xdr:to>
        <xdr:sp macro="" textlink="">
          <xdr:nvSpPr>
            <xdr:cNvPr id="3074" name="Object 2" hidden="1">
              <a:extLst>
                <a:ext uri="{63B3BB69-23CF-44E3-9099-C40C66FF867C}">
                  <a14:compatExt spid="_x0000_s3074"/>
                </a:ext>
                <a:ext uri="{FF2B5EF4-FFF2-40B4-BE49-F238E27FC236}">
                  <a16:creationId xmlns:a16="http://schemas.microsoft.com/office/drawing/2014/main" id="{1BCF7180-091B-4CD4-895F-79478F04B02F}"/>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165100</xdr:colOff>
          <xdr:row>0</xdr:row>
          <xdr:rowOff>133350</xdr:rowOff>
        </xdr:from>
        <xdr:to>
          <xdr:col>9</xdr:col>
          <xdr:colOff>285750</xdr:colOff>
          <xdr:row>3</xdr:row>
          <xdr:rowOff>0</xdr:rowOff>
        </xdr:to>
        <xdr:sp macro="" textlink="">
          <xdr:nvSpPr>
            <xdr:cNvPr id="3075" name="Object 3" hidden="1">
              <a:extLst>
                <a:ext uri="{63B3BB69-23CF-44E3-9099-C40C66FF867C}">
                  <a14:compatExt spid="_x0000_s3075"/>
                </a:ext>
                <a:ext uri="{FF2B5EF4-FFF2-40B4-BE49-F238E27FC236}">
                  <a16:creationId xmlns:a16="http://schemas.microsoft.com/office/drawing/2014/main" id="{57C8EBD1-6322-4A99-9881-FD1EB9AD75B1}"/>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539750</xdr:colOff>
          <xdr:row>1</xdr:row>
          <xdr:rowOff>31750</xdr:rowOff>
        </xdr:from>
        <xdr:to>
          <xdr:col>12</xdr:col>
          <xdr:colOff>50800</xdr:colOff>
          <xdr:row>2</xdr:row>
          <xdr:rowOff>127000</xdr:rowOff>
        </xdr:to>
        <xdr:sp macro="" textlink="">
          <xdr:nvSpPr>
            <xdr:cNvPr id="3076" name="Object 4" hidden="1">
              <a:extLst>
                <a:ext uri="{63B3BB69-23CF-44E3-9099-C40C66FF867C}">
                  <a14:compatExt spid="_x0000_s3076"/>
                </a:ext>
                <a:ext uri="{FF2B5EF4-FFF2-40B4-BE49-F238E27FC236}">
                  <a16:creationId xmlns:a16="http://schemas.microsoft.com/office/drawing/2014/main" id="{4F8A1909-3594-4F47-AA21-1D8F55A73AD8}"/>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twoCellAnchor>
    <xdr:from>
      <xdr:col>4</xdr:col>
      <xdr:colOff>25400</xdr:colOff>
      <xdr:row>36</xdr:row>
      <xdr:rowOff>31750</xdr:rowOff>
    </xdr:from>
    <xdr:to>
      <xdr:col>10</xdr:col>
      <xdr:colOff>482600</xdr:colOff>
      <xdr:row>43</xdr:row>
      <xdr:rowOff>139700</xdr:rowOff>
    </xdr:to>
    <xdr:graphicFrame macro="">
      <xdr:nvGraphicFramePr>
        <xdr:cNvPr id="3077" name="Chart 5">
          <a:extLst>
            <a:ext uri="{FF2B5EF4-FFF2-40B4-BE49-F238E27FC236}">
              <a16:creationId xmlns:a16="http://schemas.microsoft.com/office/drawing/2014/main" id="{0F5A4927-BF7A-4BA6-9523-DD699A0009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44450</xdr:colOff>
      <xdr:row>43</xdr:row>
      <xdr:rowOff>139700</xdr:rowOff>
    </xdr:from>
    <xdr:to>
      <xdr:col>10</xdr:col>
      <xdr:colOff>584200</xdr:colOff>
      <xdr:row>51</xdr:row>
      <xdr:rowOff>25400</xdr:rowOff>
    </xdr:to>
    <xdr:graphicFrame macro="">
      <xdr:nvGraphicFramePr>
        <xdr:cNvPr id="3078" name="Chart 6">
          <a:extLst>
            <a:ext uri="{FF2B5EF4-FFF2-40B4-BE49-F238E27FC236}">
              <a16:creationId xmlns:a16="http://schemas.microsoft.com/office/drawing/2014/main" id="{70049BDB-8A8E-4928-9713-2116FD6303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114300</xdr:colOff>
      <xdr:row>51</xdr:row>
      <xdr:rowOff>50800</xdr:rowOff>
    </xdr:from>
    <xdr:to>
      <xdr:col>11</xdr:col>
      <xdr:colOff>44450</xdr:colOff>
      <xdr:row>62</xdr:row>
      <xdr:rowOff>76200</xdr:rowOff>
    </xdr:to>
    <xdr:graphicFrame macro="">
      <xdr:nvGraphicFramePr>
        <xdr:cNvPr id="3079" name="Chart 7">
          <a:extLst>
            <a:ext uri="{FF2B5EF4-FFF2-40B4-BE49-F238E27FC236}">
              <a16:creationId xmlns:a16="http://schemas.microsoft.com/office/drawing/2014/main" id="{0F575BD2-72B4-4142-A00B-34BB54F23A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533400</xdr:colOff>
      <xdr:row>4</xdr:row>
      <xdr:rowOff>25400</xdr:rowOff>
    </xdr:from>
    <xdr:to>
      <xdr:col>12</xdr:col>
      <xdr:colOff>355600</xdr:colOff>
      <xdr:row>13</xdr:row>
      <xdr:rowOff>76200</xdr:rowOff>
    </xdr:to>
    <xdr:graphicFrame macro="">
      <xdr:nvGraphicFramePr>
        <xdr:cNvPr id="3080" name="Chart 8">
          <a:extLst>
            <a:ext uri="{FF2B5EF4-FFF2-40B4-BE49-F238E27FC236}">
              <a16:creationId xmlns:a16="http://schemas.microsoft.com/office/drawing/2014/main" id="{D6825D26-3746-4503-9EC4-6B8465599B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577850</xdr:colOff>
      <xdr:row>13</xdr:row>
      <xdr:rowOff>139700</xdr:rowOff>
    </xdr:from>
    <xdr:to>
      <xdr:col>12</xdr:col>
      <xdr:colOff>400050</xdr:colOff>
      <xdr:row>26</xdr:row>
      <xdr:rowOff>361950</xdr:rowOff>
    </xdr:to>
    <xdr:graphicFrame macro="">
      <xdr:nvGraphicFramePr>
        <xdr:cNvPr id="3081" name="Chart 9">
          <a:extLst>
            <a:ext uri="{FF2B5EF4-FFF2-40B4-BE49-F238E27FC236}">
              <a16:creationId xmlns:a16="http://schemas.microsoft.com/office/drawing/2014/main" id="{4E1740EA-67DE-4627-B5C7-2219AE1400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165100</xdr:colOff>
          <xdr:row>0</xdr:row>
          <xdr:rowOff>133350</xdr:rowOff>
        </xdr:from>
        <xdr:to>
          <xdr:col>9</xdr:col>
          <xdr:colOff>285750</xdr:colOff>
          <xdr:row>3</xdr:row>
          <xdr:rowOff>0</xdr:rowOff>
        </xdr:to>
        <xdr:sp macro="" textlink="">
          <xdr:nvSpPr>
            <xdr:cNvPr id="2049" name="Object 1" hidden="1">
              <a:extLst>
                <a:ext uri="{63B3BB69-23CF-44E3-9099-C40C66FF867C}">
                  <a14:compatExt spid="_x0000_s2049"/>
                </a:ext>
                <a:ext uri="{FF2B5EF4-FFF2-40B4-BE49-F238E27FC236}">
                  <a16:creationId xmlns:a16="http://schemas.microsoft.com/office/drawing/2014/main" id="{7CC50D25-9816-42EE-BF20-F73E0D8F0868}"/>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539750</xdr:colOff>
          <xdr:row>1</xdr:row>
          <xdr:rowOff>31750</xdr:rowOff>
        </xdr:from>
        <xdr:to>
          <xdr:col>12</xdr:col>
          <xdr:colOff>50800</xdr:colOff>
          <xdr:row>2</xdr:row>
          <xdr:rowOff>127000</xdr:rowOff>
        </xdr:to>
        <xdr:sp macro="" textlink="">
          <xdr:nvSpPr>
            <xdr:cNvPr id="2050" name="Object 2" hidden="1">
              <a:extLst>
                <a:ext uri="{63B3BB69-23CF-44E3-9099-C40C66FF867C}">
                  <a14:compatExt spid="_x0000_s2050"/>
                </a:ext>
                <a:ext uri="{FF2B5EF4-FFF2-40B4-BE49-F238E27FC236}">
                  <a16:creationId xmlns:a16="http://schemas.microsoft.com/office/drawing/2014/main" id="{9A642BDA-3A7B-443E-BAF6-4AC06D170D3F}"/>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twoCellAnchor>
    <xdr:from>
      <xdr:col>2</xdr:col>
      <xdr:colOff>444500</xdr:colOff>
      <xdr:row>101</xdr:row>
      <xdr:rowOff>107950</xdr:rowOff>
    </xdr:from>
    <xdr:to>
      <xdr:col>9</xdr:col>
      <xdr:colOff>298450</xdr:colOff>
      <xdr:row>109</xdr:row>
      <xdr:rowOff>152400</xdr:rowOff>
    </xdr:to>
    <xdr:graphicFrame macro="">
      <xdr:nvGraphicFramePr>
        <xdr:cNvPr id="2051" name="Chart 3">
          <a:extLst>
            <a:ext uri="{FF2B5EF4-FFF2-40B4-BE49-F238E27FC236}">
              <a16:creationId xmlns:a16="http://schemas.microsoft.com/office/drawing/2014/main" id="{B55132B7-3A89-4FC6-9F05-9CCB687395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228600</xdr:colOff>
      <xdr:row>80</xdr:row>
      <xdr:rowOff>0</xdr:rowOff>
    </xdr:from>
    <xdr:to>
      <xdr:col>11</xdr:col>
      <xdr:colOff>63500</xdr:colOff>
      <xdr:row>80</xdr:row>
      <xdr:rowOff>0</xdr:rowOff>
    </xdr:to>
    <xdr:graphicFrame macro="">
      <xdr:nvGraphicFramePr>
        <xdr:cNvPr id="2052" name="Chart 4">
          <a:extLst>
            <a:ext uri="{FF2B5EF4-FFF2-40B4-BE49-F238E27FC236}">
              <a16:creationId xmlns:a16="http://schemas.microsoft.com/office/drawing/2014/main" id="{DE5BBB28-40C1-4BAA-9D1A-BE80CA8B1E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419100</xdr:colOff>
      <xdr:row>98</xdr:row>
      <xdr:rowOff>0</xdr:rowOff>
    </xdr:from>
    <xdr:to>
      <xdr:col>7</xdr:col>
      <xdr:colOff>279400</xdr:colOff>
      <xdr:row>103</xdr:row>
      <xdr:rowOff>76200</xdr:rowOff>
    </xdr:to>
    <xdr:graphicFrame macro="">
      <xdr:nvGraphicFramePr>
        <xdr:cNvPr id="2053" name="Chart 5">
          <a:extLst>
            <a:ext uri="{FF2B5EF4-FFF2-40B4-BE49-F238E27FC236}">
              <a16:creationId xmlns:a16="http://schemas.microsoft.com/office/drawing/2014/main" id="{707C9513-9BA7-4E09-AB45-FE687A4C83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99</xdr:row>
      <xdr:rowOff>0</xdr:rowOff>
    </xdr:from>
    <xdr:to>
      <xdr:col>11</xdr:col>
      <xdr:colOff>558800</xdr:colOff>
      <xdr:row>106</xdr:row>
      <xdr:rowOff>50800</xdr:rowOff>
    </xdr:to>
    <xdr:graphicFrame macro="">
      <xdr:nvGraphicFramePr>
        <xdr:cNvPr id="2054" name="Chart 6">
          <a:extLst>
            <a:ext uri="{FF2B5EF4-FFF2-40B4-BE49-F238E27FC236}">
              <a16:creationId xmlns:a16="http://schemas.microsoft.com/office/drawing/2014/main" id="{56A5B9A0-4905-4637-AEEB-296D447C95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76200</xdr:colOff>
      <xdr:row>6</xdr:row>
      <xdr:rowOff>69850</xdr:rowOff>
    </xdr:from>
    <xdr:to>
      <xdr:col>22</xdr:col>
      <xdr:colOff>558800</xdr:colOff>
      <xdr:row>20</xdr:row>
      <xdr:rowOff>127000</xdr:rowOff>
    </xdr:to>
    <xdr:graphicFrame macro="">
      <xdr:nvGraphicFramePr>
        <xdr:cNvPr id="2055" name="Chart 7">
          <a:extLst>
            <a:ext uri="{FF2B5EF4-FFF2-40B4-BE49-F238E27FC236}">
              <a16:creationId xmlns:a16="http://schemas.microsoft.com/office/drawing/2014/main" id="{BFEEEECB-E5EB-4B84-A10C-74C3D8DAB1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577850</xdr:colOff>
      <xdr:row>13</xdr:row>
      <xdr:rowOff>139700</xdr:rowOff>
    </xdr:from>
    <xdr:to>
      <xdr:col>12</xdr:col>
      <xdr:colOff>400050</xdr:colOff>
      <xdr:row>28</xdr:row>
      <xdr:rowOff>31750</xdr:rowOff>
    </xdr:to>
    <xdr:graphicFrame macro="">
      <xdr:nvGraphicFramePr>
        <xdr:cNvPr id="2056" name="Chart 8">
          <a:extLst>
            <a:ext uri="{FF2B5EF4-FFF2-40B4-BE49-F238E27FC236}">
              <a16:creationId xmlns:a16="http://schemas.microsoft.com/office/drawing/2014/main" id="{9F04F267-E9FC-4FC9-8D57-003E8A99A6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165100</xdr:colOff>
          <xdr:row>0</xdr:row>
          <xdr:rowOff>133350</xdr:rowOff>
        </xdr:from>
        <xdr:to>
          <xdr:col>9</xdr:col>
          <xdr:colOff>285750</xdr:colOff>
          <xdr:row>3</xdr:row>
          <xdr:rowOff>0</xdr:rowOff>
        </xdr:to>
        <xdr:sp macro="" textlink="">
          <xdr:nvSpPr>
            <xdr:cNvPr id="1027" name="Object 3" hidden="1">
              <a:extLst>
                <a:ext uri="{63B3BB69-23CF-44E3-9099-C40C66FF867C}">
                  <a14:compatExt spid="_x0000_s1027"/>
                </a:ext>
                <a:ext uri="{FF2B5EF4-FFF2-40B4-BE49-F238E27FC236}">
                  <a16:creationId xmlns:a16="http://schemas.microsoft.com/office/drawing/2014/main" id="{9E570A73-6990-4D91-90B5-6BC9808B2A61}"/>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539750</xdr:colOff>
          <xdr:row>1</xdr:row>
          <xdr:rowOff>31750</xdr:rowOff>
        </xdr:from>
        <xdr:to>
          <xdr:col>12</xdr:col>
          <xdr:colOff>50800</xdr:colOff>
          <xdr:row>2</xdr:row>
          <xdr:rowOff>127000</xdr:rowOff>
        </xdr:to>
        <xdr:sp macro="" textlink="">
          <xdr:nvSpPr>
            <xdr:cNvPr id="1028" name="Object 4" hidden="1">
              <a:extLst>
                <a:ext uri="{63B3BB69-23CF-44E3-9099-C40C66FF867C}">
                  <a14:compatExt spid="_x0000_s1028"/>
                </a:ext>
                <a:ext uri="{FF2B5EF4-FFF2-40B4-BE49-F238E27FC236}">
                  <a16:creationId xmlns:a16="http://schemas.microsoft.com/office/drawing/2014/main" id="{4AA6316C-17AB-4C14-84F2-ADAD2347882B}"/>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twoCellAnchor>
    <xdr:from>
      <xdr:col>7</xdr:col>
      <xdr:colOff>609600</xdr:colOff>
      <xdr:row>57</xdr:row>
      <xdr:rowOff>0</xdr:rowOff>
    </xdr:from>
    <xdr:to>
      <xdr:col>14</xdr:col>
      <xdr:colOff>438150</xdr:colOff>
      <xdr:row>63</xdr:row>
      <xdr:rowOff>107950</xdr:rowOff>
    </xdr:to>
    <xdr:graphicFrame macro="">
      <xdr:nvGraphicFramePr>
        <xdr:cNvPr id="1029" name="Chart 5">
          <a:extLst>
            <a:ext uri="{FF2B5EF4-FFF2-40B4-BE49-F238E27FC236}">
              <a16:creationId xmlns:a16="http://schemas.microsoft.com/office/drawing/2014/main" id="{0D5DDCE9-4CAF-405E-B183-16847ADA71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114300</xdr:colOff>
      <xdr:row>56</xdr:row>
      <xdr:rowOff>57150</xdr:rowOff>
    </xdr:from>
    <xdr:to>
      <xdr:col>7</xdr:col>
      <xdr:colOff>584200</xdr:colOff>
      <xdr:row>69</xdr:row>
      <xdr:rowOff>0</xdr:rowOff>
    </xdr:to>
    <xdr:graphicFrame macro="">
      <xdr:nvGraphicFramePr>
        <xdr:cNvPr id="1030" name="Chart 6">
          <a:extLst>
            <a:ext uri="{FF2B5EF4-FFF2-40B4-BE49-F238E27FC236}">
              <a16:creationId xmlns:a16="http://schemas.microsoft.com/office/drawing/2014/main" id="{4AA3D515-C873-426E-91DC-F8B1AF3CFD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393700</xdr:colOff>
      <xdr:row>66</xdr:row>
      <xdr:rowOff>6350</xdr:rowOff>
    </xdr:from>
    <xdr:to>
      <xdr:col>14</xdr:col>
      <xdr:colOff>228600</xdr:colOff>
      <xdr:row>71</xdr:row>
      <xdr:rowOff>6350</xdr:rowOff>
    </xdr:to>
    <xdr:graphicFrame macro="">
      <xdr:nvGraphicFramePr>
        <xdr:cNvPr id="1031" name="Chart 7">
          <a:extLst>
            <a:ext uri="{FF2B5EF4-FFF2-40B4-BE49-F238E27FC236}">
              <a16:creationId xmlns:a16="http://schemas.microsoft.com/office/drawing/2014/main" id="{EB3F94C0-62B2-48B8-8911-A2C5C3CB45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533400</xdr:colOff>
      <xdr:row>4</xdr:row>
      <xdr:rowOff>25400</xdr:rowOff>
    </xdr:from>
    <xdr:to>
      <xdr:col>12</xdr:col>
      <xdr:colOff>355600</xdr:colOff>
      <xdr:row>13</xdr:row>
      <xdr:rowOff>76200</xdr:rowOff>
    </xdr:to>
    <xdr:graphicFrame macro="">
      <xdr:nvGraphicFramePr>
        <xdr:cNvPr id="1032" name="Chart 8">
          <a:extLst>
            <a:ext uri="{FF2B5EF4-FFF2-40B4-BE49-F238E27FC236}">
              <a16:creationId xmlns:a16="http://schemas.microsoft.com/office/drawing/2014/main" id="{51D3B14B-FBE0-45B9-8373-B88C814734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577850</xdr:colOff>
      <xdr:row>13</xdr:row>
      <xdr:rowOff>139700</xdr:rowOff>
    </xdr:from>
    <xdr:to>
      <xdr:col>12</xdr:col>
      <xdr:colOff>400050</xdr:colOff>
      <xdr:row>28</xdr:row>
      <xdr:rowOff>31750</xdr:rowOff>
    </xdr:to>
    <xdr:graphicFrame macro="">
      <xdr:nvGraphicFramePr>
        <xdr:cNvPr id="1033" name="Chart 9">
          <a:extLst>
            <a:ext uri="{FF2B5EF4-FFF2-40B4-BE49-F238E27FC236}">
              <a16:creationId xmlns:a16="http://schemas.microsoft.com/office/drawing/2014/main" id="{008D9979-34E1-491F-883B-B089EE9852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oleObject" Target="../embeddings/oleObject3.bin"/><Relationship Id="rId3" Type="http://schemas.openxmlformats.org/officeDocument/2006/relationships/vmlDrawing" Target="../drawings/vmlDrawing1.vml"/><Relationship Id="rId7" Type="http://schemas.openxmlformats.org/officeDocument/2006/relationships/image" Target="../media/image2.emf"/><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oleObject" Target="../embeddings/oleObject2.bin"/><Relationship Id="rId5" Type="http://schemas.openxmlformats.org/officeDocument/2006/relationships/image" Target="../media/image1.emf"/><Relationship Id="rId4" Type="http://schemas.openxmlformats.org/officeDocument/2006/relationships/oleObject" Target="../embeddings/oleObject1.bin"/><Relationship Id="rId9" Type="http://schemas.openxmlformats.org/officeDocument/2006/relationships/oleObject" Target="../embeddings/oleObject4.bin"/></Relationships>
</file>

<file path=xl/worksheets/_rels/sheet3.xml.rels><?xml version="1.0" encoding="UTF-8" standalone="yes"?>
<Relationships xmlns="http://schemas.openxmlformats.org/package/2006/relationships"><Relationship Id="rId8" Type="http://schemas.openxmlformats.org/officeDocument/2006/relationships/oleObject" Target="../embeddings/oleObject7.bin"/><Relationship Id="rId3" Type="http://schemas.openxmlformats.org/officeDocument/2006/relationships/vmlDrawing" Target="../drawings/vmlDrawing2.vml"/><Relationship Id="rId7" Type="http://schemas.openxmlformats.org/officeDocument/2006/relationships/image" Target="../media/image2.emf"/><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openxmlformats.org/officeDocument/2006/relationships/oleObject" Target="../embeddings/oleObject6.bin"/><Relationship Id="rId5" Type="http://schemas.openxmlformats.org/officeDocument/2006/relationships/image" Target="../media/image1.emf"/><Relationship Id="rId4" Type="http://schemas.openxmlformats.org/officeDocument/2006/relationships/oleObject" Target="../embeddings/oleObject5.bin"/><Relationship Id="rId9" Type="http://schemas.openxmlformats.org/officeDocument/2006/relationships/oleObject" Target="../embeddings/oleObject8.bin"/></Relationships>
</file>

<file path=xl/worksheets/_rels/sheet4.xml.rels><?xml version="1.0" encoding="UTF-8" standalone="yes"?>
<Relationships xmlns="http://schemas.openxmlformats.org/package/2006/relationships"><Relationship Id="rId8" Type="http://schemas.openxmlformats.org/officeDocument/2006/relationships/oleObject" Target="../embeddings/oleObject11.bin"/><Relationship Id="rId3" Type="http://schemas.openxmlformats.org/officeDocument/2006/relationships/vmlDrawing" Target="../drawings/vmlDrawing3.vml"/><Relationship Id="rId7" Type="http://schemas.openxmlformats.org/officeDocument/2006/relationships/image" Target="../media/image2.emf"/><Relationship Id="rId2" Type="http://schemas.openxmlformats.org/officeDocument/2006/relationships/drawing" Target="../drawings/drawing4.xml"/><Relationship Id="rId1" Type="http://schemas.openxmlformats.org/officeDocument/2006/relationships/printerSettings" Target="../printerSettings/printerSettings4.bin"/><Relationship Id="rId6" Type="http://schemas.openxmlformats.org/officeDocument/2006/relationships/oleObject" Target="../embeddings/oleObject10.bin"/><Relationship Id="rId5" Type="http://schemas.openxmlformats.org/officeDocument/2006/relationships/image" Target="../media/image1.emf"/><Relationship Id="rId10" Type="http://schemas.openxmlformats.org/officeDocument/2006/relationships/comments" Target="../comments1.xml"/><Relationship Id="rId4" Type="http://schemas.openxmlformats.org/officeDocument/2006/relationships/oleObject" Target="../embeddings/oleObject9.bin"/><Relationship Id="rId9" Type="http://schemas.openxmlformats.org/officeDocument/2006/relationships/oleObject" Target="../embeddings/oleObject12.bin"/></Relationships>
</file>

<file path=xl/worksheets/_rels/sheet5.xml.rels><?xml version="1.0" encoding="UTF-8" standalone="yes"?>
<Relationships xmlns="http://schemas.openxmlformats.org/package/2006/relationships"><Relationship Id="rId8" Type="http://schemas.openxmlformats.org/officeDocument/2006/relationships/oleObject" Target="../embeddings/oleObject15.bin"/><Relationship Id="rId3" Type="http://schemas.openxmlformats.org/officeDocument/2006/relationships/vmlDrawing" Target="../drawings/vmlDrawing4.vml"/><Relationship Id="rId7" Type="http://schemas.openxmlformats.org/officeDocument/2006/relationships/image" Target="../media/image2.emf"/><Relationship Id="rId2" Type="http://schemas.openxmlformats.org/officeDocument/2006/relationships/drawing" Target="../drawings/drawing5.xml"/><Relationship Id="rId1" Type="http://schemas.openxmlformats.org/officeDocument/2006/relationships/printerSettings" Target="../printerSettings/printerSettings5.bin"/><Relationship Id="rId6" Type="http://schemas.openxmlformats.org/officeDocument/2006/relationships/oleObject" Target="../embeddings/oleObject14.bin"/><Relationship Id="rId5" Type="http://schemas.openxmlformats.org/officeDocument/2006/relationships/image" Target="../media/image1.emf"/><Relationship Id="rId4" Type="http://schemas.openxmlformats.org/officeDocument/2006/relationships/oleObject" Target="../embeddings/oleObject13.bin"/><Relationship Id="rId9" Type="http://schemas.openxmlformats.org/officeDocument/2006/relationships/oleObject" Target="../embeddings/oleObject16.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7" Type="http://schemas.openxmlformats.org/officeDocument/2006/relationships/image" Target="../media/image2.emf"/><Relationship Id="rId2" Type="http://schemas.openxmlformats.org/officeDocument/2006/relationships/drawing" Target="../drawings/drawing6.xml"/><Relationship Id="rId1" Type="http://schemas.openxmlformats.org/officeDocument/2006/relationships/printerSettings" Target="../printerSettings/printerSettings6.bin"/><Relationship Id="rId6" Type="http://schemas.openxmlformats.org/officeDocument/2006/relationships/oleObject" Target="../embeddings/oleObject18.bin"/><Relationship Id="rId5" Type="http://schemas.openxmlformats.org/officeDocument/2006/relationships/image" Target="../media/image1.emf"/><Relationship Id="rId4" Type="http://schemas.openxmlformats.org/officeDocument/2006/relationships/oleObject" Target="../embeddings/oleObject17.bin"/></Relationships>
</file>

<file path=xl/worksheets/_rels/sheet7.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6.vml"/><Relationship Id="rId7" Type="http://schemas.openxmlformats.org/officeDocument/2006/relationships/image" Target="../media/image2.emf"/><Relationship Id="rId2" Type="http://schemas.openxmlformats.org/officeDocument/2006/relationships/drawing" Target="../drawings/drawing7.xml"/><Relationship Id="rId1" Type="http://schemas.openxmlformats.org/officeDocument/2006/relationships/printerSettings" Target="../printerSettings/printerSettings7.bin"/><Relationship Id="rId6" Type="http://schemas.openxmlformats.org/officeDocument/2006/relationships/oleObject" Target="../embeddings/oleObject20.bin"/><Relationship Id="rId5" Type="http://schemas.openxmlformats.org/officeDocument/2006/relationships/image" Target="../media/image1.emf"/><Relationship Id="rId4" Type="http://schemas.openxmlformats.org/officeDocument/2006/relationships/oleObject" Target="../embeddings/oleObject19.bin"/></Relationships>
</file>

<file path=xl/worksheets/_rels/sheet8.xml.rels><?xml version="1.0" encoding="UTF-8" standalone="yes"?>
<Relationships xmlns="http://schemas.openxmlformats.org/package/2006/relationships"><Relationship Id="rId8" Type="http://schemas.openxmlformats.org/officeDocument/2006/relationships/comments" Target="../comments3.xml"/><Relationship Id="rId3" Type="http://schemas.openxmlformats.org/officeDocument/2006/relationships/vmlDrawing" Target="../drawings/vmlDrawing7.vml"/><Relationship Id="rId7" Type="http://schemas.openxmlformats.org/officeDocument/2006/relationships/image" Target="../media/image2.emf"/><Relationship Id="rId2" Type="http://schemas.openxmlformats.org/officeDocument/2006/relationships/drawing" Target="../drawings/drawing8.xml"/><Relationship Id="rId1" Type="http://schemas.openxmlformats.org/officeDocument/2006/relationships/printerSettings" Target="../printerSettings/printerSettings8.bin"/><Relationship Id="rId6" Type="http://schemas.openxmlformats.org/officeDocument/2006/relationships/oleObject" Target="../embeddings/oleObject22.bin"/><Relationship Id="rId5" Type="http://schemas.openxmlformats.org/officeDocument/2006/relationships/image" Target="../media/image1.emf"/><Relationship Id="rId4" Type="http://schemas.openxmlformats.org/officeDocument/2006/relationships/oleObject" Target="../embeddings/oleObject21.bin"/></Relationships>
</file>

<file path=xl/worksheets/_rels/sheet9.xml.rels><?xml version="1.0" encoding="UTF-8" standalone="yes"?>
<Relationships xmlns="http://schemas.openxmlformats.org/package/2006/relationships"><Relationship Id="rId8" Type="http://schemas.openxmlformats.org/officeDocument/2006/relationships/comments" Target="../comments4.xml"/><Relationship Id="rId3" Type="http://schemas.openxmlformats.org/officeDocument/2006/relationships/vmlDrawing" Target="../drawings/vmlDrawing8.vml"/><Relationship Id="rId7" Type="http://schemas.openxmlformats.org/officeDocument/2006/relationships/image" Target="../media/image2.emf"/><Relationship Id="rId2" Type="http://schemas.openxmlformats.org/officeDocument/2006/relationships/drawing" Target="../drawings/drawing9.xml"/><Relationship Id="rId1" Type="http://schemas.openxmlformats.org/officeDocument/2006/relationships/printerSettings" Target="../printerSettings/printerSettings9.bin"/><Relationship Id="rId6" Type="http://schemas.openxmlformats.org/officeDocument/2006/relationships/oleObject" Target="../embeddings/oleObject24.bin"/><Relationship Id="rId5" Type="http://schemas.openxmlformats.org/officeDocument/2006/relationships/image" Target="../media/image1.emf"/><Relationship Id="rId4" Type="http://schemas.openxmlformats.org/officeDocument/2006/relationships/oleObject" Target="../embeddings/oleObject23.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9.vml"/><Relationship Id="rId7" Type="http://schemas.openxmlformats.org/officeDocument/2006/relationships/image" Target="../media/image2.emf"/><Relationship Id="rId2" Type="http://schemas.openxmlformats.org/officeDocument/2006/relationships/drawing" Target="../drawings/drawing10.xml"/><Relationship Id="rId1" Type="http://schemas.openxmlformats.org/officeDocument/2006/relationships/printerSettings" Target="../printerSettings/printerSettings10.bin"/><Relationship Id="rId6" Type="http://schemas.openxmlformats.org/officeDocument/2006/relationships/oleObject" Target="../embeddings/oleObject26.bin"/><Relationship Id="rId5" Type="http://schemas.openxmlformats.org/officeDocument/2006/relationships/image" Target="../media/image1.emf"/><Relationship Id="rId4" Type="http://schemas.openxmlformats.org/officeDocument/2006/relationships/oleObject" Target="../embeddings/oleObject25.bin"/></Relationships>
</file>

<file path=xl/worksheets/_rels/sheet11.xml.rels><?xml version="1.0" encoding="UTF-8" standalone="yes"?>
<Relationships xmlns="http://schemas.openxmlformats.org/package/2006/relationships"><Relationship Id="rId8" Type="http://schemas.openxmlformats.org/officeDocument/2006/relationships/oleObject" Target="../embeddings/oleObject29.bin"/><Relationship Id="rId3" Type="http://schemas.openxmlformats.org/officeDocument/2006/relationships/vmlDrawing" Target="../drawings/vmlDrawing10.vml"/><Relationship Id="rId7" Type="http://schemas.openxmlformats.org/officeDocument/2006/relationships/image" Target="../media/image2.emf"/><Relationship Id="rId2" Type="http://schemas.openxmlformats.org/officeDocument/2006/relationships/drawing" Target="../drawings/drawing11.xml"/><Relationship Id="rId1" Type="http://schemas.openxmlformats.org/officeDocument/2006/relationships/printerSettings" Target="../printerSettings/printerSettings11.bin"/><Relationship Id="rId6" Type="http://schemas.openxmlformats.org/officeDocument/2006/relationships/oleObject" Target="../embeddings/oleObject28.bin"/><Relationship Id="rId5" Type="http://schemas.openxmlformats.org/officeDocument/2006/relationships/image" Target="../media/image1.emf"/><Relationship Id="rId4" Type="http://schemas.openxmlformats.org/officeDocument/2006/relationships/oleObject" Target="../embeddings/oleObject27.bin"/><Relationship Id="rId9" Type="http://schemas.openxmlformats.org/officeDocument/2006/relationships/oleObject" Target="../embeddings/oleObject30.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7" Type="http://schemas.openxmlformats.org/officeDocument/2006/relationships/image" Target="../media/image2.emf"/><Relationship Id="rId2" Type="http://schemas.openxmlformats.org/officeDocument/2006/relationships/drawing" Target="../drawings/drawing12.xml"/><Relationship Id="rId1" Type="http://schemas.openxmlformats.org/officeDocument/2006/relationships/printerSettings" Target="../printerSettings/printerSettings12.bin"/><Relationship Id="rId6" Type="http://schemas.openxmlformats.org/officeDocument/2006/relationships/oleObject" Target="../embeddings/oleObject32.bin"/><Relationship Id="rId5" Type="http://schemas.openxmlformats.org/officeDocument/2006/relationships/image" Target="../media/image1.emf"/><Relationship Id="rId4" Type="http://schemas.openxmlformats.org/officeDocument/2006/relationships/oleObject" Target="../embeddings/oleObject31.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2.vml"/><Relationship Id="rId7" Type="http://schemas.openxmlformats.org/officeDocument/2006/relationships/image" Target="../media/image2.emf"/><Relationship Id="rId2" Type="http://schemas.openxmlformats.org/officeDocument/2006/relationships/drawing" Target="../drawings/drawing13.xml"/><Relationship Id="rId1" Type="http://schemas.openxmlformats.org/officeDocument/2006/relationships/printerSettings" Target="../printerSettings/printerSettings13.bin"/><Relationship Id="rId6" Type="http://schemas.openxmlformats.org/officeDocument/2006/relationships/oleObject" Target="../embeddings/oleObject34.bin"/><Relationship Id="rId5" Type="http://schemas.openxmlformats.org/officeDocument/2006/relationships/image" Target="../media/image1.emf"/><Relationship Id="rId4" Type="http://schemas.openxmlformats.org/officeDocument/2006/relationships/oleObject" Target="../embeddings/oleObject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64"/>
  <sheetViews>
    <sheetView topLeftCell="A19" workbookViewId="0">
      <selection activeCell="B54" sqref="B54:C64"/>
    </sheetView>
  </sheetViews>
  <sheetFormatPr defaultRowHeight="12.5"/>
  <sheetData>
    <row r="1" spans="1:23">
      <c r="A1" t="s">
        <v>43</v>
      </c>
      <c r="B1" s="38" t="s">
        <v>44</v>
      </c>
      <c r="C1" s="39"/>
      <c r="D1" s="38" t="s">
        <v>45</v>
      </c>
      <c r="E1" s="39"/>
      <c r="F1" s="38" t="s">
        <v>46</v>
      </c>
      <c r="G1" s="39"/>
      <c r="H1" t="s">
        <v>50</v>
      </c>
      <c r="I1" t="s">
        <v>43</v>
      </c>
      <c r="J1" s="38" t="s">
        <v>44</v>
      </c>
      <c r="K1" s="39"/>
      <c r="L1" s="38" t="s">
        <v>45</v>
      </c>
      <c r="M1" s="39"/>
      <c r="N1" s="38" t="s">
        <v>46</v>
      </c>
      <c r="O1" s="39"/>
      <c r="P1" t="s">
        <v>51</v>
      </c>
      <c r="Q1" t="s">
        <v>43</v>
      </c>
      <c r="R1" s="38" t="s">
        <v>44</v>
      </c>
      <c r="S1" s="39"/>
      <c r="T1" s="38" t="s">
        <v>45</v>
      </c>
      <c r="U1" s="39"/>
      <c r="V1" s="38" t="s">
        <v>46</v>
      </c>
      <c r="W1" s="39"/>
    </row>
    <row r="2" spans="1:23">
      <c r="B2" s="40" t="s">
        <v>47</v>
      </c>
      <c r="C2" s="41" t="s">
        <v>48</v>
      </c>
      <c r="D2" s="40" t="s">
        <v>47</v>
      </c>
      <c r="E2" s="41" t="s">
        <v>48</v>
      </c>
      <c r="F2" s="40" t="s">
        <v>47</v>
      </c>
      <c r="G2" s="41" t="s">
        <v>48</v>
      </c>
      <c r="J2" s="40" t="s">
        <v>47</v>
      </c>
      <c r="K2" s="41" t="s">
        <v>48</v>
      </c>
      <c r="L2" s="40" t="s">
        <v>47</v>
      </c>
      <c r="M2" s="41" t="s">
        <v>48</v>
      </c>
      <c r="N2" s="40" t="s">
        <v>47</v>
      </c>
      <c r="O2" s="41" t="s">
        <v>48</v>
      </c>
      <c r="R2" s="40" t="s">
        <v>47</v>
      </c>
      <c r="S2" s="41" t="s">
        <v>48</v>
      </c>
      <c r="T2" s="40" t="s">
        <v>47</v>
      </c>
      <c r="U2" s="41" t="s">
        <v>48</v>
      </c>
      <c r="V2" s="40" t="s">
        <v>47</v>
      </c>
      <c r="W2" s="41" t="s">
        <v>48</v>
      </c>
    </row>
    <row r="3" spans="1:23">
      <c r="A3">
        <v>16</v>
      </c>
      <c r="B3">
        <v>0.45679999999999998</v>
      </c>
      <c r="C3">
        <v>2.8077000000000001</v>
      </c>
      <c r="D3">
        <v>5.74E-2</v>
      </c>
      <c r="E3">
        <v>0.33879999999999999</v>
      </c>
      <c r="F3">
        <v>0.12570000000000001</v>
      </c>
      <c r="G3">
        <v>1.3899999999999999E-2</v>
      </c>
      <c r="I3">
        <v>16</v>
      </c>
      <c r="J3">
        <f>B3-$B$15</f>
        <v>3.4424999999999983E-2</v>
      </c>
      <c r="K3">
        <f>C3-$C$15</f>
        <v>0.19142499999999973</v>
      </c>
      <c r="L3">
        <f>D3-$D$15</f>
        <v>5.1090909090909034E-3</v>
      </c>
      <c r="M3">
        <f>E3-$E$15</f>
        <v>2.1918181818181892E-2</v>
      </c>
      <c r="N3">
        <f>F3-$F$15</f>
        <v>1.918181818181805E-3</v>
      </c>
      <c r="O3">
        <f>G3-$G$15</f>
        <v>2.760909090909091E-2</v>
      </c>
      <c r="Q3">
        <v>16</v>
      </c>
      <c r="R3" s="42">
        <f>(B3-$B$15)/$B$15</f>
        <v>8.150340337377919E-2</v>
      </c>
      <c r="S3" s="42">
        <f>(C3-$C$15)/$C$15</f>
        <v>7.3167002704226311E-2</v>
      </c>
      <c r="T3" s="42">
        <f>(D3-$D$15)/$D$15</f>
        <v>9.770514603616122E-2</v>
      </c>
      <c r="U3" s="42">
        <f>(E3-$E$15)/$E$15</f>
        <v>6.9168316263591489E-2</v>
      </c>
      <c r="V3" s="42">
        <f>(F3-$F$15)/$F$15</f>
        <v>1.5496474735605061E-2</v>
      </c>
      <c r="W3" s="42">
        <f>(G3-$G$15)/$G$15</f>
        <v>-2.0139257294429709</v>
      </c>
    </row>
    <row r="4" spans="1:23">
      <c r="A4">
        <v>17</v>
      </c>
      <c r="B4">
        <v>0.36849999999999999</v>
      </c>
      <c r="C4">
        <v>3.3105000000000002</v>
      </c>
      <c r="D4">
        <v>3.9E-2</v>
      </c>
      <c r="E4">
        <v>0.42130000000000001</v>
      </c>
      <c r="F4">
        <v>0.1081</v>
      </c>
      <c r="G4">
        <v>6.0199999999999997E-2</v>
      </c>
      <c r="I4">
        <v>17</v>
      </c>
      <c r="J4">
        <f t="shared" ref="J4:J14" si="0">B4-$B$15</f>
        <v>-5.3875000000000006E-2</v>
      </c>
      <c r="K4">
        <f t="shared" ref="K4:K14" si="1">C4-$C$15</f>
        <v>0.69422499999999987</v>
      </c>
      <c r="L4">
        <f t="shared" ref="L4:L14" si="2">D4-$D$15</f>
        <v>-1.3290909090909096E-2</v>
      </c>
      <c r="M4">
        <f t="shared" ref="M4:M14" si="3">E4-$E$15</f>
        <v>0.10441818181818191</v>
      </c>
      <c r="N4">
        <f t="shared" ref="N4:N14" si="4">F4-$F$15</f>
        <v>-1.56818181818182E-2</v>
      </c>
      <c r="O4">
        <f t="shared" ref="O4:O14" si="5">G4-$G$15</f>
        <v>7.390909090909091E-2</v>
      </c>
      <c r="Q4">
        <v>17</v>
      </c>
      <c r="R4" s="42">
        <f t="shared" ref="R4:R14" si="6">(B4-$B$15)/$B$15</f>
        <v>-0.12755253033441849</v>
      </c>
      <c r="S4" s="42">
        <f t="shared" ref="S4:S14" si="7">(C4-$C$15)/$C$15</f>
        <v>0.26534863498676547</v>
      </c>
      <c r="T4" s="42">
        <f t="shared" ref="T4:T14" si="8">(D4-$D$15)/$D$15</f>
        <v>-0.25417246175243402</v>
      </c>
      <c r="U4" s="42">
        <f t="shared" ref="U4:U14" si="9">(E4-$E$15)/$E$15</f>
        <v>0.32951774392518041</v>
      </c>
      <c r="V4" s="42">
        <f t="shared" ref="V4:V14" si="10">(F4-$F$15)/$F$15</f>
        <v>-0.12668918918918931</v>
      </c>
      <c r="W4" s="42">
        <f t="shared" ref="W4:W14" si="11">(G4-$G$15)/$G$15</f>
        <v>-5.3912466843501319</v>
      </c>
    </row>
    <row r="5" spans="1:23">
      <c r="A5">
        <v>18</v>
      </c>
      <c r="B5">
        <v>0.43809999999999999</v>
      </c>
      <c r="C5">
        <v>2.9666000000000001</v>
      </c>
      <c r="D5">
        <v>5.5899999999999998E-2</v>
      </c>
      <c r="E5">
        <v>0.29120000000000001</v>
      </c>
      <c r="F5">
        <v>0.1275</v>
      </c>
      <c r="G5">
        <v>-8.6999999999999994E-2</v>
      </c>
      <c r="I5">
        <v>18</v>
      </c>
      <c r="J5">
        <f t="shared" si="0"/>
        <v>1.5724999999999989E-2</v>
      </c>
      <c r="K5">
        <f t="shared" si="1"/>
        <v>0.35032499999999978</v>
      </c>
      <c r="L5">
        <f t="shared" si="2"/>
        <v>3.6090909090909021E-3</v>
      </c>
      <c r="M5">
        <f t="shared" si="3"/>
        <v>-2.5681818181818084E-2</v>
      </c>
      <c r="N5">
        <f t="shared" si="4"/>
        <v>3.718181818181801E-3</v>
      </c>
      <c r="O5">
        <f t="shared" si="5"/>
        <v>-7.3290909090909087E-2</v>
      </c>
      <c r="Q5">
        <v>18</v>
      </c>
      <c r="R5" s="42">
        <f t="shared" si="6"/>
        <v>3.722994968925715E-2</v>
      </c>
      <c r="S5" s="42">
        <f t="shared" si="7"/>
        <v>0.13390220829232391</v>
      </c>
      <c r="T5" s="42">
        <f t="shared" si="8"/>
        <v>6.9019471488177886E-2</v>
      </c>
      <c r="U5" s="42">
        <f t="shared" si="9"/>
        <v>-8.1045414120549386E-2</v>
      </c>
      <c r="V5" s="42">
        <f t="shared" si="10"/>
        <v>3.0038190364277177E-2</v>
      </c>
      <c r="W5" s="42">
        <f t="shared" si="11"/>
        <v>5.3461538461538458</v>
      </c>
    </row>
    <row r="6" spans="1:23">
      <c r="A6">
        <v>21</v>
      </c>
      <c r="B6">
        <v>0.44590000000000002</v>
      </c>
      <c r="C6">
        <v>2.7431999999999999</v>
      </c>
      <c r="D6">
        <v>4.8899999999999999E-2</v>
      </c>
      <c r="E6">
        <v>0.29249999999999998</v>
      </c>
      <c r="F6">
        <v>0.1094</v>
      </c>
      <c r="G6">
        <v>-7.1000000000000004E-3</v>
      </c>
      <c r="I6">
        <v>21</v>
      </c>
      <c r="J6">
        <f t="shared" si="0"/>
        <v>2.3525000000000018E-2</v>
      </c>
      <c r="K6">
        <f t="shared" si="1"/>
        <v>0.12692499999999951</v>
      </c>
      <c r="L6">
        <f t="shared" si="2"/>
        <v>-3.3909090909090972E-3</v>
      </c>
      <c r="M6">
        <f t="shared" si="3"/>
        <v>-2.4381818181818116E-2</v>
      </c>
      <c r="N6">
        <f t="shared" si="4"/>
        <v>-1.4381818181818204E-2</v>
      </c>
      <c r="O6">
        <f t="shared" si="5"/>
        <v>6.6090909090909099E-3</v>
      </c>
      <c r="Q6">
        <v>21</v>
      </c>
      <c r="R6" s="42">
        <f t="shared" si="6"/>
        <v>5.5696951760876044E-2</v>
      </c>
      <c r="S6" s="42">
        <f t="shared" si="7"/>
        <v>4.8513631021203617E-2</v>
      </c>
      <c r="T6" s="42">
        <f t="shared" si="8"/>
        <v>-6.4847009735744199E-2</v>
      </c>
      <c r="U6" s="42">
        <f t="shared" si="9"/>
        <v>-7.6942938290730511E-2</v>
      </c>
      <c r="V6" s="42">
        <f t="shared" si="10"/>
        <v>-0.11618683901292613</v>
      </c>
      <c r="W6" s="42">
        <f t="shared" si="11"/>
        <v>-0.48209549071618041</v>
      </c>
    </row>
    <row r="7" spans="1:23">
      <c r="A7">
        <v>20</v>
      </c>
      <c r="B7">
        <v>0.45440000000000003</v>
      </c>
      <c r="C7">
        <v>2.7090000000000001</v>
      </c>
      <c r="D7">
        <v>4.8899999999999999E-2</v>
      </c>
      <c r="E7">
        <v>0.2888</v>
      </c>
      <c r="F7">
        <v>0.1075</v>
      </c>
      <c r="G7">
        <v>-2E-3</v>
      </c>
      <c r="I7">
        <v>20</v>
      </c>
      <c r="J7">
        <f t="shared" si="0"/>
        <v>3.2025000000000026E-2</v>
      </c>
      <c r="K7">
        <f t="shared" si="1"/>
        <v>9.2724999999999724E-2</v>
      </c>
      <c r="L7">
        <f t="shared" si="2"/>
        <v>-3.3909090909090972E-3</v>
      </c>
      <c r="M7">
        <f t="shared" si="3"/>
        <v>-2.8081818181818097E-2</v>
      </c>
      <c r="N7">
        <f t="shared" si="4"/>
        <v>-1.6281818181818203E-2</v>
      </c>
      <c r="O7">
        <f t="shared" si="5"/>
        <v>1.170909090909091E-2</v>
      </c>
      <c r="Q7">
        <v>20</v>
      </c>
      <c r="R7" s="42">
        <f t="shared" si="6"/>
        <v>7.5821248890204265E-2</v>
      </c>
      <c r="S7" s="42">
        <f t="shared" si="7"/>
        <v>3.544161068694985E-2</v>
      </c>
      <c r="T7" s="42">
        <f t="shared" si="8"/>
        <v>-6.4847009735744199E-2</v>
      </c>
      <c r="U7" s="42">
        <f t="shared" si="9"/>
        <v>-8.8619215652522926E-2</v>
      </c>
      <c r="V7" s="42">
        <f t="shared" si="10"/>
        <v>-0.13153642773208005</v>
      </c>
      <c r="W7" s="42">
        <f t="shared" si="11"/>
        <v>-0.85411140583554379</v>
      </c>
    </row>
    <row r="8" spans="1:23">
      <c r="A8">
        <v>22</v>
      </c>
      <c r="B8">
        <v>0.5131</v>
      </c>
      <c r="C8">
        <v>2.3740000000000001</v>
      </c>
      <c r="D8">
        <v>5.5800000000000002E-2</v>
      </c>
      <c r="E8">
        <v>0.28799999999999998</v>
      </c>
      <c r="F8">
        <v>0.1087</v>
      </c>
      <c r="G8">
        <v>2.3099999999999999E-2</v>
      </c>
      <c r="I8">
        <v>22</v>
      </c>
      <c r="J8">
        <f t="shared" si="0"/>
        <v>9.0725E-2</v>
      </c>
      <c r="K8">
        <f t="shared" si="1"/>
        <v>-0.24227500000000024</v>
      </c>
      <c r="L8">
        <f t="shared" si="2"/>
        <v>3.5090909090909062E-3</v>
      </c>
      <c r="M8">
        <f t="shared" si="3"/>
        <v>-2.888181818181812E-2</v>
      </c>
      <c r="N8">
        <f t="shared" si="4"/>
        <v>-1.5081818181818196E-2</v>
      </c>
      <c r="O8">
        <f t="shared" si="5"/>
        <v>3.6809090909090909E-2</v>
      </c>
      <c r="Q8">
        <v>22</v>
      </c>
      <c r="R8" s="42">
        <f t="shared" si="6"/>
        <v>0.21479727730097661</v>
      </c>
      <c r="S8" s="42">
        <f t="shared" si="7"/>
        <v>-9.2603032938051319E-2</v>
      </c>
      <c r="T8" s="42">
        <f t="shared" si="8"/>
        <v>6.710709318497908E-2</v>
      </c>
      <c r="U8" s="42">
        <f t="shared" si="9"/>
        <v>-9.1143816163180819E-2</v>
      </c>
      <c r="V8" s="42">
        <f t="shared" si="10"/>
        <v>-0.12184195064629857</v>
      </c>
      <c r="W8" s="42">
        <f t="shared" si="11"/>
        <v>-2.6850132625994694</v>
      </c>
    </row>
    <row r="9" spans="1:23">
      <c r="A9">
        <v>23</v>
      </c>
      <c r="B9">
        <v>0.40129999999999999</v>
      </c>
      <c r="C9">
        <v>2.8237000000000001</v>
      </c>
      <c r="I9">
        <v>23</v>
      </c>
      <c r="J9">
        <f t="shared" si="0"/>
        <v>-2.107500000000001E-2</v>
      </c>
      <c r="K9">
        <f t="shared" si="1"/>
        <v>0.20742499999999975</v>
      </c>
      <c r="L9">
        <f t="shared" si="2"/>
        <v>-5.2290909090909096E-2</v>
      </c>
      <c r="M9">
        <f t="shared" si="3"/>
        <v>-0.3168818181818181</v>
      </c>
      <c r="N9">
        <f t="shared" si="4"/>
        <v>-0.1237818181818182</v>
      </c>
      <c r="O9">
        <f t="shared" si="5"/>
        <v>1.370909090909091E-2</v>
      </c>
      <c r="Q9">
        <v>23</v>
      </c>
      <c r="R9" s="42">
        <f t="shared" si="6"/>
        <v>-4.9896419058893186E-2</v>
      </c>
      <c r="S9" s="42">
        <f t="shared" si="7"/>
        <v>7.9282567772883089E-2</v>
      </c>
      <c r="T9" s="42"/>
      <c r="U9" s="42"/>
      <c r="V9" s="42"/>
      <c r="W9" s="42"/>
    </row>
    <row r="10" spans="1:23">
      <c r="A10">
        <v>24</v>
      </c>
      <c r="B10">
        <v>0.44790000000000002</v>
      </c>
      <c r="C10">
        <v>2.6354000000000002</v>
      </c>
      <c r="D10">
        <v>6.1100000000000002E-2</v>
      </c>
      <c r="E10">
        <v>0.34250000000000003</v>
      </c>
      <c r="F10">
        <v>0.13639999999999999</v>
      </c>
      <c r="G10">
        <v>-0.17100000000000001</v>
      </c>
      <c r="I10">
        <v>24</v>
      </c>
      <c r="J10">
        <f t="shared" si="0"/>
        <v>2.552500000000002E-2</v>
      </c>
      <c r="K10">
        <f t="shared" si="1"/>
        <v>1.9124999999999837E-2</v>
      </c>
      <c r="L10">
        <f t="shared" si="2"/>
        <v>8.8090909090909053E-3</v>
      </c>
      <c r="M10">
        <f t="shared" si="3"/>
        <v>2.5618181818181929E-2</v>
      </c>
      <c r="N10">
        <f t="shared" si="4"/>
        <v>1.2618181818181792E-2</v>
      </c>
      <c r="O10">
        <f t="shared" si="5"/>
        <v>-0.15729090909090909</v>
      </c>
      <c r="Q10">
        <v>24</v>
      </c>
      <c r="R10" s="42">
        <f t="shared" si="6"/>
        <v>6.0432080497188567E-2</v>
      </c>
      <c r="S10" s="42">
        <f t="shared" si="7"/>
        <v>7.3100113711287362E-3</v>
      </c>
      <c r="T10" s="42">
        <f t="shared" si="8"/>
        <v>0.16846314325452008</v>
      </c>
      <c r="U10" s="42">
        <f t="shared" si="9"/>
        <v>8.0844593625384084E-2</v>
      </c>
      <c r="V10" s="42">
        <f t="shared" si="10"/>
        <v>0.10193889541715606</v>
      </c>
      <c r="W10" s="42">
        <f t="shared" si="11"/>
        <v>11.473474801061007</v>
      </c>
    </row>
    <row r="11" spans="1:23">
      <c r="A11">
        <v>25</v>
      </c>
      <c r="B11">
        <v>0.45779999999999998</v>
      </c>
      <c r="C11">
        <v>2.5865</v>
      </c>
      <c r="D11">
        <v>5.6899999999999999E-2</v>
      </c>
      <c r="E11">
        <v>0.33410000000000001</v>
      </c>
      <c r="F11">
        <v>0.1241</v>
      </c>
      <c r="G11">
        <v>1.34E-2</v>
      </c>
      <c r="I11">
        <v>25</v>
      </c>
      <c r="J11">
        <f t="shared" si="0"/>
        <v>3.5424999999999984E-2</v>
      </c>
      <c r="K11">
        <f t="shared" si="1"/>
        <v>-2.9775000000000329E-2</v>
      </c>
      <c r="L11">
        <f t="shared" si="2"/>
        <v>4.609090909090903E-3</v>
      </c>
      <c r="M11">
        <f t="shared" si="3"/>
        <v>1.721818181818191E-2</v>
      </c>
      <c r="N11">
        <f t="shared" si="4"/>
        <v>3.181818181818008E-4</v>
      </c>
      <c r="O11">
        <f t="shared" si="5"/>
        <v>2.7109090909090909E-2</v>
      </c>
      <c r="Q11">
        <v>25</v>
      </c>
      <c r="R11" s="42">
        <f t="shared" si="6"/>
        <v>8.3870967741935448E-2</v>
      </c>
      <c r="S11" s="42">
        <f t="shared" si="7"/>
        <v>-1.1380684369953589E-2</v>
      </c>
      <c r="T11" s="42">
        <f t="shared" si="8"/>
        <v>8.8143254520166775E-2</v>
      </c>
      <c r="U11" s="42">
        <f t="shared" si="9"/>
        <v>5.4336288263476792E-2</v>
      </c>
      <c r="V11" s="42">
        <f t="shared" si="10"/>
        <v>2.5705052878964513E-3</v>
      </c>
      <c r="W11" s="42">
        <f t="shared" si="11"/>
        <v>-1.9774535809018565</v>
      </c>
    </row>
    <row r="12" spans="1:23">
      <c r="A12" t="s">
        <v>49</v>
      </c>
      <c r="B12">
        <v>0.33289999999999997</v>
      </c>
      <c r="C12">
        <v>1.9247000000000001</v>
      </c>
      <c r="D12">
        <v>4.5600000000000002E-2</v>
      </c>
      <c r="E12">
        <v>0.26050000000000001</v>
      </c>
      <c r="F12">
        <v>0.1343</v>
      </c>
      <c r="G12">
        <v>2E-3</v>
      </c>
      <c r="I12" t="s">
        <v>49</v>
      </c>
      <c r="J12">
        <f t="shared" si="0"/>
        <v>-8.9475000000000027E-2</v>
      </c>
      <c r="K12">
        <f t="shared" si="1"/>
        <v>-0.69157500000000027</v>
      </c>
      <c r="L12">
        <f t="shared" si="2"/>
        <v>-6.6909090909090946E-3</v>
      </c>
      <c r="M12">
        <f t="shared" si="3"/>
        <v>-5.6381818181818089E-2</v>
      </c>
      <c r="N12">
        <f t="shared" si="4"/>
        <v>1.0518181818181802E-2</v>
      </c>
      <c r="O12">
        <f t="shared" si="5"/>
        <v>1.5709090909090909E-2</v>
      </c>
      <c r="Q12" t="s">
        <v>49</v>
      </c>
      <c r="R12" s="42">
        <f t="shared" si="6"/>
        <v>-0.21183782184078137</v>
      </c>
      <c r="S12" s="42">
        <f t="shared" si="7"/>
        <v>-0.26433574452226932</v>
      </c>
      <c r="T12" s="42">
        <f t="shared" si="8"/>
        <v>-0.12795549374130744</v>
      </c>
      <c r="U12" s="42">
        <f t="shared" si="9"/>
        <v>-0.17792695871704367</v>
      </c>
      <c r="V12" s="42">
        <f t="shared" si="10"/>
        <v>8.4973560517038624E-2</v>
      </c>
      <c r="W12" s="42">
        <f t="shared" si="11"/>
        <v>-1.1458885941644561</v>
      </c>
    </row>
    <row r="13" spans="1:23">
      <c r="A13">
        <v>27</v>
      </c>
      <c r="B13">
        <v>0.38619999999999999</v>
      </c>
      <c r="C13">
        <v>2.2675000000000001</v>
      </c>
      <c r="D13">
        <v>5.1400000000000001E-2</v>
      </c>
      <c r="E13">
        <v>0.29659999999999997</v>
      </c>
      <c r="F13">
        <v>0.13220000000000001</v>
      </c>
      <c r="G13">
        <v>2.8999999999999998E-3</v>
      </c>
      <c r="I13">
        <v>27</v>
      </c>
      <c r="J13">
        <f t="shared" si="0"/>
        <v>-3.6175000000000013E-2</v>
      </c>
      <c r="K13">
        <f t="shared" si="1"/>
        <v>-0.34877500000000028</v>
      </c>
      <c r="L13">
        <f t="shared" si="2"/>
        <v>-8.9090909090909498E-4</v>
      </c>
      <c r="M13">
        <f t="shared" si="3"/>
        <v>-2.0281818181818123E-2</v>
      </c>
      <c r="N13">
        <f t="shared" si="4"/>
        <v>8.4181818181818108E-3</v>
      </c>
      <c r="O13">
        <f t="shared" si="5"/>
        <v>1.660909090909091E-2</v>
      </c>
      <c r="Q13">
        <v>27</v>
      </c>
      <c r="R13" s="42">
        <f t="shared" si="6"/>
        <v>-8.5646641018052708E-2</v>
      </c>
      <c r="S13" s="42">
        <f t="shared" si="7"/>
        <v>-0.13330976292629798</v>
      </c>
      <c r="T13" s="42">
        <f t="shared" si="8"/>
        <v>-1.7037552155771983E-2</v>
      </c>
      <c r="U13" s="42">
        <f t="shared" si="9"/>
        <v>-6.4004360673609151E-2</v>
      </c>
      <c r="V13" s="42">
        <f t="shared" si="10"/>
        <v>6.80082256169212E-2</v>
      </c>
      <c r="W13" s="42">
        <f t="shared" si="11"/>
        <v>-1.2115384615384615</v>
      </c>
    </row>
    <row r="14" spans="1:23">
      <c r="A14">
        <v>28</v>
      </c>
      <c r="B14">
        <v>0.36559999999999998</v>
      </c>
      <c r="C14">
        <v>2.2465000000000002</v>
      </c>
      <c r="D14">
        <v>5.4300000000000001E-2</v>
      </c>
      <c r="E14">
        <v>0.33139999999999997</v>
      </c>
      <c r="F14">
        <v>0.1477</v>
      </c>
      <c r="G14">
        <v>8.0000000000000004E-4</v>
      </c>
      <c r="I14">
        <v>28</v>
      </c>
      <c r="J14">
        <f t="shared" si="0"/>
        <v>-5.677500000000002E-2</v>
      </c>
      <c r="K14">
        <f t="shared" si="1"/>
        <v>-0.36977500000000019</v>
      </c>
      <c r="L14">
        <f t="shared" si="2"/>
        <v>2.0090909090909048E-3</v>
      </c>
      <c r="M14">
        <f t="shared" si="3"/>
        <v>1.4518181818181874E-2</v>
      </c>
      <c r="N14">
        <f t="shared" si="4"/>
        <v>2.3918181818181797E-2</v>
      </c>
      <c r="O14">
        <f t="shared" si="5"/>
        <v>1.4509090909090911E-2</v>
      </c>
      <c r="Q14">
        <v>28</v>
      </c>
      <c r="R14" s="42">
        <f t="shared" si="6"/>
        <v>-0.13441846700207166</v>
      </c>
      <c r="S14" s="42">
        <f t="shared" si="7"/>
        <v>-0.14133644207890994</v>
      </c>
      <c r="T14" s="42">
        <f t="shared" si="8"/>
        <v>3.842141863699574E-2</v>
      </c>
      <c r="U14" s="42">
        <f t="shared" si="9"/>
        <v>4.5815761540006501E-2</v>
      </c>
      <c r="V14" s="42">
        <f t="shared" si="10"/>
        <v>0.19322855464159791</v>
      </c>
      <c r="W14" s="42">
        <f t="shared" si="11"/>
        <v>-1.0583554376657824</v>
      </c>
    </row>
    <row r="15" spans="1:23">
      <c r="B15">
        <f t="shared" ref="B15:G15" si="12">AVERAGE(B3:B14)</f>
        <v>0.422375</v>
      </c>
      <c r="C15">
        <f t="shared" si="12"/>
        <v>2.6162750000000004</v>
      </c>
      <c r="D15">
        <f t="shared" si="12"/>
        <v>5.2290909090909096E-2</v>
      </c>
      <c r="E15">
        <f t="shared" si="12"/>
        <v>0.3168818181818181</v>
      </c>
      <c r="F15">
        <f t="shared" si="12"/>
        <v>0.1237818181818182</v>
      </c>
      <c r="G15">
        <f t="shared" si="12"/>
        <v>-1.370909090909091E-2</v>
      </c>
    </row>
    <row r="53" spans="2:3" ht="13" thickBot="1"/>
    <row r="54" spans="2:3" ht="13" thickBot="1">
      <c r="B54" s="44">
        <v>599.29999999999995</v>
      </c>
      <c r="C54" s="45">
        <v>936</v>
      </c>
    </row>
    <row r="55" spans="2:3" ht="13" thickBot="1">
      <c r="B55" s="46">
        <v>609.29999999999995</v>
      </c>
      <c r="C55" s="47">
        <v>952</v>
      </c>
    </row>
    <row r="56" spans="2:3" ht="13" thickBot="1">
      <c r="B56" s="46">
        <v>606.79999999999995</v>
      </c>
      <c r="C56" s="47">
        <v>948</v>
      </c>
    </row>
    <row r="57" spans="2:3" ht="13" thickBot="1">
      <c r="B57" s="46">
        <v>626.70000000000005</v>
      </c>
      <c r="C57" s="47">
        <v>979</v>
      </c>
    </row>
    <row r="58" spans="2:3" ht="13" thickBot="1">
      <c r="B58" s="46">
        <v>626.70000000000005</v>
      </c>
      <c r="C58" s="47">
        <v>979</v>
      </c>
    </row>
    <row r="59" spans="2:3" ht="13" thickBot="1">
      <c r="B59" s="46">
        <v>554.5</v>
      </c>
      <c r="C59" s="47">
        <v>866</v>
      </c>
    </row>
    <row r="60" spans="2:3" ht="13" thickBot="1">
      <c r="B60" s="46">
        <v>519.70000000000005</v>
      </c>
      <c r="C60" s="47">
        <v>812</v>
      </c>
    </row>
    <row r="61" spans="2:3" ht="13" thickBot="1">
      <c r="B61" s="46">
        <v>552.1</v>
      </c>
      <c r="C61" s="47">
        <v>863</v>
      </c>
    </row>
    <row r="62" spans="2:3" ht="13" thickBot="1">
      <c r="B62" s="46">
        <v>527.20000000000005</v>
      </c>
      <c r="C62" s="47">
        <v>824</v>
      </c>
    </row>
    <row r="63" spans="2:3" ht="13" thickBot="1">
      <c r="B63" s="46">
        <v>611.79999999999995</v>
      </c>
      <c r="C63" s="47">
        <v>956</v>
      </c>
    </row>
    <row r="64" spans="2:3" ht="13" thickBot="1">
      <c r="B64" s="46">
        <v>569.5</v>
      </c>
      <c r="C64" s="47">
        <v>890</v>
      </c>
    </row>
  </sheetData>
  <phoneticPr fontId="0" type="noConversion"/>
  <pageMargins left="0.75" right="0.75" top="1" bottom="1" header="0.5" footer="0.5"/>
  <pageSetup orientation="portrait" horizontalDpi="355" verticalDpi="355" r:id="rId1"/>
  <headerFooter alignWithMargins="0"/>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P48"/>
  <sheetViews>
    <sheetView topLeftCell="A31" workbookViewId="0">
      <selection activeCell="A32" sqref="A31:A32"/>
    </sheetView>
  </sheetViews>
  <sheetFormatPr defaultColWidth="9" defaultRowHeight="12.5"/>
  <cols>
    <col min="1" max="1" width="9" style="3"/>
    <col min="2" max="2" width="9.08984375" style="3" bestFit="1" customWidth="1"/>
    <col min="3" max="3" width="11.26953125" style="24" customWidth="1"/>
    <col min="4" max="4" width="9.08984375" style="3" bestFit="1" customWidth="1"/>
    <col min="5" max="9" width="9" style="3"/>
    <col min="10" max="10" width="9.36328125" style="13" customWidth="1"/>
    <col min="11" max="16384" width="9" style="3"/>
  </cols>
  <sheetData>
    <row r="1" spans="1:16" s="1" customFormat="1">
      <c r="A1" s="25" t="s">
        <v>42</v>
      </c>
      <c r="B1" s="25"/>
      <c r="C1" s="20" t="s">
        <v>10</v>
      </c>
      <c r="D1" s="25">
        <v>387.6</v>
      </c>
      <c r="E1" s="25" t="s">
        <v>11</v>
      </c>
      <c r="F1" s="25" t="s">
        <v>20</v>
      </c>
      <c r="G1" s="26">
        <f>D4/(2*D3)</f>
        <v>1485.8075040783035</v>
      </c>
      <c r="H1" s="25" t="s">
        <v>26</v>
      </c>
      <c r="I1" s="25"/>
      <c r="J1" s="27"/>
      <c r="K1" s="25"/>
      <c r="L1" s="25"/>
      <c r="M1" s="25"/>
      <c r="N1" s="25"/>
    </row>
    <row r="2" spans="1:16">
      <c r="A2" s="4"/>
      <c r="B2" s="4"/>
      <c r="C2" s="31" t="s">
        <v>15</v>
      </c>
      <c r="D2" s="4">
        <v>384.9</v>
      </c>
      <c r="E2" s="4" t="s">
        <v>11</v>
      </c>
      <c r="F2" s="4" t="s">
        <v>21</v>
      </c>
      <c r="G2" s="4">
        <f>SQRT(1/(D3*D5))</f>
        <v>8244.4965742557415</v>
      </c>
      <c r="H2" s="4" t="s">
        <v>26</v>
      </c>
      <c r="I2" s="4"/>
      <c r="J2" s="27"/>
      <c r="K2" s="4"/>
      <c r="L2" s="4"/>
      <c r="M2" s="4"/>
      <c r="N2" s="4"/>
    </row>
    <row r="3" spans="1:16">
      <c r="A3" s="4"/>
      <c r="B3" s="4"/>
      <c r="C3" s="31" t="s">
        <v>16</v>
      </c>
      <c r="D3" s="28">
        <v>3.0649999999999999E-6</v>
      </c>
      <c r="E3" s="4" t="s">
        <v>17</v>
      </c>
      <c r="F3" s="4" t="s">
        <v>25</v>
      </c>
      <c r="G3" s="28">
        <v>1.705E-4</v>
      </c>
      <c r="H3" s="4" t="s">
        <v>27</v>
      </c>
      <c r="I3" s="4"/>
      <c r="J3" s="27"/>
      <c r="K3" s="4"/>
      <c r="L3" s="4"/>
      <c r="M3" s="4"/>
      <c r="N3" s="4"/>
    </row>
    <row r="4" spans="1:16">
      <c r="A4" s="4"/>
      <c r="B4" s="4"/>
      <c r="C4" s="31" t="s">
        <v>18</v>
      </c>
      <c r="D4" s="28">
        <v>9.1079999999999998E-3</v>
      </c>
      <c r="E4" s="4" t="s">
        <v>19</v>
      </c>
      <c r="F4" s="4"/>
      <c r="G4" s="4"/>
      <c r="H4" s="4"/>
      <c r="I4" s="4"/>
      <c r="J4" s="27"/>
      <c r="K4" s="4"/>
      <c r="L4" s="4"/>
      <c r="M4" s="4"/>
      <c r="N4" s="4"/>
    </row>
    <row r="5" spans="1:16">
      <c r="A5" s="4"/>
      <c r="B5" s="4"/>
      <c r="C5" s="31" t="s">
        <v>22</v>
      </c>
      <c r="D5" s="28">
        <v>4.7999999999999996E-3</v>
      </c>
      <c r="E5" s="4" t="s">
        <v>23</v>
      </c>
      <c r="F5" s="4"/>
      <c r="G5" s="4"/>
      <c r="H5" s="4"/>
      <c r="I5" s="4"/>
      <c r="J5" s="27"/>
      <c r="K5" s="4"/>
      <c r="L5" s="4"/>
      <c r="M5" s="4"/>
      <c r="N5" s="4"/>
    </row>
    <row r="6" spans="1:16" s="6" customFormat="1" ht="87.5">
      <c r="A6" s="2" t="s">
        <v>0</v>
      </c>
      <c r="B6" s="2" t="s">
        <v>5</v>
      </c>
      <c r="C6" s="21" t="s">
        <v>1</v>
      </c>
      <c r="D6" s="2" t="s">
        <v>2</v>
      </c>
      <c r="E6" s="2" t="s">
        <v>3</v>
      </c>
      <c r="F6" s="2" t="s">
        <v>9</v>
      </c>
      <c r="G6" s="2" t="s">
        <v>7</v>
      </c>
      <c r="H6" s="2" t="s">
        <v>8</v>
      </c>
      <c r="I6" s="2" t="s">
        <v>4</v>
      </c>
      <c r="J6" s="14"/>
      <c r="K6" s="5" t="s">
        <v>5</v>
      </c>
      <c r="L6" s="5" t="s">
        <v>13</v>
      </c>
      <c r="M6" s="5" t="s">
        <v>24</v>
      </c>
      <c r="N6" s="5" t="s">
        <v>14</v>
      </c>
      <c r="O6" s="6" t="s">
        <v>52</v>
      </c>
      <c r="P6" s="6" t="s">
        <v>54</v>
      </c>
    </row>
    <row r="7" spans="1:16">
      <c r="A7" s="2">
        <v>6.1</v>
      </c>
      <c r="B7" s="8">
        <v>0</v>
      </c>
      <c r="C7" s="22">
        <v>0.68</v>
      </c>
      <c r="D7" s="9">
        <v>5.6</v>
      </c>
      <c r="E7" s="10">
        <v>33340</v>
      </c>
      <c r="F7" s="12">
        <f>(0.2027*A7+1.2055)*1000</f>
        <v>2441.9699999999998</v>
      </c>
      <c r="G7" s="12">
        <f t="shared" ref="G7:G18" si="0">D7*157.4</f>
        <v>881.43999999999994</v>
      </c>
      <c r="H7" s="12">
        <f>C7*7.751*157.4</f>
        <v>829.60503200000005</v>
      </c>
      <c r="I7" s="9">
        <f>G7/H7</f>
        <v>1.0624815014381446</v>
      </c>
      <c r="J7" s="27"/>
      <c r="K7" s="4"/>
      <c r="L7" s="4"/>
      <c r="M7" s="4"/>
      <c r="N7" s="4"/>
    </row>
    <row r="8" spans="1:16">
      <c r="A8" s="2">
        <v>6.1</v>
      </c>
      <c r="B8" s="8">
        <v>340000</v>
      </c>
      <c r="C8" s="22">
        <v>0.68</v>
      </c>
      <c r="D8" s="9">
        <v>5.6</v>
      </c>
      <c r="E8" s="10">
        <v>33348</v>
      </c>
      <c r="F8" s="12">
        <f t="shared" ref="F8:F18" si="1">(0.2027*A8+1.2055)*1000</f>
        <v>2441.9699999999998</v>
      </c>
      <c r="G8" s="12">
        <f t="shared" si="0"/>
        <v>881.43999999999994</v>
      </c>
      <c r="H8" s="12">
        <f t="shared" ref="H8:H18" si="2">C8*7.751*157.4</f>
        <v>829.60503200000005</v>
      </c>
      <c r="I8" s="9">
        <f t="shared" ref="I8:I18" si="3">G8/H8</f>
        <v>1.0624815014381446</v>
      </c>
      <c r="J8" s="27"/>
      <c r="K8" s="4">
        <f t="shared" ref="K8:K18" si="4">B8-B7</f>
        <v>340000</v>
      </c>
      <c r="L8" s="29">
        <f t="shared" ref="L8:L18" si="5">F8</f>
        <v>2441.9699999999998</v>
      </c>
      <c r="M8" s="28">
        <f t="shared" ref="M8:M18" si="6">8*F8/($D$3*SQRT($G$2^2-$G$1^2))</f>
        <v>785968.95551311923</v>
      </c>
      <c r="N8" s="28">
        <f t="shared" ref="N8:N30" si="7">M8*(EXP(-$G$1*$G$3))*SIN(SQRT($G$2^2-$G$1^2)*$G$3)</f>
        <v>599314.29135182104</v>
      </c>
      <c r="O8" s="16">
        <f>1000*(D8*1000-228.75)*8/64.353</f>
        <v>667723.33846129943</v>
      </c>
      <c r="P8" s="43">
        <f>IF(O8/N8&gt;0.5,O8/N8,"")</f>
        <v>1.1141455294769862</v>
      </c>
    </row>
    <row r="9" spans="1:16">
      <c r="A9" s="8">
        <v>2.9</v>
      </c>
      <c r="B9" s="8">
        <v>0</v>
      </c>
      <c r="C9" s="9">
        <v>0.501</v>
      </c>
      <c r="D9" s="9">
        <v>4.0999999999999996</v>
      </c>
      <c r="E9" s="10">
        <v>33206</v>
      </c>
      <c r="F9" s="12">
        <f t="shared" si="1"/>
        <v>1793.3300000000002</v>
      </c>
      <c r="G9" s="12">
        <f t="shared" si="0"/>
        <v>645.33999999999992</v>
      </c>
      <c r="H9" s="12">
        <f t="shared" si="2"/>
        <v>611.22370739999997</v>
      </c>
      <c r="I9" s="9">
        <f t="shared" si="3"/>
        <v>1.0558163765360518</v>
      </c>
      <c r="J9" s="27"/>
      <c r="K9" s="4"/>
      <c r="L9" s="29">
        <f t="shared" si="5"/>
        <v>1793.3300000000002</v>
      </c>
      <c r="M9" s="28">
        <f t="shared" si="6"/>
        <v>577198.61709617334</v>
      </c>
      <c r="N9" s="28">
        <f t="shared" si="7"/>
        <v>440123.46511626325</v>
      </c>
      <c r="O9" s="16">
        <f t="shared" ref="O9:O18" si="8">1000*(D9*1000-228.75)*8/64.353</f>
        <v>481251.8452908179</v>
      </c>
      <c r="P9" s="43">
        <f t="shared" ref="P9:P18" si="9">IF(O9/N9&gt;0.5,O9/N9,"")</f>
        <v>1.0934473697367855</v>
      </c>
    </row>
    <row r="10" spans="1:16">
      <c r="A10" s="8">
        <v>2.9</v>
      </c>
      <c r="B10" s="8">
        <v>16586</v>
      </c>
      <c r="C10" s="9">
        <v>0.501</v>
      </c>
      <c r="D10" s="9">
        <v>4.0999999999999996</v>
      </c>
      <c r="E10" s="10">
        <v>33208</v>
      </c>
      <c r="F10" s="12">
        <f t="shared" si="1"/>
        <v>1793.3300000000002</v>
      </c>
      <c r="G10" s="12">
        <f t="shared" si="0"/>
        <v>645.33999999999992</v>
      </c>
      <c r="H10" s="12">
        <f t="shared" si="2"/>
        <v>611.22370739999997</v>
      </c>
      <c r="I10" s="9">
        <f t="shared" si="3"/>
        <v>1.0558163765360518</v>
      </c>
      <c r="J10" s="27"/>
      <c r="K10" s="4">
        <f t="shared" si="4"/>
        <v>16586</v>
      </c>
      <c r="L10" s="29">
        <f t="shared" si="5"/>
        <v>1793.3300000000002</v>
      </c>
      <c r="M10" s="28">
        <f t="shared" si="6"/>
        <v>577198.61709617334</v>
      </c>
      <c r="N10" s="28">
        <f t="shared" si="7"/>
        <v>440123.46511626325</v>
      </c>
      <c r="O10" s="16">
        <f t="shared" si="8"/>
        <v>481251.8452908179</v>
      </c>
      <c r="P10" s="43">
        <f t="shared" si="9"/>
        <v>1.0934473697367855</v>
      </c>
    </row>
    <row r="11" spans="1:16">
      <c r="A11" s="8">
        <v>2.9</v>
      </c>
      <c r="B11" s="8">
        <v>0</v>
      </c>
      <c r="C11" s="9">
        <v>0.504</v>
      </c>
      <c r="D11" s="9">
        <v>4.1500000000000004</v>
      </c>
      <c r="E11" s="10">
        <v>33220</v>
      </c>
      <c r="F11" s="12">
        <f t="shared" si="1"/>
        <v>1793.3300000000002</v>
      </c>
      <c r="G11" s="12">
        <f t="shared" si="0"/>
        <v>653.21</v>
      </c>
      <c r="H11" s="12">
        <f t="shared" si="2"/>
        <v>614.88372960000004</v>
      </c>
      <c r="I11" s="9">
        <f t="shared" si="3"/>
        <v>1.0623309229940632</v>
      </c>
      <c r="J11" s="27"/>
      <c r="K11" s="4"/>
      <c r="L11" s="29">
        <f t="shared" si="5"/>
        <v>1793.3300000000002</v>
      </c>
      <c r="M11" s="28">
        <f t="shared" si="6"/>
        <v>577198.61709617334</v>
      </c>
      <c r="N11" s="28">
        <f t="shared" si="7"/>
        <v>440123.46511626325</v>
      </c>
      <c r="O11" s="16">
        <f t="shared" si="8"/>
        <v>487467.56172983395</v>
      </c>
      <c r="P11" s="43">
        <f t="shared" si="9"/>
        <v>1.1075700351515325</v>
      </c>
    </row>
    <row r="12" spans="1:16">
      <c r="A12" s="8">
        <v>2.9</v>
      </c>
      <c r="B12" s="8">
        <v>34500</v>
      </c>
      <c r="C12" s="9">
        <v>0.504</v>
      </c>
      <c r="D12" s="9">
        <v>4.1500000000000004</v>
      </c>
      <c r="E12" s="10">
        <v>33221</v>
      </c>
      <c r="F12" s="12">
        <f t="shared" si="1"/>
        <v>1793.3300000000002</v>
      </c>
      <c r="G12" s="12">
        <f t="shared" si="0"/>
        <v>653.21</v>
      </c>
      <c r="H12" s="12">
        <f t="shared" si="2"/>
        <v>614.88372960000004</v>
      </c>
      <c r="I12" s="9">
        <f t="shared" si="3"/>
        <v>1.0623309229940632</v>
      </c>
      <c r="J12" s="27"/>
      <c r="K12" s="4">
        <f t="shared" si="4"/>
        <v>34500</v>
      </c>
      <c r="L12" s="29">
        <f t="shared" si="5"/>
        <v>1793.3300000000002</v>
      </c>
      <c r="M12" s="28">
        <f t="shared" si="6"/>
        <v>577198.61709617334</v>
      </c>
      <c r="N12" s="28">
        <f t="shared" si="7"/>
        <v>440123.46511626325</v>
      </c>
      <c r="O12" s="16">
        <f t="shared" si="8"/>
        <v>487467.56172983395</v>
      </c>
      <c r="P12" s="43">
        <f t="shared" si="9"/>
        <v>1.1075700351515325</v>
      </c>
    </row>
    <row r="13" spans="1:16">
      <c r="A13" s="8">
        <v>3.6</v>
      </c>
      <c r="B13" s="8">
        <v>34500</v>
      </c>
      <c r="C13" s="9">
        <v>0.55000000000000004</v>
      </c>
      <c r="D13" s="8">
        <v>4.4800000000000004</v>
      </c>
      <c r="E13" s="10">
        <v>33221</v>
      </c>
      <c r="F13" s="12">
        <f t="shared" si="1"/>
        <v>1935.2200000000003</v>
      </c>
      <c r="G13" s="12">
        <f t="shared" si="0"/>
        <v>705.15200000000004</v>
      </c>
      <c r="H13" s="12">
        <f t="shared" si="2"/>
        <v>671.00407000000018</v>
      </c>
      <c r="I13" s="9">
        <f t="shared" si="3"/>
        <v>1.0508907941497283</v>
      </c>
      <c r="J13" s="27"/>
      <c r="K13" s="4">
        <f t="shared" si="4"/>
        <v>0</v>
      </c>
      <c r="L13" s="29">
        <f t="shared" si="5"/>
        <v>1935.2200000000003</v>
      </c>
      <c r="M13" s="28">
        <f t="shared" si="6"/>
        <v>622867.12862488034</v>
      </c>
      <c r="N13" s="28">
        <f t="shared" si="7"/>
        <v>474946.45835529157</v>
      </c>
      <c r="O13" s="16">
        <f t="shared" si="8"/>
        <v>528491.29022733984</v>
      </c>
      <c r="P13" s="43">
        <f t="shared" si="9"/>
        <v>1.1127386696544079</v>
      </c>
    </row>
    <row r="14" spans="1:16">
      <c r="A14" s="8">
        <v>3.6</v>
      </c>
      <c r="B14" s="8">
        <v>70800</v>
      </c>
      <c r="C14" s="9">
        <v>0.55000000000000004</v>
      </c>
      <c r="D14" s="8">
        <v>4.4800000000000004</v>
      </c>
      <c r="E14" s="10">
        <v>33222</v>
      </c>
      <c r="F14" s="12">
        <f t="shared" si="1"/>
        <v>1935.2200000000003</v>
      </c>
      <c r="G14" s="12">
        <f t="shared" si="0"/>
        <v>705.15200000000004</v>
      </c>
      <c r="H14" s="12">
        <f t="shared" si="2"/>
        <v>671.00407000000018</v>
      </c>
      <c r="I14" s="9">
        <f t="shared" si="3"/>
        <v>1.0508907941497283</v>
      </c>
      <c r="J14" s="27"/>
      <c r="K14" s="4">
        <f t="shared" si="4"/>
        <v>36300</v>
      </c>
      <c r="L14" s="29">
        <f t="shared" si="5"/>
        <v>1935.2200000000003</v>
      </c>
      <c r="M14" s="28">
        <f t="shared" si="6"/>
        <v>622867.12862488034</v>
      </c>
      <c r="N14" s="28">
        <f t="shared" si="7"/>
        <v>474946.45835529157</v>
      </c>
      <c r="O14" s="16">
        <f t="shared" si="8"/>
        <v>528491.29022733984</v>
      </c>
      <c r="P14" s="43">
        <f t="shared" si="9"/>
        <v>1.1127386696544079</v>
      </c>
    </row>
    <row r="15" spans="1:16">
      <c r="A15" s="8">
        <v>4.5</v>
      </c>
      <c r="B15" s="8">
        <v>70800</v>
      </c>
      <c r="C15" s="9">
        <v>0.6</v>
      </c>
      <c r="D15" s="8">
        <v>4.8499999999999996</v>
      </c>
      <c r="E15" s="10">
        <v>33222</v>
      </c>
      <c r="F15" s="12">
        <f t="shared" si="1"/>
        <v>2117.65</v>
      </c>
      <c r="G15" s="12">
        <f t="shared" si="0"/>
        <v>763.39</v>
      </c>
      <c r="H15" s="12">
        <f t="shared" si="2"/>
        <v>732.00444000000005</v>
      </c>
      <c r="I15" s="9">
        <f t="shared" si="3"/>
        <v>1.0428761880187503</v>
      </c>
      <c r="J15" s="27"/>
      <c r="K15" s="4">
        <f t="shared" si="4"/>
        <v>0</v>
      </c>
      <c r="L15" s="29">
        <f t="shared" si="5"/>
        <v>2117.65</v>
      </c>
      <c r="M15" s="28">
        <f t="shared" si="6"/>
        <v>681583.78630464629</v>
      </c>
      <c r="N15" s="28">
        <f t="shared" si="7"/>
        <v>519718.87823404215</v>
      </c>
      <c r="O15" s="16">
        <f t="shared" si="8"/>
        <v>574487.59187605861</v>
      </c>
      <c r="P15" s="43">
        <f t="shared" si="9"/>
        <v>1.1053814204866208</v>
      </c>
    </row>
    <row r="16" spans="1:16">
      <c r="A16" s="8">
        <v>4.5</v>
      </c>
      <c r="B16" s="8">
        <v>149600</v>
      </c>
      <c r="C16" s="9">
        <v>0.6</v>
      </c>
      <c r="D16" s="8">
        <v>4.8499999999999996</v>
      </c>
      <c r="E16" s="10">
        <v>33224</v>
      </c>
      <c r="F16" s="12">
        <f t="shared" si="1"/>
        <v>2117.65</v>
      </c>
      <c r="G16" s="12">
        <f t="shared" si="0"/>
        <v>763.39</v>
      </c>
      <c r="H16" s="12">
        <f t="shared" si="2"/>
        <v>732.00444000000005</v>
      </c>
      <c r="I16" s="9">
        <f t="shared" si="3"/>
        <v>1.0428761880187503</v>
      </c>
      <c r="J16" s="27"/>
      <c r="K16" s="4">
        <f t="shared" si="4"/>
        <v>78800</v>
      </c>
      <c r="L16" s="29">
        <f t="shared" si="5"/>
        <v>2117.65</v>
      </c>
      <c r="M16" s="28">
        <f t="shared" si="6"/>
        <v>681583.78630464629</v>
      </c>
      <c r="N16" s="28">
        <f t="shared" si="7"/>
        <v>519718.87823404215</v>
      </c>
      <c r="O16" s="16">
        <f t="shared" si="8"/>
        <v>574487.59187605861</v>
      </c>
      <c r="P16" s="43">
        <f t="shared" si="9"/>
        <v>1.1053814204866208</v>
      </c>
    </row>
    <row r="17" spans="1:16">
      <c r="A17" s="8">
        <v>5.35</v>
      </c>
      <c r="B17" s="8">
        <v>149600</v>
      </c>
      <c r="C17" s="9">
        <v>0.65</v>
      </c>
      <c r="D17" s="8">
        <v>5.25</v>
      </c>
      <c r="E17" s="10">
        <v>33225</v>
      </c>
      <c r="F17" s="12">
        <f t="shared" si="1"/>
        <v>2289.9449999999997</v>
      </c>
      <c r="G17" s="12">
        <f t="shared" si="0"/>
        <v>826.35</v>
      </c>
      <c r="H17" s="12">
        <f t="shared" si="2"/>
        <v>793.00481000000013</v>
      </c>
      <c r="I17" s="9">
        <f t="shared" si="3"/>
        <v>1.0420491648720263</v>
      </c>
      <c r="J17" s="27"/>
      <c r="K17" s="4">
        <f t="shared" si="4"/>
        <v>0</v>
      </c>
      <c r="L17" s="29">
        <f t="shared" si="5"/>
        <v>2289.9449999999997</v>
      </c>
      <c r="M17" s="28">
        <f t="shared" si="6"/>
        <v>737038.40744664753</v>
      </c>
      <c r="N17" s="28">
        <f t="shared" si="7"/>
        <v>562003.94145286223</v>
      </c>
      <c r="O17" s="16">
        <f t="shared" si="8"/>
        <v>624213.3233881871</v>
      </c>
      <c r="P17" s="43">
        <f t="shared" si="9"/>
        <v>1.1106920741062858</v>
      </c>
    </row>
    <row r="18" spans="1:16">
      <c r="A18" s="8">
        <v>5.35</v>
      </c>
      <c r="B18" s="8">
        <v>194045</v>
      </c>
      <c r="C18" s="9">
        <v>0.65</v>
      </c>
      <c r="D18" s="8">
        <v>5.25</v>
      </c>
      <c r="E18" s="10">
        <v>33225</v>
      </c>
      <c r="F18" s="12">
        <f t="shared" si="1"/>
        <v>2289.9449999999997</v>
      </c>
      <c r="G18" s="12">
        <f t="shared" si="0"/>
        <v>826.35</v>
      </c>
      <c r="H18" s="12">
        <f t="shared" si="2"/>
        <v>793.00481000000013</v>
      </c>
      <c r="I18" s="9">
        <f t="shared" si="3"/>
        <v>1.0420491648720263</v>
      </c>
      <c r="J18" s="27"/>
      <c r="K18" s="4">
        <f t="shared" si="4"/>
        <v>44445</v>
      </c>
      <c r="L18" s="29">
        <f t="shared" si="5"/>
        <v>2289.9449999999997</v>
      </c>
      <c r="M18" s="28">
        <f t="shared" si="6"/>
        <v>737038.40744664753</v>
      </c>
      <c r="N18" s="28">
        <f t="shared" si="7"/>
        <v>562003.94145286223</v>
      </c>
      <c r="O18" s="16">
        <f t="shared" si="8"/>
        <v>624213.3233881871</v>
      </c>
      <c r="P18" s="43">
        <f t="shared" si="9"/>
        <v>1.1106920741062858</v>
      </c>
    </row>
    <row r="19" spans="1:16">
      <c r="A19" s="4">
        <v>6.1</v>
      </c>
      <c r="B19" s="29">
        <v>194045</v>
      </c>
      <c r="C19" s="24">
        <v>0.69199999999999995</v>
      </c>
      <c r="D19" s="32">
        <v>5.59</v>
      </c>
      <c r="E19" s="30">
        <v>33225</v>
      </c>
      <c r="F19" s="12">
        <f t="shared" ref="F19:F30" si="10">(0.2027*A19+1.2055)*1000</f>
        <v>2441.9699999999998</v>
      </c>
      <c r="G19" s="12">
        <f t="shared" ref="G19:G30" si="11">D19*157.4</f>
        <v>879.86599999999999</v>
      </c>
      <c r="H19" s="12">
        <f t="shared" ref="H19:H30" si="12">C19*7.751*157.4</f>
        <v>844.2451208</v>
      </c>
      <c r="I19" s="9">
        <f t="shared" ref="I19:I30" si="13">G19/H19</f>
        <v>1.0421925792905335</v>
      </c>
      <c r="J19" s="27"/>
      <c r="K19" s="4">
        <f t="shared" ref="K19:K30" si="14">B19-B18</f>
        <v>0</v>
      </c>
      <c r="L19" s="29">
        <f t="shared" ref="L19:L30" si="15">F19</f>
        <v>2441.9699999999998</v>
      </c>
      <c r="M19" s="28">
        <f t="shared" ref="M19:M30" si="16">8*F19/($D$3*SQRT($G$2^2-$G$1^2))</f>
        <v>785968.95551311923</v>
      </c>
      <c r="N19" s="28">
        <f t="shared" si="7"/>
        <v>599314.29135182104</v>
      </c>
      <c r="O19" s="16">
        <f t="shared" ref="O19:O30" si="17">1000*(D19*1000-228.75)*8/64.353</f>
        <v>666480.19517349626</v>
      </c>
      <c r="P19" s="43">
        <f t="shared" ref="P19:P30" si="18">IF(O19/N19&gt;0.5,O19/N19,"")</f>
        <v>1.112071253415591</v>
      </c>
    </row>
    <row r="20" spans="1:16">
      <c r="A20" s="4">
        <v>6.1</v>
      </c>
      <c r="B20" s="29">
        <v>326000</v>
      </c>
      <c r="C20" s="24">
        <v>0.69399999999999995</v>
      </c>
      <c r="D20" s="32">
        <v>5.59</v>
      </c>
      <c r="E20" s="30">
        <v>33228</v>
      </c>
      <c r="F20" s="12">
        <f t="shared" si="10"/>
        <v>2441.9699999999998</v>
      </c>
      <c r="G20" s="12">
        <f t="shared" si="11"/>
        <v>879.86599999999999</v>
      </c>
      <c r="H20" s="12">
        <f t="shared" si="12"/>
        <v>846.68513560000008</v>
      </c>
      <c r="I20" s="9">
        <f t="shared" si="13"/>
        <v>1.0391891424626067</v>
      </c>
      <c r="J20" s="27"/>
      <c r="K20" s="4">
        <f t="shared" si="14"/>
        <v>131955</v>
      </c>
      <c r="L20" s="29">
        <f t="shared" si="15"/>
        <v>2441.9699999999998</v>
      </c>
      <c r="M20" s="28">
        <f t="shared" si="16"/>
        <v>785968.95551311923</v>
      </c>
      <c r="N20" s="28">
        <f t="shared" si="7"/>
        <v>599314.29135182104</v>
      </c>
      <c r="O20" s="16">
        <f t="shared" si="17"/>
        <v>666480.19517349626</v>
      </c>
      <c r="P20" s="43">
        <f t="shared" si="18"/>
        <v>1.112071253415591</v>
      </c>
    </row>
    <row r="21" spans="1:16">
      <c r="A21" s="33">
        <v>3.5</v>
      </c>
      <c r="B21" s="34">
        <v>0</v>
      </c>
      <c r="C21" s="35">
        <v>0.62</v>
      </c>
      <c r="D21" s="36">
        <v>5.03</v>
      </c>
      <c r="E21" s="37">
        <v>33078</v>
      </c>
      <c r="F21" s="12">
        <f t="shared" si="10"/>
        <v>1914.9499999999998</v>
      </c>
      <c r="G21" s="12">
        <f t="shared" si="11"/>
        <v>791.72200000000009</v>
      </c>
      <c r="H21" s="12">
        <f t="shared" si="12"/>
        <v>756.4045880000001</v>
      </c>
      <c r="I21" s="9">
        <f t="shared" si="13"/>
        <v>1.0466911657600892</v>
      </c>
      <c r="J21" s="27"/>
      <c r="K21" s="4"/>
      <c r="L21" s="29">
        <f t="shared" si="15"/>
        <v>1914.9499999999998</v>
      </c>
      <c r="M21" s="28">
        <f t="shared" si="16"/>
        <v>616343.05554935057</v>
      </c>
      <c r="N21" s="28">
        <f t="shared" si="7"/>
        <v>469971.74503543024</v>
      </c>
      <c r="O21" s="16">
        <f t="shared" si="17"/>
        <v>596864.17105651647</v>
      </c>
      <c r="P21" s="43">
        <f t="shared" si="18"/>
        <v>1.2700001167336561</v>
      </c>
    </row>
    <row r="22" spans="1:16">
      <c r="A22" s="33">
        <v>3.5</v>
      </c>
      <c r="B22" s="34">
        <v>125000</v>
      </c>
      <c r="C22" s="35">
        <v>0.62</v>
      </c>
      <c r="D22" s="36">
        <v>5.03</v>
      </c>
      <c r="E22" s="37">
        <v>33081</v>
      </c>
      <c r="F22" s="12">
        <f t="shared" si="10"/>
        <v>1914.9499999999998</v>
      </c>
      <c r="G22" s="12">
        <f t="shared" si="11"/>
        <v>791.72200000000009</v>
      </c>
      <c r="H22" s="12">
        <f t="shared" si="12"/>
        <v>756.4045880000001</v>
      </c>
      <c r="I22" s="9">
        <f t="shared" si="13"/>
        <v>1.0466911657600892</v>
      </c>
      <c r="J22" s="27"/>
      <c r="K22" s="4">
        <f t="shared" si="14"/>
        <v>125000</v>
      </c>
      <c r="L22" s="29">
        <f t="shared" si="15"/>
        <v>1914.9499999999998</v>
      </c>
      <c r="M22" s="28">
        <f t="shared" si="16"/>
        <v>616343.05554935057</v>
      </c>
      <c r="N22" s="28">
        <f t="shared" si="7"/>
        <v>469971.74503543024</v>
      </c>
      <c r="O22" s="16">
        <f t="shared" si="17"/>
        <v>596864.17105651647</v>
      </c>
      <c r="P22" s="43">
        <f t="shared" si="18"/>
        <v>1.2700001167336561</v>
      </c>
    </row>
    <row r="23" spans="1:16">
      <c r="A23" s="4">
        <v>2.35</v>
      </c>
      <c r="B23" s="29">
        <v>400225</v>
      </c>
      <c r="C23" s="24">
        <v>0.49</v>
      </c>
      <c r="D23" s="32">
        <v>4.5999999999999996</v>
      </c>
      <c r="E23" s="30">
        <v>32931</v>
      </c>
      <c r="F23" s="12">
        <f t="shared" si="10"/>
        <v>1681.845</v>
      </c>
      <c r="G23" s="12">
        <f t="shared" si="11"/>
        <v>724.04</v>
      </c>
      <c r="H23" s="12">
        <f t="shared" si="12"/>
        <v>597.80362600000001</v>
      </c>
      <c r="I23" s="9">
        <f t="shared" si="13"/>
        <v>1.2111669593653485</v>
      </c>
      <c r="J23" s="27"/>
      <c r="K23" s="4"/>
      <c r="L23" s="29">
        <f t="shared" si="15"/>
        <v>1681.845</v>
      </c>
      <c r="M23" s="28">
        <f t="shared" si="16"/>
        <v>541316.21518076072</v>
      </c>
      <c r="N23" s="28">
        <f t="shared" si="7"/>
        <v>412762.54185702675</v>
      </c>
      <c r="O23" s="16">
        <f t="shared" si="17"/>
        <v>543409.00968097837</v>
      </c>
      <c r="P23" s="43">
        <f t="shared" si="18"/>
        <v>1.3165172576856674</v>
      </c>
    </row>
    <row r="24" spans="1:16">
      <c r="A24" s="4">
        <v>2.35</v>
      </c>
      <c r="B24" s="29">
        <v>522000</v>
      </c>
      <c r="C24" s="24">
        <v>0.49</v>
      </c>
      <c r="D24" s="32">
        <v>4.5999999999999996</v>
      </c>
      <c r="E24" s="30">
        <v>32934</v>
      </c>
      <c r="F24" s="12">
        <f t="shared" si="10"/>
        <v>1681.845</v>
      </c>
      <c r="G24" s="12">
        <f t="shared" si="11"/>
        <v>724.04</v>
      </c>
      <c r="H24" s="12">
        <f t="shared" si="12"/>
        <v>597.80362600000001</v>
      </c>
      <c r="I24" s="9">
        <f t="shared" si="13"/>
        <v>1.2111669593653485</v>
      </c>
      <c r="J24" s="27"/>
      <c r="K24" s="4">
        <f t="shared" si="14"/>
        <v>121775</v>
      </c>
      <c r="L24" s="29">
        <f t="shared" si="15"/>
        <v>1681.845</v>
      </c>
      <c r="M24" s="28">
        <f t="shared" si="16"/>
        <v>541316.21518076072</v>
      </c>
      <c r="N24" s="28">
        <f t="shared" si="7"/>
        <v>412762.54185702675</v>
      </c>
      <c r="O24" s="16">
        <f t="shared" si="17"/>
        <v>543409.00968097837</v>
      </c>
      <c r="P24" s="43">
        <f t="shared" si="18"/>
        <v>1.3165172576856674</v>
      </c>
    </row>
    <row r="25" spans="1:16">
      <c r="A25" s="4">
        <v>2</v>
      </c>
      <c r="B25" s="29">
        <v>0</v>
      </c>
      <c r="D25" s="32"/>
      <c r="E25" s="30">
        <v>32945</v>
      </c>
      <c r="F25" s="12">
        <f t="shared" si="10"/>
        <v>1610.9</v>
      </c>
      <c r="G25" s="12">
        <f t="shared" si="11"/>
        <v>0</v>
      </c>
      <c r="H25" s="12">
        <f t="shared" si="12"/>
        <v>0</v>
      </c>
      <c r="I25" s="9" t="e">
        <f t="shared" si="13"/>
        <v>#DIV/0!</v>
      </c>
      <c r="J25" s="27"/>
      <c r="K25" s="4"/>
      <c r="L25" s="29">
        <f t="shared" si="15"/>
        <v>1610.9</v>
      </c>
      <c r="M25" s="28">
        <f t="shared" si="16"/>
        <v>518481.95941640722</v>
      </c>
      <c r="N25" s="28">
        <f t="shared" si="7"/>
        <v>395351.04523751262</v>
      </c>
      <c r="O25" s="16">
        <f t="shared" si="17"/>
        <v>-28436.902708498441</v>
      </c>
      <c r="P25" s="43" t="str">
        <f t="shared" si="18"/>
        <v/>
      </c>
    </row>
    <row r="26" spans="1:16">
      <c r="A26" s="4">
        <v>2</v>
      </c>
      <c r="B26" s="29">
        <v>34500</v>
      </c>
      <c r="D26" s="32"/>
      <c r="E26" s="30">
        <v>32946</v>
      </c>
      <c r="F26" s="12">
        <f t="shared" si="10"/>
        <v>1610.9</v>
      </c>
      <c r="G26" s="12">
        <f t="shared" si="11"/>
        <v>0</v>
      </c>
      <c r="H26" s="12">
        <f t="shared" si="12"/>
        <v>0</v>
      </c>
      <c r="I26" s="9" t="e">
        <f t="shared" si="13"/>
        <v>#DIV/0!</v>
      </c>
      <c r="J26" s="27"/>
      <c r="K26" s="4">
        <f t="shared" si="14"/>
        <v>34500</v>
      </c>
      <c r="L26" s="29">
        <f t="shared" si="15"/>
        <v>1610.9</v>
      </c>
      <c r="M26" s="28">
        <f t="shared" si="16"/>
        <v>518481.95941640722</v>
      </c>
      <c r="N26" s="28">
        <f t="shared" si="7"/>
        <v>395351.04523751262</v>
      </c>
      <c r="O26" s="16">
        <f t="shared" si="17"/>
        <v>-28436.902708498441</v>
      </c>
      <c r="P26" s="43" t="str">
        <f t="shared" si="18"/>
        <v/>
      </c>
    </row>
    <row r="27" spans="1:16">
      <c r="A27" s="4">
        <v>1.95</v>
      </c>
      <c r="B27" s="29">
        <v>34500</v>
      </c>
      <c r="D27" s="32"/>
      <c r="E27" s="30">
        <v>32946</v>
      </c>
      <c r="F27" s="12">
        <f t="shared" si="10"/>
        <v>1600.7650000000001</v>
      </c>
      <c r="G27" s="12">
        <f t="shared" si="11"/>
        <v>0</v>
      </c>
      <c r="H27" s="12">
        <f t="shared" si="12"/>
        <v>0</v>
      </c>
      <c r="I27" s="9" t="e">
        <f t="shared" si="13"/>
        <v>#DIV/0!</v>
      </c>
      <c r="J27" s="27"/>
      <c r="K27" s="4">
        <f t="shared" si="14"/>
        <v>0</v>
      </c>
      <c r="L27" s="29">
        <f t="shared" si="15"/>
        <v>1600.7650000000001</v>
      </c>
      <c r="M27" s="28">
        <f t="shared" si="16"/>
        <v>515219.92287864245</v>
      </c>
      <c r="N27" s="28">
        <f t="shared" si="7"/>
        <v>392863.68857758201</v>
      </c>
      <c r="O27" s="16">
        <f t="shared" si="17"/>
        <v>-28436.902708498441</v>
      </c>
      <c r="P27" s="43" t="str">
        <f t="shared" si="18"/>
        <v/>
      </c>
    </row>
    <row r="28" spans="1:16">
      <c r="A28" s="4">
        <v>1.95</v>
      </c>
      <c r="B28" s="29">
        <v>333000</v>
      </c>
      <c r="D28" s="32"/>
      <c r="E28" s="30">
        <v>32954</v>
      </c>
      <c r="F28" s="12">
        <f t="shared" si="10"/>
        <v>1600.7650000000001</v>
      </c>
      <c r="G28" s="12">
        <f t="shared" si="11"/>
        <v>0</v>
      </c>
      <c r="H28" s="12">
        <f t="shared" si="12"/>
        <v>0</v>
      </c>
      <c r="I28" s="9" t="e">
        <f t="shared" si="13"/>
        <v>#DIV/0!</v>
      </c>
      <c r="J28" s="27"/>
      <c r="K28" s="4">
        <f t="shared" si="14"/>
        <v>298500</v>
      </c>
      <c r="L28" s="29">
        <f t="shared" si="15"/>
        <v>1600.7650000000001</v>
      </c>
      <c r="M28" s="28">
        <f t="shared" si="16"/>
        <v>515219.92287864245</v>
      </c>
      <c r="N28" s="28">
        <f t="shared" si="7"/>
        <v>392863.68857758201</v>
      </c>
      <c r="O28" s="16">
        <f t="shared" si="17"/>
        <v>-28436.902708498441</v>
      </c>
      <c r="P28" s="43" t="str">
        <f t="shared" si="18"/>
        <v/>
      </c>
    </row>
    <row r="29" spans="1:16">
      <c r="A29" s="4">
        <v>2.9</v>
      </c>
      <c r="B29" s="29">
        <v>0</v>
      </c>
      <c r="C29" s="24">
        <v>0.55000000000000004</v>
      </c>
      <c r="D29" s="32">
        <v>4.2</v>
      </c>
      <c r="E29" s="30">
        <v>32995</v>
      </c>
      <c r="F29" s="12">
        <f t="shared" si="10"/>
        <v>1793.3300000000002</v>
      </c>
      <c r="G29" s="12">
        <f t="shared" si="11"/>
        <v>661.08</v>
      </c>
      <c r="H29" s="12">
        <f t="shared" si="12"/>
        <v>671.00407000000018</v>
      </c>
      <c r="I29" s="9">
        <f t="shared" si="13"/>
        <v>0.9852101195153703</v>
      </c>
      <c r="J29" s="27"/>
      <c r="K29" s="4"/>
      <c r="L29" s="29">
        <f t="shared" si="15"/>
        <v>1793.3300000000002</v>
      </c>
      <c r="M29" s="28">
        <f t="shared" si="16"/>
        <v>577198.61709617334</v>
      </c>
      <c r="N29" s="28">
        <f t="shared" si="7"/>
        <v>440123.46511626325</v>
      </c>
      <c r="O29" s="16">
        <f t="shared" si="17"/>
        <v>493683.27816885</v>
      </c>
      <c r="P29" s="43">
        <f t="shared" si="18"/>
        <v>1.1216927005662793</v>
      </c>
    </row>
    <row r="30" spans="1:16">
      <c r="A30" s="4">
        <v>2.9</v>
      </c>
      <c r="B30" s="29">
        <v>205000</v>
      </c>
      <c r="C30" s="24">
        <v>0.55000000000000004</v>
      </c>
      <c r="D30" s="32">
        <v>4.2</v>
      </c>
      <c r="E30" s="30">
        <v>33000</v>
      </c>
      <c r="F30" s="12">
        <f t="shared" si="10"/>
        <v>1793.3300000000002</v>
      </c>
      <c r="G30" s="12">
        <f t="shared" si="11"/>
        <v>661.08</v>
      </c>
      <c r="H30" s="12">
        <f t="shared" si="12"/>
        <v>671.00407000000018</v>
      </c>
      <c r="I30" s="9">
        <f t="shared" si="13"/>
        <v>0.9852101195153703</v>
      </c>
      <c r="J30" s="27"/>
      <c r="K30" s="4">
        <f t="shared" si="14"/>
        <v>205000</v>
      </c>
      <c r="L30" s="29">
        <f t="shared" si="15"/>
        <v>1793.3300000000002</v>
      </c>
      <c r="M30" s="28">
        <f t="shared" si="16"/>
        <v>577198.61709617334</v>
      </c>
      <c r="N30" s="28">
        <f t="shared" si="7"/>
        <v>440123.46511626325</v>
      </c>
      <c r="O30" s="16">
        <f t="shared" si="17"/>
        <v>493683.27816885</v>
      </c>
      <c r="P30" s="43">
        <f t="shared" si="18"/>
        <v>1.1216927005662793</v>
      </c>
    </row>
    <row r="31" spans="1:16">
      <c r="A31" s="4"/>
      <c r="B31" s="29"/>
      <c r="D31" s="32"/>
      <c r="E31" s="30"/>
      <c r="F31" s="29"/>
      <c r="G31" s="4"/>
      <c r="H31" s="4"/>
      <c r="I31" s="4"/>
      <c r="J31" s="27"/>
      <c r="K31" s="4">
        <f>SUM(K7:K30)</f>
        <v>1467361</v>
      </c>
      <c r="L31" s="4"/>
      <c r="M31" s="4"/>
      <c r="N31" s="4"/>
      <c r="O31" s="3" t="s">
        <v>12</v>
      </c>
      <c r="P31" s="43">
        <f>MAX(P7:P30)</f>
        <v>1.3165172576856674</v>
      </c>
    </row>
    <row r="32" spans="1:16">
      <c r="A32" s="4"/>
      <c r="B32" s="29"/>
      <c r="D32" s="32"/>
      <c r="E32" s="30"/>
      <c r="F32" s="29"/>
      <c r="G32" s="4"/>
      <c r="H32" s="4"/>
      <c r="I32" s="4"/>
      <c r="J32" s="27"/>
      <c r="K32" s="4"/>
      <c r="L32" s="4"/>
      <c r="M32" s="4"/>
      <c r="N32" s="4"/>
      <c r="O32" s="3" t="s">
        <v>53</v>
      </c>
      <c r="P32" s="43">
        <f>MIN(P7:P30)</f>
        <v>1.0934473697367855</v>
      </c>
    </row>
    <row r="33" spans="1:14">
      <c r="A33" s="4"/>
      <c r="B33" s="29"/>
      <c r="D33" s="32"/>
      <c r="E33" s="30"/>
      <c r="F33" s="29"/>
      <c r="G33" s="4"/>
      <c r="H33" s="4"/>
      <c r="I33" s="4"/>
      <c r="J33" s="27"/>
      <c r="K33" s="4"/>
      <c r="L33" s="4"/>
      <c r="M33" s="4"/>
      <c r="N33" s="4"/>
    </row>
    <row r="34" spans="1:14">
      <c r="A34" s="4"/>
      <c r="B34" s="29"/>
      <c r="D34" s="32"/>
      <c r="E34" s="30"/>
      <c r="F34" s="29"/>
      <c r="G34" s="4"/>
      <c r="H34" s="4"/>
      <c r="I34" s="4"/>
      <c r="J34" s="27"/>
      <c r="K34" s="4"/>
      <c r="L34" s="4"/>
      <c r="M34" s="4"/>
      <c r="N34" s="4"/>
    </row>
    <row r="35" spans="1:14">
      <c r="A35" s="4"/>
      <c r="B35" s="29"/>
      <c r="D35" s="29"/>
      <c r="E35" s="30"/>
      <c r="F35" s="29"/>
      <c r="G35" s="4"/>
      <c r="H35" s="4"/>
      <c r="I35" s="4"/>
      <c r="J35" s="27"/>
      <c r="K35" s="4"/>
      <c r="L35" s="4"/>
      <c r="M35" s="4"/>
      <c r="N35" s="4"/>
    </row>
    <row r="36" spans="1:14">
      <c r="B36" s="15"/>
      <c r="D36" s="15"/>
      <c r="I36" s="13"/>
      <c r="J36" s="3"/>
    </row>
    <row r="37" spans="1:14">
      <c r="B37" s="15"/>
      <c r="D37" s="15"/>
    </row>
    <row r="38" spans="1:14" ht="50">
      <c r="A38" s="5" t="s">
        <v>5</v>
      </c>
      <c r="B38" s="5" t="s">
        <v>13</v>
      </c>
      <c r="C38" s="5" t="s">
        <v>24</v>
      </c>
      <c r="D38" s="5" t="s">
        <v>14</v>
      </c>
      <c r="E38" s="5" t="s">
        <v>55</v>
      </c>
      <c r="F38" s="5" t="s">
        <v>57</v>
      </c>
    </row>
    <row r="39" spans="1:14">
      <c r="A39" s="3">
        <v>298500</v>
      </c>
      <c r="B39" s="3">
        <v>1600.7650000000001</v>
      </c>
      <c r="C39" s="24">
        <v>515219.92287864245</v>
      </c>
      <c r="D39" s="3">
        <v>392863.68857758201</v>
      </c>
      <c r="E39" s="15">
        <f>D39/1000*1.5598+1.525</f>
        <v>614.31378144331245</v>
      </c>
      <c r="F39" s="15">
        <f>D39/1000</f>
        <v>392.86368857758202</v>
      </c>
    </row>
    <row r="40" spans="1:14">
      <c r="A40" s="3">
        <v>34500</v>
      </c>
      <c r="B40" s="3">
        <v>1610.9</v>
      </c>
      <c r="C40" s="24">
        <v>518481.95941640722</v>
      </c>
      <c r="D40" s="3">
        <v>395351.04523751262</v>
      </c>
      <c r="E40" s="15">
        <f t="shared" ref="E40:E47" si="19">D40/1000*1.5598+1.525</f>
        <v>618.19356036147212</v>
      </c>
      <c r="F40" s="15">
        <f t="shared" ref="F40:F47" si="20">D40/1000</f>
        <v>395.35104523751261</v>
      </c>
    </row>
    <row r="41" spans="1:14">
      <c r="A41" s="3">
        <v>121775</v>
      </c>
      <c r="B41" s="3">
        <v>1681.845</v>
      </c>
      <c r="C41" s="24">
        <v>541316.21518076072</v>
      </c>
      <c r="D41" s="3">
        <v>412762.54185702675</v>
      </c>
      <c r="E41" s="15">
        <f t="shared" si="19"/>
        <v>645.35201278859029</v>
      </c>
      <c r="F41" s="15">
        <f t="shared" si="20"/>
        <v>412.76254185702675</v>
      </c>
    </row>
    <row r="42" spans="1:14">
      <c r="A42" s="3">
        <v>256086</v>
      </c>
      <c r="B42" s="3">
        <v>1793.33</v>
      </c>
      <c r="C42" s="24">
        <v>577198.61709617334</v>
      </c>
      <c r="D42" s="3">
        <v>440123.46511626325</v>
      </c>
      <c r="E42" s="15">
        <f t="shared" si="19"/>
        <v>688.02958088834748</v>
      </c>
      <c r="F42" s="15">
        <f t="shared" si="20"/>
        <v>440.12346511626328</v>
      </c>
    </row>
    <row r="43" spans="1:14">
      <c r="A43" s="3">
        <v>125000</v>
      </c>
      <c r="B43" s="3">
        <v>1914.95</v>
      </c>
      <c r="C43" s="24">
        <v>616343.05554935057</v>
      </c>
      <c r="D43" s="3">
        <v>469971.74503543024</v>
      </c>
      <c r="E43" s="15">
        <f t="shared" si="19"/>
        <v>734.58692790626401</v>
      </c>
      <c r="F43" s="15">
        <f t="shared" si="20"/>
        <v>469.97174503543022</v>
      </c>
    </row>
    <row r="44" spans="1:14">
      <c r="A44" s="3">
        <v>36300</v>
      </c>
      <c r="B44" s="3">
        <v>1935.22</v>
      </c>
      <c r="C44" s="24">
        <v>622867.12862488034</v>
      </c>
      <c r="D44" s="3">
        <v>474946.45835529157</v>
      </c>
      <c r="E44" s="15">
        <f t="shared" si="19"/>
        <v>742.34648574258381</v>
      </c>
      <c r="F44" s="15">
        <f t="shared" si="20"/>
        <v>474.94645835529155</v>
      </c>
    </row>
    <row r="45" spans="1:14">
      <c r="A45" s="3">
        <v>78800</v>
      </c>
      <c r="B45" s="3">
        <v>2117.65</v>
      </c>
      <c r="C45" s="24">
        <v>681583.78630464629</v>
      </c>
      <c r="D45" s="3">
        <v>519718.87823404215</v>
      </c>
      <c r="E45" s="15">
        <f t="shared" si="19"/>
        <v>812.18250626945894</v>
      </c>
      <c r="F45" s="15">
        <f t="shared" si="20"/>
        <v>519.71887823404211</v>
      </c>
    </row>
    <row r="46" spans="1:14">
      <c r="A46" s="3">
        <v>44445</v>
      </c>
      <c r="B46" s="3">
        <v>2289.9450000000002</v>
      </c>
      <c r="C46" s="24">
        <v>737038.40744664753</v>
      </c>
      <c r="D46" s="3">
        <v>562003.94145286223</v>
      </c>
      <c r="E46" s="15">
        <f t="shared" si="19"/>
        <v>878.13874787817451</v>
      </c>
      <c r="F46" s="15">
        <f t="shared" si="20"/>
        <v>562.00394145286225</v>
      </c>
    </row>
    <row r="47" spans="1:14">
      <c r="A47" s="3">
        <v>471955</v>
      </c>
      <c r="B47" s="3">
        <v>2441.9699999999998</v>
      </c>
      <c r="C47" s="24">
        <v>785968.95551311923</v>
      </c>
      <c r="D47" s="3">
        <v>599314.29135182104</v>
      </c>
      <c r="E47" s="15">
        <f t="shared" si="19"/>
        <v>936.3354316505704</v>
      </c>
      <c r="F47" s="15">
        <f t="shared" si="20"/>
        <v>599.314291351821</v>
      </c>
    </row>
    <row r="48" spans="1:14">
      <c r="A48" s="4">
        <f>SUM(A39:A47)</f>
        <v>1467361</v>
      </c>
      <c r="B48" s="28"/>
      <c r="C48" s="28"/>
      <c r="I48" s="13"/>
      <c r="J48" s="3"/>
    </row>
  </sheetData>
  <phoneticPr fontId="0" type="noConversion"/>
  <pageMargins left="0.75" right="0.75" top="1" bottom="1" header="0.5" footer="0.5"/>
  <pageSetup scale="60" orientation="landscape" r:id="rId1"/>
  <headerFooter alignWithMargins="0"/>
  <drawing r:id="rId2"/>
  <legacyDrawing r:id="rId3"/>
  <oleObjects>
    <mc:AlternateContent xmlns:mc="http://schemas.openxmlformats.org/markup-compatibility/2006">
      <mc:Choice Requires="x14">
        <oleObject progId="Mathcad" shapeId="12289" r:id="rId4">
          <objectPr defaultSize="0" r:id="rId5">
            <anchor moveWithCells="1">
              <from>
                <xdr:col>8</xdr:col>
                <xdr:colOff>165100</xdr:colOff>
                <xdr:row>0</xdr:row>
                <xdr:rowOff>133350</xdr:rowOff>
              </from>
              <to>
                <xdr:col>9</xdr:col>
                <xdr:colOff>285750</xdr:colOff>
                <xdr:row>3</xdr:row>
                <xdr:rowOff>0</xdr:rowOff>
              </to>
            </anchor>
          </objectPr>
        </oleObject>
      </mc:Choice>
      <mc:Fallback>
        <oleObject progId="Mathcad" shapeId="12289" r:id="rId4"/>
      </mc:Fallback>
    </mc:AlternateContent>
    <mc:AlternateContent xmlns:mc="http://schemas.openxmlformats.org/markup-compatibility/2006">
      <mc:Choice Requires="x14">
        <oleObject progId="Mathcad" shapeId="12290" r:id="rId6">
          <objectPr defaultSize="0" r:id="rId7">
            <anchor moveWithCells="1">
              <from>
                <xdr:col>9</xdr:col>
                <xdr:colOff>539750</xdr:colOff>
                <xdr:row>1</xdr:row>
                <xdr:rowOff>31750</xdr:rowOff>
              </from>
              <to>
                <xdr:col>12</xdr:col>
                <xdr:colOff>50800</xdr:colOff>
                <xdr:row>2</xdr:row>
                <xdr:rowOff>127000</xdr:rowOff>
              </to>
            </anchor>
          </objectPr>
        </oleObject>
      </mc:Choice>
      <mc:Fallback>
        <oleObject progId="Mathcad" shapeId="12290" r:id="rId6"/>
      </mc:Fallback>
    </mc:AlternateContent>
    <mc:AlternateContent xmlns:mc="http://schemas.openxmlformats.org/markup-compatibility/2006">
      <mc:Choice Requires="x14">
        <oleObject progId="Mathcad" shapeId="12293" r:id="rId8">
          <objectPr defaultSize="0" r:id="rId5">
            <anchor moveWithCells="1">
              <from>
                <xdr:col>8</xdr:col>
                <xdr:colOff>165100</xdr:colOff>
                <xdr:row>0</xdr:row>
                <xdr:rowOff>133350</xdr:rowOff>
              </from>
              <to>
                <xdr:col>9</xdr:col>
                <xdr:colOff>285750</xdr:colOff>
                <xdr:row>3</xdr:row>
                <xdr:rowOff>0</xdr:rowOff>
              </to>
            </anchor>
          </objectPr>
        </oleObject>
      </mc:Choice>
      <mc:Fallback>
        <oleObject progId="Mathcad" shapeId="12293" r:id="rId8"/>
      </mc:Fallback>
    </mc:AlternateContent>
    <mc:AlternateContent xmlns:mc="http://schemas.openxmlformats.org/markup-compatibility/2006">
      <mc:Choice Requires="x14">
        <oleObject progId="Mathcad" shapeId="12294" r:id="rId9">
          <objectPr defaultSize="0" r:id="rId7">
            <anchor moveWithCells="1">
              <from>
                <xdr:col>9</xdr:col>
                <xdr:colOff>539750</xdr:colOff>
                <xdr:row>1</xdr:row>
                <xdr:rowOff>31750</xdr:rowOff>
              </from>
              <to>
                <xdr:col>12</xdr:col>
                <xdr:colOff>50800</xdr:colOff>
                <xdr:row>2</xdr:row>
                <xdr:rowOff>127000</xdr:rowOff>
              </to>
            </anchor>
          </objectPr>
        </oleObject>
      </mc:Choice>
      <mc:Fallback>
        <oleObject progId="Mathcad" shapeId="12294" r:id="rId9"/>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P29"/>
  <sheetViews>
    <sheetView topLeftCell="A21" workbookViewId="0">
      <selection activeCell="F23" sqref="F23:F28"/>
    </sheetView>
  </sheetViews>
  <sheetFormatPr defaultColWidth="9" defaultRowHeight="12.5"/>
  <cols>
    <col min="1" max="1" width="9" style="3"/>
    <col min="2" max="2" width="9.08984375" style="3" bestFit="1" customWidth="1"/>
    <col min="3" max="3" width="9.08984375" style="24" bestFit="1" customWidth="1"/>
    <col min="4" max="4" width="9.08984375" style="3" bestFit="1" customWidth="1"/>
    <col min="5" max="9" width="9" style="3"/>
    <col min="10" max="10" width="9.36328125" style="13" customWidth="1"/>
    <col min="11" max="16384" width="9" style="3"/>
  </cols>
  <sheetData>
    <row r="1" spans="1:16" s="1" customFormat="1">
      <c r="A1" s="25" t="s">
        <v>39</v>
      </c>
      <c r="B1" s="25"/>
      <c r="C1" s="20" t="s">
        <v>10</v>
      </c>
      <c r="D1" s="25">
        <v>387.6</v>
      </c>
      <c r="E1" s="25" t="s">
        <v>11</v>
      </c>
      <c r="F1" s="25" t="s">
        <v>20</v>
      </c>
      <c r="G1" s="26">
        <f>D4/(2*D3)</f>
        <v>1485.8075040783035</v>
      </c>
      <c r="H1" s="25" t="s">
        <v>26</v>
      </c>
      <c r="I1" s="25"/>
      <c r="J1" s="27"/>
      <c r="K1" s="25"/>
      <c r="L1" s="25"/>
      <c r="M1" s="25"/>
      <c r="N1" s="25"/>
    </row>
    <row r="2" spans="1:16">
      <c r="A2" s="4"/>
      <c r="B2" s="4"/>
      <c r="C2" s="31" t="s">
        <v>15</v>
      </c>
      <c r="D2" s="4">
        <v>384.9</v>
      </c>
      <c r="E2" s="4" t="s">
        <v>11</v>
      </c>
      <c r="F2" s="4" t="s">
        <v>21</v>
      </c>
      <c r="G2" s="4">
        <f>SQRT(1/(D3*D5))</f>
        <v>8244.4965742557415</v>
      </c>
      <c r="H2" s="4" t="s">
        <v>26</v>
      </c>
      <c r="I2" s="4"/>
      <c r="J2" s="27"/>
      <c r="K2" s="4"/>
      <c r="L2" s="4"/>
      <c r="M2" s="4"/>
      <c r="N2" s="4"/>
    </row>
    <row r="3" spans="1:16">
      <c r="A3" s="4"/>
      <c r="B3" s="4"/>
      <c r="C3" s="31" t="s">
        <v>16</v>
      </c>
      <c r="D3" s="28">
        <v>3.0649999999999999E-6</v>
      </c>
      <c r="E3" s="4" t="s">
        <v>17</v>
      </c>
      <c r="F3" s="4" t="s">
        <v>25</v>
      </c>
      <c r="G3" s="28">
        <v>1.705E-4</v>
      </c>
      <c r="H3" s="4" t="s">
        <v>27</v>
      </c>
      <c r="I3" s="4"/>
      <c r="J3" s="27"/>
      <c r="K3" s="4"/>
      <c r="L3" s="4"/>
      <c r="M3" s="4"/>
      <c r="N3" s="4"/>
    </row>
    <row r="4" spans="1:16">
      <c r="A4" s="4"/>
      <c r="B4" s="4"/>
      <c r="C4" s="31" t="s">
        <v>18</v>
      </c>
      <c r="D4" s="28">
        <v>9.1079999999999998E-3</v>
      </c>
      <c r="E4" s="4" t="s">
        <v>19</v>
      </c>
      <c r="F4" s="4"/>
      <c r="G4" s="4"/>
      <c r="H4" s="4"/>
      <c r="I4" s="4"/>
      <c r="J4" s="27"/>
      <c r="K4" s="4"/>
      <c r="L4" s="4"/>
      <c r="M4" s="4"/>
      <c r="N4" s="4"/>
    </row>
    <row r="5" spans="1:16">
      <c r="A5" s="4"/>
      <c r="B5" s="4"/>
      <c r="C5" s="31" t="s">
        <v>22</v>
      </c>
      <c r="D5" s="28">
        <v>4.7999999999999996E-3</v>
      </c>
      <c r="E5" s="4" t="s">
        <v>23</v>
      </c>
      <c r="F5" s="4"/>
      <c r="G5" s="4"/>
      <c r="H5" s="4"/>
      <c r="I5" s="4"/>
      <c r="J5" s="27"/>
      <c r="K5" s="4"/>
      <c r="L5" s="4"/>
      <c r="M5" s="4"/>
      <c r="N5" s="4"/>
    </row>
    <row r="6" spans="1:16" s="6" customFormat="1" ht="87.5">
      <c r="A6" s="2" t="s">
        <v>0</v>
      </c>
      <c r="B6" s="2" t="s">
        <v>5</v>
      </c>
      <c r="C6" s="21" t="s">
        <v>1</v>
      </c>
      <c r="D6" s="2" t="s">
        <v>2</v>
      </c>
      <c r="E6" s="2" t="s">
        <v>3</v>
      </c>
      <c r="F6" s="2" t="s">
        <v>9</v>
      </c>
      <c r="G6" s="2" t="s">
        <v>7</v>
      </c>
      <c r="H6" s="2" t="s">
        <v>8</v>
      </c>
      <c r="I6" s="2" t="s">
        <v>4</v>
      </c>
      <c r="J6" s="14"/>
      <c r="K6" s="5" t="s">
        <v>5</v>
      </c>
      <c r="L6" s="5" t="s">
        <v>13</v>
      </c>
      <c r="M6" s="5" t="s">
        <v>24</v>
      </c>
      <c r="N6" s="5" t="s">
        <v>14</v>
      </c>
      <c r="O6" s="6" t="s">
        <v>52</v>
      </c>
      <c r="P6" s="6" t="s">
        <v>54</v>
      </c>
    </row>
    <row r="7" spans="1:16">
      <c r="A7" s="2">
        <v>0</v>
      </c>
      <c r="B7" s="8">
        <v>0</v>
      </c>
      <c r="C7" s="22"/>
      <c r="D7" s="9"/>
      <c r="E7" s="10">
        <v>33652</v>
      </c>
      <c r="F7" s="12">
        <f>(0.2027*A7+1.2055)*1000</f>
        <v>1205.5</v>
      </c>
      <c r="G7" s="12">
        <f t="shared" ref="G7:G18" si="0">D7*157.4</f>
        <v>0</v>
      </c>
      <c r="H7" s="12">
        <f>C7*7.751*157.4</f>
        <v>0</v>
      </c>
      <c r="I7" s="9" t="e">
        <f>G7/H7</f>
        <v>#DIV/0!</v>
      </c>
      <c r="J7" s="27"/>
      <c r="K7" s="4"/>
      <c r="L7" s="4"/>
      <c r="M7" s="4"/>
      <c r="N7" s="4"/>
    </row>
    <row r="8" spans="1:16">
      <c r="A8" s="2">
        <v>0</v>
      </c>
      <c r="B8" s="8">
        <v>1292</v>
      </c>
      <c r="C8" s="22"/>
      <c r="D8" s="9"/>
      <c r="E8" s="10">
        <v>33652</v>
      </c>
      <c r="F8" s="12">
        <f t="shared" ref="F8:F18" si="1">(0.2027*A8+1.2055)*1000</f>
        <v>1205.5</v>
      </c>
      <c r="G8" s="12">
        <f t="shared" si="0"/>
        <v>0</v>
      </c>
      <c r="H8" s="12">
        <f t="shared" ref="H8:H18" si="2">C8*7.751*157.4</f>
        <v>0</v>
      </c>
      <c r="I8" s="9" t="e">
        <f t="shared" ref="I8:I18" si="3">G8/H8</f>
        <v>#DIV/0!</v>
      </c>
      <c r="J8" s="27"/>
      <c r="K8" s="4">
        <f>B8-B7</f>
        <v>1292</v>
      </c>
      <c r="L8" s="29">
        <f>F8</f>
        <v>1205.5</v>
      </c>
      <c r="M8" s="28">
        <f>8*F8/($D$3*SQRT($G$2^2-$G$1^2))</f>
        <v>388000.49790581595</v>
      </c>
      <c r="N8" s="28">
        <f t="shared" ref="N8:N18" si="4">M8*(EXP(-$G$1*$G$3))*SIN(SQRT($G$2^2-$G$1^2)*$G$3)</f>
        <v>295856.77884028893</v>
      </c>
      <c r="O8" s="16">
        <f>1000*(D8*1000-228.75)*8/64.353</f>
        <v>-28436.902708498441</v>
      </c>
      <c r="P8" s="43" t="str">
        <f>IF(O8/N8&gt;0.5,O8/N8,"")</f>
        <v/>
      </c>
    </row>
    <row r="9" spans="1:16">
      <c r="A9" s="8">
        <v>3.75</v>
      </c>
      <c r="B9" s="8">
        <v>1292</v>
      </c>
      <c r="C9" s="9">
        <v>0.5</v>
      </c>
      <c r="D9" s="9">
        <v>4.5999999999999996</v>
      </c>
      <c r="E9" s="10">
        <v>33654</v>
      </c>
      <c r="F9" s="12">
        <f t="shared" si="1"/>
        <v>1965.625</v>
      </c>
      <c r="G9" s="12">
        <f t="shared" si="0"/>
        <v>724.04</v>
      </c>
      <c r="H9" s="12">
        <f t="shared" si="2"/>
        <v>610.00370000000009</v>
      </c>
      <c r="I9" s="9">
        <f t="shared" si="3"/>
        <v>1.1869436201780412</v>
      </c>
      <c r="J9" s="27"/>
      <c r="K9" s="4">
        <f t="shared" ref="K9:K18" si="5">B9-B8</f>
        <v>0</v>
      </c>
      <c r="L9" s="29">
        <f t="shared" ref="L9:L18" si="6">F9</f>
        <v>1965.625</v>
      </c>
      <c r="M9" s="28">
        <f t="shared" ref="M9:M18" si="7">8*F9/($D$3*SQRT($G$2^2-$G$1^2))</f>
        <v>632653.23823817458</v>
      </c>
      <c r="N9" s="28">
        <f t="shared" si="4"/>
        <v>482408.52833508328</v>
      </c>
      <c r="O9" s="16">
        <f t="shared" ref="O9:O18" si="8">1000*(D9*1000-228.75)*8/64.353</f>
        <v>543409.00968097837</v>
      </c>
      <c r="P9" s="43">
        <f t="shared" ref="P9:P18" si="9">IF(O9/N9&gt;0.5,O9/N9,"")</f>
        <v>1.1264498402555683</v>
      </c>
    </row>
    <row r="10" spans="1:16">
      <c r="A10" s="8">
        <v>3.75</v>
      </c>
      <c r="B10" s="8">
        <v>87600</v>
      </c>
      <c r="C10" s="9">
        <v>0.5</v>
      </c>
      <c r="D10" s="9">
        <v>4.5999999999999996</v>
      </c>
      <c r="E10" s="10">
        <v>33654</v>
      </c>
      <c r="F10" s="12">
        <f t="shared" si="1"/>
        <v>1965.625</v>
      </c>
      <c r="G10" s="12">
        <f t="shared" si="0"/>
        <v>724.04</v>
      </c>
      <c r="H10" s="12">
        <f t="shared" si="2"/>
        <v>610.00370000000009</v>
      </c>
      <c r="I10" s="9">
        <f t="shared" si="3"/>
        <v>1.1869436201780412</v>
      </c>
      <c r="J10" s="27"/>
      <c r="K10" s="4">
        <f t="shared" si="5"/>
        <v>86308</v>
      </c>
      <c r="L10" s="29">
        <f t="shared" si="6"/>
        <v>1965.625</v>
      </c>
      <c r="M10" s="28">
        <f t="shared" si="7"/>
        <v>632653.23823817458</v>
      </c>
      <c r="N10" s="28">
        <f t="shared" si="4"/>
        <v>482408.52833508328</v>
      </c>
      <c r="O10" s="16">
        <f t="shared" si="8"/>
        <v>543409.00968097837</v>
      </c>
      <c r="P10" s="43">
        <f t="shared" si="9"/>
        <v>1.1264498402555683</v>
      </c>
    </row>
    <row r="11" spans="1:16">
      <c r="A11" s="8">
        <v>0</v>
      </c>
      <c r="B11" s="8">
        <v>87600</v>
      </c>
      <c r="C11" s="9"/>
      <c r="D11" s="9"/>
      <c r="E11" s="10">
        <v>33655</v>
      </c>
      <c r="F11" s="12">
        <f t="shared" si="1"/>
        <v>1205.5</v>
      </c>
      <c r="G11" s="12">
        <f t="shared" si="0"/>
        <v>0</v>
      </c>
      <c r="H11" s="12">
        <f t="shared" si="2"/>
        <v>0</v>
      </c>
      <c r="I11" s="9" t="e">
        <f t="shared" si="3"/>
        <v>#DIV/0!</v>
      </c>
      <c r="J11" s="27"/>
      <c r="K11" s="4">
        <f t="shared" si="5"/>
        <v>0</v>
      </c>
      <c r="L11" s="29">
        <f t="shared" si="6"/>
        <v>1205.5</v>
      </c>
      <c r="M11" s="28">
        <f t="shared" si="7"/>
        <v>388000.49790581595</v>
      </c>
      <c r="N11" s="28">
        <f t="shared" si="4"/>
        <v>295856.77884028893</v>
      </c>
      <c r="O11" s="16">
        <f t="shared" si="8"/>
        <v>-28436.902708498441</v>
      </c>
      <c r="P11" s="43" t="str">
        <f t="shared" si="9"/>
        <v/>
      </c>
    </row>
    <row r="12" spans="1:16">
      <c r="A12" s="8">
        <v>0</v>
      </c>
      <c r="B12" s="8">
        <v>89451</v>
      </c>
      <c r="C12" s="9"/>
      <c r="D12" s="9"/>
      <c r="E12" s="10">
        <v>33655</v>
      </c>
      <c r="F12" s="12">
        <f t="shared" si="1"/>
        <v>1205.5</v>
      </c>
      <c r="G12" s="12">
        <f t="shared" si="0"/>
        <v>0</v>
      </c>
      <c r="H12" s="12">
        <f t="shared" si="2"/>
        <v>0</v>
      </c>
      <c r="I12" s="9" t="e">
        <f t="shared" si="3"/>
        <v>#DIV/0!</v>
      </c>
      <c r="J12" s="27"/>
      <c r="K12" s="4">
        <f t="shared" si="5"/>
        <v>1851</v>
      </c>
      <c r="L12" s="29">
        <f t="shared" si="6"/>
        <v>1205.5</v>
      </c>
      <c r="M12" s="28">
        <f t="shared" si="7"/>
        <v>388000.49790581595</v>
      </c>
      <c r="N12" s="28">
        <f t="shared" si="4"/>
        <v>295856.77884028893</v>
      </c>
      <c r="O12" s="16">
        <f t="shared" si="8"/>
        <v>-28436.902708498441</v>
      </c>
      <c r="P12" s="43" t="str">
        <f t="shared" si="9"/>
        <v/>
      </c>
    </row>
    <row r="13" spans="1:16">
      <c r="A13" s="8">
        <v>4.5999999999999996</v>
      </c>
      <c r="B13" s="8">
        <v>89451</v>
      </c>
      <c r="C13" s="9">
        <v>0.55000000000000004</v>
      </c>
      <c r="D13" s="8">
        <v>5</v>
      </c>
      <c r="E13" s="10">
        <v>33655</v>
      </c>
      <c r="F13" s="12">
        <f t="shared" si="1"/>
        <v>2137.9199999999996</v>
      </c>
      <c r="G13" s="12">
        <f t="shared" si="0"/>
        <v>787</v>
      </c>
      <c r="H13" s="12">
        <f t="shared" si="2"/>
        <v>671.00407000000018</v>
      </c>
      <c r="I13" s="9">
        <f t="shared" si="3"/>
        <v>1.1728691898992503</v>
      </c>
      <c r="J13" s="27"/>
      <c r="K13" s="4">
        <f t="shared" si="5"/>
        <v>0</v>
      </c>
      <c r="L13" s="29">
        <f t="shared" si="6"/>
        <v>2137.9199999999996</v>
      </c>
      <c r="M13" s="28">
        <f t="shared" si="7"/>
        <v>688107.85938017571</v>
      </c>
      <c r="N13" s="28">
        <f t="shared" si="4"/>
        <v>524693.59155390318</v>
      </c>
      <c r="O13" s="16">
        <f t="shared" si="8"/>
        <v>593134.74119310686</v>
      </c>
      <c r="P13" s="43">
        <f t="shared" si="9"/>
        <v>1.1304402240486913</v>
      </c>
    </row>
    <row r="14" spans="1:16">
      <c r="A14" s="8">
        <v>4.5999999999999996</v>
      </c>
      <c r="B14" s="8">
        <v>164000</v>
      </c>
      <c r="C14" s="9">
        <v>0.55000000000000004</v>
      </c>
      <c r="D14" s="8">
        <v>5</v>
      </c>
      <c r="E14" s="10">
        <v>33659</v>
      </c>
      <c r="F14" s="12">
        <f t="shared" si="1"/>
        <v>2137.9199999999996</v>
      </c>
      <c r="G14" s="12">
        <f t="shared" si="0"/>
        <v>787</v>
      </c>
      <c r="H14" s="12">
        <f t="shared" si="2"/>
        <v>671.00407000000018</v>
      </c>
      <c r="I14" s="9">
        <f t="shared" si="3"/>
        <v>1.1728691898992503</v>
      </c>
      <c r="J14" s="27"/>
      <c r="K14" s="4">
        <f t="shared" si="5"/>
        <v>74549</v>
      </c>
      <c r="L14" s="29">
        <f t="shared" si="6"/>
        <v>2137.9199999999996</v>
      </c>
      <c r="M14" s="28">
        <f t="shared" si="7"/>
        <v>688107.85938017571</v>
      </c>
      <c r="N14" s="28">
        <f t="shared" si="4"/>
        <v>524693.59155390318</v>
      </c>
      <c r="O14" s="16">
        <f t="shared" si="8"/>
        <v>593134.74119310686</v>
      </c>
      <c r="P14" s="43">
        <f t="shared" si="9"/>
        <v>1.1304402240486913</v>
      </c>
    </row>
    <row r="15" spans="1:16">
      <c r="A15" s="8">
        <v>6.25</v>
      </c>
      <c r="B15" s="8">
        <v>164000</v>
      </c>
      <c r="C15" s="9">
        <v>0.64</v>
      </c>
      <c r="D15" s="8">
        <v>5.7</v>
      </c>
      <c r="E15" s="10">
        <v>33659</v>
      </c>
      <c r="F15" s="12">
        <f t="shared" si="1"/>
        <v>2472.375</v>
      </c>
      <c r="G15" s="12">
        <f t="shared" si="0"/>
        <v>897.18000000000006</v>
      </c>
      <c r="H15" s="12">
        <f t="shared" si="2"/>
        <v>780.80473600000016</v>
      </c>
      <c r="I15" s="9">
        <f t="shared" si="3"/>
        <v>1.1490452844794219</v>
      </c>
      <c r="J15" s="27"/>
      <c r="K15" s="4">
        <f t="shared" si="5"/>
        <v>0</v>
      </c>
      <c r="L15" s="29">
        <f t="shared" si="6"/>
        <v>2472.375</v>
      </c>
      <c r="M15" s="28">
        <f t="shared" si="7"/>
        <v>795755.0651264136</v>
      </c>
      <c r="N15" s="28">
        <f t="shared" si="4"/>
        <v>606776.36133161292</v>
      </c>
      <c r="O15" s="16">
        <f t="shared" si="8"/>
        <v>680154.77133933152</v>
      </c>
      <c r="P15" s="43">
        <f t="shared" si="9"/>
        <v>1.1209315568040332</v>
      </c>
    </row>
    <row r="16" spans="1:16">
      <c r="A16" s="8">
        <v>6.25</v>
      </c>
      <c r="B16" s="8">
        <v>333300</v>
      </c>
      <c r="C16" s="9">
        <v>0.64</v>
      </c>
      <c r="D16" s="8">
        <v>5.7</v>
      </c>
      <c r="E16" s="10">
        <v>33663</v>
      </c>
      <c r="F16" s="12">
        <f t="shared" si="1"/>
        <v>2472.375</v>
      </c>
      <c r="G16" s="12">
        <f t="shared" si="0"/>
        <v>897.18000000000006</v>
      </c>
      <c r="H16" s="12">
        <f t="shared" si="2"/>
        <v>780.80473600000016</v>
      </c>
      <c r="I16" s="9">
        <f t="shared" si="3"/>
        <v>1.1490452844794219</v>
      </c>
      <c r="J16" s="27"/>
      <c r="K16" s="4">
        <f t="shared" si="5"/>
        <v>169300</v>
      </c>
      <c r="L16" s="29">
        <f t="shared" si="6"/>
        <v>2472.375</v>
      </c>
      <c r="M16" s="28">
        <f t="shared" si="7"/>
        <v>795755.0651264136</v>
      </c>
      <c r="N16" s="28">
        <f t="shared" si="4"/>
        <v>606776.36133161292</v>
      </c>
      <c r="O16" s="16">
        <f t="shared" si="8"/>
        <v>680154.77133933152</v>
      </c>
      <c r="P16" s="43">
        <f t="shared" si="9"/>
        <v>1.1209315568040332</v>
      </c>
    </row>
    <row r="17" spans="1:16">
      <c r="A17" s="8">
        <v>4.6500000000000004</v>
      </c>
      <c r="B17" s="8">
        <v>333300</v>
      </c>
      <c r="C17" s="9">
        <v>0.55000000000000004</v>
      </c>
      <c r="D17" s="8">
        <v>5</v>
      </c>
      <c r="E17" s="10">
        <v>33663</v>
      </c>
      <c r="F17" s="12">
        <f t="shared" si="1"/>
        <v>2148.0550000000003</v>
      </c>
      <c r="G17" s="12">
        <f t="shared" si="0"/>
        <v>787</v>
      </c>
      <c r="H17" s="12">
        <f t="shared" si="2"/>
        <v>671.00407000000018</v>
      </c>
      <c r="I17" s="9">
        <f t="shared" si="3"/>
        <v>1.1728691898992503</v>
      </c>
      <c r="J17" s="27"/>
      <c r="K17" s="4">
        <f t="shared" si="5"/>
        <v>0</v>
      </c>
      <c r="L17" s="29">
        <f t="shared" si="6"/>
        <v>2148.0550000000003</v>
      </c>
      <c r="M17" s="28">
        <f t="shared" si="7"/>
        <v>691369.89591794077</v>
      </c>
      <c r="N17" s="28">
        <f t="shared" si="4"/>
        <v>527180.94821383397</v>
      </c>
      <c r="O17" s="16">
        <f t="shared" si="8"/>
        <v>593134.74119310686</v>
      </c>
      <c r="P17" s="43">
        <f t="shared" si="9"/>
        <v>1.1251065563024119</v>
      </c>
    </row>
    <row r="18" spans="1:16">
      <c r="A18" s="8">
        <v>4.6500000000000004</v>
      </c>
      <c r="B18" s="8">
        <v>407300</v>
      </c>
      <c r="C18" s="9">
        <v>0.55000000000000004</v>
      </c>
      <c r="D18" s="8">
        <v>5</v>
      </c>
      <c r="E18" s="10">
        <v>33665</v>
      </c>
      <c r="F18" s="12">
        <f t="shared" si="1"/>
        <v>2148.0550000000003</v>
      </c>
      <c r="G18" s="12">
        <f t="shared" si="0"/>
        <v>787</v>
      </c>
      <c r="H18" s="12">
        <f t="shared" si="2"/>
        <v>671.00407000000018</v>
      </c>
      <c r="I18" s="9">
        <f t="shared" si="3"/>
        <v>1.1728691898992503</v>
      </c>
      <c r="J18" s="27"/>
      <c r="K18" s="4">
        <f t="shared" si="5"/>
        <v>74000</v>
      </c>
      <c r="L18" s="29">
        <f t="shared" si="6"/>
        <v>2148.0550000000003</v>
      </c>
      <c r="M18" s="28">
        <f t="shared" si="7"/>
        <v>691369.89591794077</v>
      </c>
      <c r="N18" s="28">
        <f t="shared" si="4"/>
        <v>527180.94821383397</v>
      </c>
      <c r="O18" s="16">
        <f t="shared" si="8"/>
        <v>593134.74119310686</v>
      </c>
      <c r="P18" s="43">
        <f t="shared" si="9"/>
        <v>1.1251065563024119</v>
      </c>
    </row>
    <row r="19" spans="1:16">
      <c r="A19" s="4"/>
      <c r="B19" s="29"/>
      <c r="D19" s="29"/>
      <c r="E19" s="4"/>
      <c r="F19" s="29">
        <f>MAX(F7:F18)</f>
        <v>2472.375</v>
      </c>
      <c r="G19" s="4"/>
      <c r="H19" s="4"/>
      <c r="I19" s="4"/>
      <c r="J19" s="27"/>
      <c r="K19" s="4">
        <f>SUM(K8:K18)</f>
        <v>407300</v>
      </c>
      <c r="L19" s="4"/>
      <c r="M19" s="4"/>
      <c r="N19" s="4"/>
      <c r="O19" s="3" t="s">
        <v>12</v>
      </c>
      <c r="P19" s="43">
        <f>MAX(P7:P18)</f>
        <v>1.1304402240486913</v>
      </c>
    </row>
    <row r="20" spans="1:16">
      <c r="A20" s="3" t="s">
        <v>41</v>
      </c>
      <c r="B20" s="15"/>
      <c r="D20" s="15"/>
      <c r="I20" s="13"/>
      <c r="J20" s="3"/>
      <c r="O20" s="3" t="s">
        <v>53</v>
      </c>
      <c r="P20" s="43">
        <f>MIN(P7:P18)</f>
        <v>1.1209315568040332</v>
      </c>
    </row>
    <row r="21" spans="1:16">
      <c r="B21" s="15"/>
      <c r="D21" s="15"/>
    </row>
    <row r="22" spans="1:16" ht="50">
      <c r="A22" s="5" t="s">
        <v>5</v>
      </c>
      <c r="B22" s="5" t="s">
        <v>13</v>
      </c>
      <c r="C22" s="5" t="s">
        <v>24</v>
      </c>
      <c r="D22" s="5" t="s">
        <v>14</v>
      </c>
      <c r="E22" s="5" t="s">
        <v>55</v>
      </c>
      <c r="F22" s="5" t="s">
        <v>57</v>
      </c>
    </row>
    <row r="23" spans="1:16">
      <c r="A23" s="4">
        <v>1292</v>
      </c>
      <c r="B23" s="29">
        <v>1205.5</v>
      </c>
      <c r="C23" s="28">
        <v>388000.49790581595</v>
      </c>
      <c r="D23" s="28">
        <v>295856.77884028893</v>
      </c>
      <c r="E23" s="15">
        <f t="shared" ref="E23:E28" si="10">D23/1000*1.5598+1.525</f>
        <v>463.00240363508271</v>
      </c>
      <c r="F23" s="15">
        <f t="shared" ref="F23:F28" si="11">D23/1000</f>
        <v>295.85677884028894</v>
      </c>
    </row>
    <row r="24" spans="1:16">
      <c r="A24" s="4">
        <v>1851</v>
      </c>
      <c r="B24" s="29">
        <v>1205.5</v>
      </c>
      <c r="C24" s="28">
        <v>388000.49790581595</v>
      </c>
      <c r="D24" s="28">
        <v>295856.77884028893</v>
      </c>
      <c r="E24" s="15">
        <f t="shared" si="10"/>
        <v>463.00240363508271</v>
      </c>
      <c r="F24" s="15">
        <f t="shared" si="11"/>
        <v>295.85677884028894</v>
      </c>
    </row>
    <row r="25" spans="1:16">
      <c r="A25" s="4">
        <v>86308</v>
      </c>
      <c r="B25" s="29">
        <v>1965.625</v>
      </c>
      <c r="C25" s="28">
        <v>632653.23823817458</v>
      </c>
      <c r="D25" s="28">
        <v>482408.52833508328</v>
      </c>
      <c r="E25" s="15">
        <f t="shared" si="10"/>
        <v>753.98582249706294</v>
      </c>
      <c r="F25" s="15">
        <f t="shared" si="11"/>
        <v>482.4085283350833</v>
      </c>
    </row>
    <row r="26" spans="1:16">
      <c r="A26" s="4">
        <v>74549</v>
      </c>
      <c r="B26" s="29">
        <v>2137.92</v>
      </c>
      <c r="C26" s="28">
        <v>688107.85938017571</v>
      </c>
      <c r="D26" s="28">
        <v>524693.59155390318</v>
      </c>
      <c r="E26" s="15">
        <f t="shared" si="10"/>
        <v>819.94206410577817</v>
      </c>
      <c r="F26" s="15">
        <f t="shared" si="11"/>
        <v>524.69359155390316</v>
      </c>
    </row>
    <row r="27" spans="1:16">
      <c r="A27" s="4">
        <v>74000</v>
      </c>
      <c r="B27" s="29">
        <v>2148.0549999999998</v>
      </c>
      <c r="C27" s="28">
        <v>691369.89591794077</v>
      </c>
      <c r="D27" s="28">
        <v>527180.94821383397</v>
      </c>
      <c r="E27" s="15">
        <f t="shared" si="10"/>
        <v>823.8218430239383</v>
      </c>
      <c r="F27" s="15">
        <f t="shared" si="11"/>
        <v>527.18094821383397</v>
      </c>
    </row>
    <row r="28" spans="1:16">
      <c r="A28" s="4">
        <v>169300</v>
      </c>
      <c r="B28" s="29">
        <v>2472.375</v>
      </c>
      <c r="C28" s="28">
        <v>795755.0651264136</v>
      </c>
      <c r="D28" s="28">
        <v>606776.36133161292</v>
      </c>
      <c r="E28" s="15">
        <f t="shared" si="10"/>
        <v>947.97476840504999</v>
      </c>
      <c r="F28" s="15">
        <f t="shared" si="11"/>
        <v>606.77636133161297</v>
      </c>
    </row>
    <row r="29" spans="1:16">
      <c r="A29" s="4">
        <f>SUM(A23:A28)</f>
        <v>407300</v>
      </c>
      <c r="B29" s="4"/>
      <c r="C29" s="4"/>
      <c r="D29" s="4"/>
    </row>
  </sheetData>
  <phoneticPr fontId="0" type="noConversion"/>
  <pageMargins left="0.75" right="0.75" top="1" bottom="1" header="0.5" footer="0.5"/>
  <pageSetup scale="83" orientation="landscape" horizontalDpi="355" verticalDpi="355" r:id="rId1"/>
  <headerFooter alignWithMargins="0"/>
  <drawing r:id="rId2"/>
  <legacyDrawing r:id="rId3"/>
  <oleObjects>
    <mc:AlternateContent xmlns:mc="http://schemas.openxmlformats.org/markup-compatibility/2006">
      <mc:Choice Requires="x14">
        <oleObject progId="Mathcad" shapeId="11265" r:id="rId4">
          <objectPr defaultSize="0" r:id="rId5">
            <anchor moveWithCells="1">
              <from>
                <xdr:col>8</xdr:col>
                <xdr:colOff>165100</xdr:colOff>
                <xdr:row>0</xdr:row>
                <xdr:rowOff>133350</xdr:rowOff>
              </from>
              <to>
                <xdr:col>9</xdr:col>
                <xdr:colOff>285750</xdr:colOff>
                <xdr:row>3</xdr:row>
                <xdr:rowOff>0</xdr:rowOff>
              </to>
            </anchor>
          </objectPr>
        </oleObject>
      </mc:Choice>
      <mc:Fallback>
        <oleObject progId="Mathcad" shapeId="11265" r:id="rId4"/>
      </mc:Fallback>
    </mc:AlternateContent>
    <mc:AlternateContent xmlns:mc="http://schemas.openxmlformats.org/markup-compatibility/2006">
      <mc:Choice Requires="x14">
        <oleObject progId="Mathcad" shapeId="11266" r:id="rId6">
          <objectPr defaultSize="0" r:id="rId7">
            <anchor moveWithCells="1">
              <from>
                <xdr:col>9</xdr:col>
                <xdr:colOff>539750</xdr:colOff>
                <xdr:row>1</xdr:row>
                <xdr:rowOff>31750</xdr:rowOff>
              </from>
              <to>
                <xdr:col>12</xdr:col>
                <xdr:colOff>50800</xdr:colOff>
                <xdr:row>2</xdr:row>
                <xdr:rowOff>127000</xdr:rowOff>
              </to>
            </anchor>
          </objectPr>
        </oleObject>
      </mc:Choice>
      <mc:Fallback>
        <oleObject progId="Mathcad" shapeId="11266" r:id="rId6"/>
      </mc:Fallback>
    </mc:AlternateContent>
    <mc:AlternateContent xmlns:mc="http://schemas.openxmlformats.org/markup-compatibility/2006">
      <mc:Choice Requires="x14">
        <oleObject progId="Mathcad" shapeId="11269" r:id="rId8">
          <objectPr defaultSize="0" r:id="rId5">
            <anchor moveWithCells="1">
              <from>
                <xdr:col>8</xdr:col>
                <xdr:colOff>165100</xdr:colOff>
                <xdr:row>0</xdr:row>
                <xdr:rowOff>133350</xdr:rowOff>
              </from>
              <to>
                <xdr:col>9</xdr:col>
                <xdr:colOff>285750</xdr:colOff>
                <xdr:row>3</xdr:row>
                <xdr:rowOff>0</xdr:rowOff>
              </to>
            </anchor>
          </objectPr>
        </oleObject>
      </mc:Choice>
      <mc:Fallback>
        <oleObject progId="Mathcad" shapeId="11269" r:id="rId8"/>
      </mc:Fallback>
    </mc:AlternateContent>
    <mc:AlternateContent xmlns:mc="http://schemas.openxmlformats.org/markup-compatibility/2006">
      <mc:Choice Requires="x14">
        <oleObject progId="Mathcad" shapeId="11270" r:id="rId9">
          <objectPr defaultSize="0" r:id="rId7">
            <anchor moveWithCells="1">
              <from>
                <xdr:col>9</xdr:col>
                <xdr:colOff>539750</xdr:colOff>
                <xdr:row>1</xdr:row>
                <xdr:rowOff>31750</xdr:rowOff>
              </from>
              <to>
                <xdr:col>12</xdr:col>
                <xdr:colOff>50800</xdr:colOff>
                <xdr:row>2</xdr:row>
                <xdr:rowOff>127000</xdr:rowOff>
              </to>
            </anchor>
          </objectPr>
        </oleObject>
      </mc:Choice>
      <mc:Fallback>
        <oleObject progId="Mathcad" shapeId="11270" r:id="rId9"/>
      </mc:Fallback>
    </mc:AlternateContent>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P42"/>
  <sheetViews>
    <sheetView topLeftCell="A25" workbookViewId="0">
      <selection activeCell="A69" sqref="A69"/>
    </sheetView>
  </sheetViews>
  <sheetFormatPr defaultColWidth="9" defaultRowHeight="12.5"/>
  <cols>
    <col min="1" max="1" width="9" style="3"/>
    <col min="2" max="2" width="9.08984375" style="3" bestFit="1" customWidth="1"/>
    <col min="3" max="3" width="9.08984375" style="24" bestFit="1" customWidth="1"/>
    <col min="4" max="4" width="9.08984375" style="3" bestFit="1" customWidth="1"/>
    <col min="5" max="9" width="9" style="3"/>
    <col min="10" max="10" width="9.36328125" style="13" customWidth="1"/>
    <col min="11" max="16384" width="9" style="3"/>
  </cols>
  <sheetData>
    <row r="1" spans="1:16" s="1" customFormat="1">
      <c r="A1" s="25" t="s">
        <v>40</v>
      </c>
      <c r="B1" s="25"/>
      <c r="C1" s="20" t="s">
        <v>10</v>
      </c>
      <c r="D1" s="25">
        <v>385</v>
      </c>
      <c r="E1" s="25" t="s">
        <v>11</v>
      </c>
      <c r="F1" s="25" t="s">
        <v>20</v>
      </c>
      <c r="G1" s="26">
        <f>D4/(2*D3)</f>
        <v>1485.8075040783035</v>
      </c>
      <c r="H1" s="25" t="s">
        <v>26</v>
      </c>
      <c r="I1" s="25"/>
      <c r="J1" s="27"/>
      <c r="K1" s="25"/>
      <c r="L1" s="25"/>
      <c r="M1" s="25"/>
      <c r="N1" s="25"/>
    </row>
    <row r="2" spans="1:16">
      <c r="A2" s="4"/>
      <c r="B2" s="4"/>
      <c r="C2" s="31" t="s">
        <v>15</v>
      </c>
      <c r="D2" s="4">
        <v>384.9</v>
      </c>
      <c r="E2" s="4" t="s">
        <v>11</v>
      </c>
      <c r="F2" s="4" t="s">
        <v>21</v>
      </c>
      <c r="G2" s="4">
        <f>SQRT(1/(D3*D5))</f>
        <v>8244.4965742557415</v>
      </c>
      <c r="H2" s="4" t="s">
        <v>26</v>
      </c>
      <c r="I2" s="4"/>
      <c r="J2" s="27"/>
      <c r="K2" s="4"/>
      <c r="L2" s="4"/>
      <c r="M2" s="4"/>
      <c r="N2" s="4"/>
    </row>
    <row r="3" spans="1:16">
      <c r="A3" s="4"/>
      <c r="B3" s="4"/>
      <c r="C3" s="31" t="s">
        <v>16</v>
      </c>
      <c r="D3" s="28">
        <v>3.0649999999999999E-6</v>
      </c>
      <c r="E3" s="4" t="s">
        <v>17</v>
      </c>
      <c r="F3" s="4" t="s">
        <v>25</v>
      </c>
      <c r="G3" s="28">
        <v>1.705E-4</v>
      </c>
      <c r="H3" s="4" t="s">
        <v>27</v>
      </c>
      <c r="I3" s="4"/>
      <c r="J3" s="27"/>
      <c r="K3" s="4"/>
      <c r="L3" s="4"/>
      <c r="M3" s="4"/>
      <c r="N3" s="4"/>
    </row>
    <row r="4" spans="1:16">
      <c r="A4" s="4"/>
      <c r="B4" s="4"/>
      <c r="C4" s="31" t="s">
        <v>18</v>
      </c>
      <c r="D4" s="28">
        <v>9.1079999999999998E-3</v>
      </c>
      <c r="E4" s="4" t="s">
        <v>19</v>
      </c>
      <c r="F4" s="4"/>
      <c r="G4" s="4"/>
      <c r="H4" s="4"/>
      <c r="I4" s="4"/>
      <c r="J4" s="27"/>
      <c r="K4" s="4"/>
      <c r="L4" s="4"/>
      <c r="M4" s="4"/>
      <c r="N4" s="4"/>
    </row>
    <row r="5" spans="1:16">
      <c r="A5" s="4"/>
      <c r="B5" s="4"/>
      <c r="C5" s="31" t="s">
        <v>22</v>
      </c>
      <c r="D5" s="28">
        <v>4.7999999999999996E-3</v>
      </c>
      <c r="E5" s="4" t="s">
        <v>23</v>
      </c>
      <c r="F5" s="4"/>
      <c r="G5" s="4"/>
      <c r="H5" s="4"/>
      <c r="I5" s="4"/>
      <c r="J5" s="27"/>
      <c r="K5" s="4"/>
      <c r="L5" s="4"/>
      <c r="M5" s="4"/>
      <c r="N5" s="4"/>
    </row>
    <row r="6" spans="1:16" s="6" customFormat="1" ht="87.5">
      <c r="A6" s="2" t="s">
        <v>0</v>
      </c>
      <c r="B6" s="2" t="s">
        <v>5</v>
      </c>
      <c r="C6" s="21" t="s">
        <v>1</v>
      </c>
      <c r="D6" s="2" t="s">
        <v>2</v>
      </c>
      <c r="E6" s="2" t="s">
        <v>3</v>
      </c>
      <c r="F6" s="2" t="s">
        <v>9</v>
      </c>
      <c r="G6" s="2" t="s">
        <v>7</v>
      </c>
      <c r="H6" s="2" t="s">
        <v>8</v>
      </c>
      <c r="I6" s="2" t="s">
        <v>4</v>
      </c>
      <c r="J6" s="14"/>
      <c r="K6" s="5" t="s">
        <v>5</v>
      </c>
      <c r="L6" s="5" t="s">
        <v>13</v>
      </c>
      <c r="M6" s="5" t="s">
        <v>24</v>
      </c>
      <c r="N6" s="5" t="s">
        <v>14</v>
      </c>
      <c r="O6" s="6" t="s">
        <v>52</v>
      </c>
      <c r="P6" s="6" t="s">
        <v>54</v>
      </c>
    </row>
    <row r="7" spans="1:16">
      <c r="A7" s="2">
        <v>2.75</v>
      </c>
      <c r="B7" s="8">
        <v>0</v>
      </c>
      <c r="C7" s="22">
        <v>0.48</v>
      </c>
      <c r="D7" s="9">
        <v>4.0199999999999996</v>
      </c>
      <c r="E7" s="10">
        <v>33883</v>
      </c>
      <c r="F7" s="12">
        <f>(0.2027*A7+1.2055)*1000</f>
        <v>1762.9250000000002</v>
      </c>
      <c r="G7" s="12">
        <f>D7*157.4</f>
        <v>632.74799999999993</v>
      </c>
      <c r="H7" s="12">
        <f>C7*7.751*157.4</f>
        <v>585.60355200000004</v>
      </c>
      <c r="I7" s="9">
        <f>G7/H7</f>
        <v>1.0805057411946843</v>
      </c>
      <c r="J7" s="27"/>
      <c r="K7" s="4"/>
      <c r="L7" s="4"/>
      <c r="M7" s="4"/>
      <c r="N7" s="4"/>
    </row>
    <row r="8" spans="1:16">
      <c r="A8" s="2">
        <v>2.75</v>
      </c>
      <c r="B8" s="8">
        <v>6900</v>
      </c>
      <c r="C8" s="22">
        <v>0.48399999999999999</v>
      </c>
      <c r="D8" s="9">
        <v>3.99</v>
      </c>
      <c r="E8" s="10">
        <v>33883</v>
      </c>
      <c r="F8" s="12">
        <f>(0.2027*A8+1.2055)*1000</f>
        <v>1762.9250000000002</v>
      </c>
      <c r="G8" s="12">
        <f>D8*157.4</f>
        <v>628.02600000000007</v>
      </c>
      <c r="H8" s="12">
        <f>C8*7.751*157.4</f>
        <v>590.48358159999998</v>
      </c>
      <c r="I8" s="9">
        <f>G8/H8</f>
        <v>1.0635791062950024</v>
      </c>
      <c r="J8" s="27"/>
      <c r="K8" s="4">
        <f>B8-B7</f>
        <v>6900</v>
      </c>
      <c r="L8" s="29">
        <f>F8</f>
        <v>1762.9250000000002</v>
      </c>
      <c r="M8" s="28">
        <f>8*F8/($D$3*SQRT($G$2^2-$G$1^2))</f>
        <v>567412.50748287898</v>
      </c>
      <c r="N8" s="28">
        <f t="shared" ref="N8:N31" si="0">M8*(EXP(-$G$1*$G$3))*SIN(SQRT($G$2^2-$G$1^2)*$G$3)</f>
        <v>432661.39513647155</v>
      </c>
      <c r="O8" s="16">
        <f>1000*(D8*1000-228.75)*8/64.353</f>
        <v>467577.26912498259</v>
      </c>
      <c r="P8" s="43">
        <f>IF(O8/N8&gt;0.5,O8/N8,"")</f>
        <v>1.0807002297431638</v>
      </c>
    </row>
    <row r="9" spans="1:16">
      <c r="A9" s="8">
        <v>3.75</v>
      </c>
      <c r="B9" s="8">
        <v>6900</v>
      </c>
      <c r="C9" s="9">
        <v>0.54400000000000004</v>
      </c>
      <c r="D9" s="9">
        <v>4.4400000000000004</v>
      </c>
      <c r="E9" s="10">
        <v>33883</v>
      </c>
      <c r="F9" s="12">
        <f t="shared" ref="F9:F30" si="1">(0.2027*A9+1.2055)*1000</f>
        <v>1965.625</v>
      </c>
      <c r="G9" s="12">
        <f t="shared" ref="G9:G30" si="2">D9*157.4</f>
        <v>698.85600000000011</v>
      </c>
      <c r="H9" s="12">
        <f t="shared" ref="H9:H30" si="3">C9*7.751*157.4</f>
        <v>663.68402560000015</v>
      </c>
      <c r="I9" s="9">
        <f t="shared" ref="I9:I30" si="4">G9/H9</f>
        <v>1.0529950594610182</v>
      </c>
      <c r="J9" s="27"/>
      <c r="K9" s="4">
        <f t="shared" ref="K9:K30" si="5">B9-B8</f>
        <v>0</v>
      </c>
      <c r="L9" s="29">
        <f t="shared" ref="L9:L31" si="6">F9</f>
        <v>1965.625</v>
      </c>
      <c r="M9" s="28">
        <f t="shared" ref="M9:M31" si="7">8*F9/($D$3*SQRT($G$2^2-$G$1^2))</f>
        <v>632653.23823817458</v>
      </c>
      <c r="N9" s="28">
        <f t="shared" si="0"/>
        <v>482408.52833508328</v>
      </c>
      <c r="O9" s="16">
        <f t="shared" ref="O9:O28" si="8">1000*(D9*1000-228.75)*8/64.353</f>
        <v>523518.71707612701</v>
      </c>
      <c r="P9" s="43">
        <f t="shared" ref="P9:P28" si="9">IF(O9/N9&gt;0.5,O9/N9,"")</f>
        <v>1.0852186193368629</v>
      </c>
    </row>
    <row r="10" spans="1:16">
      <c r="A10" s="8">
        <v>3.75</v>
      </c>
      <c r="B10" s="8">
        <v>52600</v>
      </c>
      <c r="C10" s="9">
        <v>0.54400000000000004</v>
      </c>
      <c r="D10" s="9">
        <v>4.42</v>
      </c>
      <c r="E10" s="10">
        <v>33884</v>
      </c>
      <c r="F10" s="12">
        <f t="shared" si="1"/>
        <v>1965.625</v>
      </c>
      <c r="G10" s="12">
        <f t="shared" si="2"/>
        <v>695.70799999999997</v>
      </c>
      <c r="H10" s="12">
        <f t="shared" si="3"/>
        <v>663.68402560000015</v>
      </c>
      <c r="I10" s="9">
        <f t="shared" si="4"/>
        <v>1.0482518384724548</v>
      </c>
      <c r="J10" s="27"/>
      <c r="K10" s="4">
        <f t="shared" si="5"/>
        <v>45700</v>
      </c>
      <c r="L10" s="29">
        <f t="shared" si="6"/>
        <v>1965.625</v>
      </c>
      <c r="M10" s="28">
        <f t="shared" si="7"/>
        <v>632653.23823817458</v>
      </c>
      <c r="N10" s="28">
        <f t="shared" si="0"/>
        <v>482408.52833508328</v>
      </c>
      <c r="O10" s="16">
        <f t="shared" si="8"/>
        <v>521032.43050052063</v>
      </c>
      <c r="P10" s="43">
        <f t="shared" si="9"/>
        <v>1.080064716722025</v>
      </c>
    </row>
    <row r="11" spans="1:16">
      <c r="A11" s="8">
        <v>4.5</v>
      </c>
      <c r="B11" s="8">
        <v>52600</v>
      </c>
      <c r="C11" s="9">
        <v>0.57799999999999996</v>
      </c>
      <c r="D11" s="9">
        <v>4.75</v>
      </c>
      <c r="E11" s="10">
        <v>33884</v>
      </c>
      <c r="F11" s="12">
        <f t="shared" si="1"/>
        <v>2117.65</v>
      </c>
      <c r="G11" s="12">
        <f t="shared" si="2"/>
        <v>747.65</v>
      </c>
      <c r="H11" s="12">
        <f t="shared" si="3"/>
        <v>705.16427720000002</v>
      </c>
      <c r="I11" s="9">
        <f t="shared" si="4"/>
        <v>1.0602493974435265</v>
      </c>
      <c r="J11" s="27"/>
      <c r="K11" s="4">
        <f t="shared" si="5"/>
        <v>0</v>
      </c>
      <c r="L11" s="29">
        <f t="shared" si="6"/>
        <v>2117.65</v>
      </c>
      <c r="M11" s="28">
        <f t="shared" si="7"/>
        <v>681583.78630464629</v>
      </c>
      <c r="N11" s="28">
        <f t="shared" si="0"/>
        <v>519718.87823404215</v>
      </c>
      <c r="O11" s="16">
        <f t="shared" si="8"/>
        <v>562056.15899802651</v>
      </c>
      <c r="P11" s="43">
        <f t="shared" si="9"/>
        <v>1.0814618874493123</v>
      </c>
    </row>
    <row r="12" spans="1:16">
      <c r="A12" s="8">
        <v>4.5</v>
      </c>
      <c r="B12" s="8">
        <v>66600</v>
      </c>
      <c r="C12" s="9">
        <v>0.57799999999999996</v>
      </c>
      <c r="D12" s="9">
        <v>4.75</v>
      </c>
      <c r="E12" s="10">
        <v>33885</v>
      </c>
      <c r="F12" s="12">
        <f t="shared" si="1"/>
        <v>2117.65</v>
      </c>
      <c r="G12" s="12">
        <f t="shared" si="2"/>
        <v>747.65</v>
      </c>
      <c r="H12" s="12">
        <f t="shared" si="3"/>
        <v>705.16427720000002</v>
      </c>
      <c r="I12" s="9">
        <f t="shared" si="4"/>
        <v>1.0602493974435265</v>
      </c>
      <c r="J12" s="27"/>
      <c r="K12" s="4">
        <f t="shared" si="5"/>
        <v>14000</v>
      </c>
      <c r="L12" s="29">
        <f t="shared" si="6"/>
        <v>2117.65</v>
      </c>
      <c r="M12" s="28">
        <f t="shared" si="7"/>
        <v>681583.78630464629</v>
      </c>
      <c r="N12" s="28">
        <f t="shared" si="0"/>
        <v>519718.87823404215</v>
      </c>
      <c r="O12" s="16">
        <f t="shared" si="8"/>
        <v>562056.15899802651</v>
      </c>
      <c r="P12" s="43">
        <f t="shared" si="9"/>
        <v>1.0814618874493123</v>
      </c>
    </row>
    <row r="13" spans="1:16">
      <c r="A13" s="8">
        <v>3.75</v>
      </c>
      <c r="B13" s="8">
        <v>66600</v>
      </c>
      <c r="C13" s="9">
        <v>0.54400000000000004</v>
      </c>
      <c r="D13" s="9">
        <v>4.4400000000000004</v>
      </c>
      <c r="E13" s="10">
        <v>33885</v>
      </c>
      <c r="F13" s="12">
        <f t="shared" si="1"/>
        <v>1965.625</v>
      </c>
      <c r="G13" s="12">
        <f t="shared" si="2"/>
        <v>698.85600000000011</v>
      </c>
      <c r="H13" s="12">
        <f t="shared" si="3"/>
        <v>663.68402560000015</v>
      </c>
      <c r="I13" s="9">
        <f t="shared" si="4"/>
        <v>1.0529950594610182</v>
      </c>
      <c r="J13" s="27"/>
      <c r="K13" s="4">
        <f t="shared" si="5"/>
        <v>0</v>
      </c>
      <c r="L13" s="29">
        <f t="shared" si="6"/>
        <v>1965.625</v>
      </c>
      <c r="M13" s="28">
        <f t="shared" si="7"/>
        <v>632653.23823817458</v>
      </c>
      <c r="N13" s="28">
        <f t="shared" si="0"/>
        <v>482408.52833508328</v>
      </c>
      <c r="O13" s="16">
        <f t="shared" si="8"/>
        <v>523518.71707612701</v>
      </c>
      <c r="P13" s="43">
        <f t="shared" si="9"/>
        <v>1.0852186193368629</v>
      </c>
    </row>
    <row r="14" spans="1:16">
      <c r="A14" s="8">
        <v>3.75</v>
      </c>
      <c r="B14" s="8">
        <v>110000</v>
      </c>
      <c r="C14" s="9">
        <v>0.53600000000000003</v>
      </c>
      <c r="D14" s="8">
        <v>4.42</v>
      </c>
      <c r="E14" s="10">
        <v>33886</v>
      </c>
      <c r="F14" s="12">
        <f t="shared" si="1"/>
        <v>1965.625</v>
      </c>
      <c r="G14" s="12">
        <f t="shared" si="2"/>
        <v>695.70799999999997</v>
      </c>
      <c r="H14" s="12">
        <f t="shared" si="3"/>
        <v>653.92396640000004</v>
      </c>
      <c r="I14" s="9">
        <f t="shared" si="4"/>
        <v>1.0638973883004021</v>
      </c>
      <c r="J14" s="27"/>
      <c r="K14" s="4">
        <f t="shared" si="5"/>
        <v>43400</v>
      </c>
      <c r="L14" s="29">
        <f t="shared" si="6"/>
        <v>1965.625</v>
      </c>
      <c r="M14" s="28">
        <f t="shared" si="7"/>
        <v>632653.23823817458</v>
      </c>
      <c r="N14" s="28">
        <f t="shared" si="0"/>
        <v>482408.52833508328</v>
      </c>
      <c r="O14" s="16">
        <f t="shared" si="8"/>
        <v>521032.43050052063</v>
      </c>
      <c r="P14" s="43">
        <f t="shared" si="9"/>
        <v>1.080064716722025</v>
      </c>
    </row>
    <row r="15" spans="1:16">
      <c r="A15" s="8">
        <v>1.9</v>
      </c>
      <c r="B15" s="8">
        <v>0</v>
      </c>
      <c r="C15" s="9">
        <v>0.52</v>
      </c>
      <c r="D15" s="8">
        <v>4.2</v>
      </c>
      <c r="E15" s="10">
        <v>33064</v>
      </c>
      <c r="F15" s="12">
        <f t="shared" si="1"/>
        <v>1590.6299999999999</v>
      </c>
      <c r="G15" s="12">
        <f t="shared" si="2"/>
        <v>661.08</v>
      </c>
      <c r="H15" s="12">
        <f t="shared" si="3"/>
        <v>634.40384800000004</v>
      </c>
      <c r="I15" s="9">
        <f t="shared" si="4"/>
        <v>1.0420491648720265</v>
      </c>
      <c r="J15" s="27"/>
      <c r="K15" s="4"/>
      <c r="L15" s="29">
        <f t="shared" si="6"/>
        <v>1590.6299999999999</v>
      </c>
      <c r="M15" s="28">
        <f t="shared" si="7"/>
        <v>511957.88634087757</v>
      </c>
      <c r="N15" s="28">
        <f t="shared" si="0"/>
        <v>390376.33191765135</v>
      </c>
      <c r="O15" s="16">
        <f t="shared" si="8"/>
        <v>493683.27816885</v>
      </c>
      <c r="P15" s="43">
        <f t="shared" si="9"/>
        <v>1.2646342459946853</v>
      </c>
    </row>
    <row r="16" spans="1:16">
      <c r="A16" s="8">
        <v>1.9</v>
      </c>
      <c r="B16" s="8">
        <v>280000</v>
      </c>
      <c r="C16" s="9">
        <v>0.52</v>
      </c>
      <c r="D16" s="8">
        <v>4.2</v>
      </c>
      <c r="E16" s="10">
        <v>33071</v>
      </c>
      <c r="F16" s="12">
        <f t="shared" si="1"/>
        <v>1590.6299999999999</v>
      </c>
      <c r="G16" s="12">
        <f t="shared" si="2"/>
        <v>661.08</v>
      </c>
      <c r="H16" s="12">
        <f t="shared" si="3"/>
        <v>634.40384800000004</v>
      </c>
      <c r="I16" s="9">
        <f t="shared" si="4"/>
        <v>1.0420491648720265</v>
      </c>
      <c r="J16" s="27"/>
      <c r="K16" s="4">
        <f t="shared" si="5"/>
        <v>280000</v>
      </c>
      <c r="L16" s="29">
        <f t="shared" si="6"/>
        <v>1590.6299999999999</v>
      </c>
      <c r="M16" s="28">
        <f t="shared" si="7"/>
        <v>511957.88634087757</v>
      </c>
      <c r="N16" s="28">
        <f t="shared" si="0"/>
        <v>390376.33191765135</v>
      </c>
      <c r="O16" s="16">
        <f t="shared" si="8"/>
        <v>493683.27816885</v>
      </c>
      <c r="P16" s="43">
        <f t="shared" si="9"/>
        <v>1.2646342459946853</v>
      </c>
    </row>
    <row r="17" spans="1:16">
      <c r="A17" s="8">
        <v>2.75</v>
      </c>
      <c r="B17" s="8">
        <v>280000</v>
      </c>
      <c r="C17" s="9">
        <v>0.56399999999999995</v>
      </c>
      <c r="D17" s="8">
        <v>4.57</v>
      </c>
      <c r="E17" s="10">
        <v>33071</v>
      </c>
      <c r="F17" s="12">
        <f t="shared" si="1"/>
        <v>1762.9250000000002</v>
      </c>
      <c r="G17" s="12">
        <f t="shared" si="2"/>
        <v>719.3180000000001</v>
      </c>
      <c r="H17" s="12">
        <f t="shared" si="3"/>
        <v>688.08417359999987</v>
      </c>
      <c r="I17" s="9">
        <f t="shared" si="4"/>
        <v>1.0453924499332508</v>
      </c>
      <c r="J17" s="27"/>
      <c r="K17" s="4">
        <f t="shared" si="5"/>
        <v>0</v>
      </c>
      <c r="L17" s="29">
        <f t="shared" si="6"/>
        <v>1762.9250000000002</v>
      </c>
      <c r="M17" s="28">
        <f t="shared" si="7"/>
        <v>567412.50748287898</v>
      </c>
      <c r="N17" s="28">
        <f t="shared" si="0"/>
        <v>432661.39513647155</v>
      </c>
      <c r="O17" s="16">
        <f t="shared" si="8"/>
        <v>539679.57981756877</v>
      </c>
      <c r="P17" s="43">
        <f t="shared" si="9"/>
        <v>1.2473485868720531</v>
      </c>
    </row>
    <row r="18" spans="1:16">
      <c r="A18" s="8">
        <v>2.75</v>
      </c>
      <c r="B18" s="8">
        <v>368600</v>
      </c>
      <c r="C18" s="9">
        <v>0.56399999999999995</v>
      </c>
      <c r="D18" s="8">
        <v>4.57</v>
      </c>
      <c r="E18" s="10">
        <v>33073</v>
      </c>
      <c r="F18" s="12">
        <f t="shared" si="1"/>
        <v>1762.9250000000002</v>
      </c>
      <c r="G18" s="12">
        <f t="shared" si="2"/>
        <v>719.3180000000001</v>
      </c>
      <c r="H18" s="12">
        <f t="shared" si="3"/>
        <v>688.08417359999987</v>
      </c>
      <c r="I18" s="9">
        <f t="shared" si="4"/>
        <v>1.0453924499332508</v>
      </c>
      <c r="J18" s="27"/>
      <c r="K18" s="4">
        <f t="shared" si="5"/>
        <v>88600</v>
      </c>
      <c r="L18" s="29">
        <f t="shared" si="6"/>
        <v>1762.9250000000002</v>
      </c>
      <c r="M18" s="28">
        <f t="shared" si="7"/>
        <v>567412.50748287898</v>
      </c>
      <c r="N18" s="28">
        <f t="shared" si="0"/>
        <v>432661.39513647155</v>
      </c>
      <c r="O18" s="16">
        <f t="shared" si="8"/>
        <v>539679.57981756877</v>
      </c>
      <c r="P18" s="43">
        <f t="shared" si="9"/>
        <v>1.2473485868720531</v>
      </c>
    </row>
    <row r="19" spans="1:16">
      <c r="A19" s="8">
        <v>3.5</v>
      </c>
      <c r="B19" s="8">
        <v>368600</v>
      </c>
      <c r="C19" s="9">
        <v>0.61</v>
      </c>
      <c r="D19" s="8">
        <v>5.04</v>
      </c>
      <c r="E19" s="10">
        <v>33073</v>
      </c>
      <c r="F19" s="12">
        <f t="shared" si="1"/>
        <v>1914.9499999999998</v>
      </c>
      <c r="G19" s="12">
        <f t="shared" si="2"/>
        <v>793.29600000000005</v>
      </c>
      <c r="H19" s="12">
        <f t="shared" si="3"/>
        <v>744.20451400000002</v>
      </c>
      <c r="I19" s="9">
        <f t="shared" si="4"/>
        <v>1.0659650473444993</v>
      </c>
      <c r="J19" s="27"/>
      <c r="K19" s="4">
        <f t="shared" si="5"/>
        <v>0</v>
      </c>
      <c r="L19" s="29">
        <f t="shared" si="6"/>
        <v>1914.9499999999998</v>
      </c>
      <c r="M19" s="28">
        <f t="shared" si="7"/>
        <v>616343.05554935057</v>
      </c>
      <c r="N19" s="28">
        <f t="shared" si="0"/>
        <v>469971.74503543024</v>
      </c>
      <c r="O19" s="16">
        <f t="shared" si="8"/>
        <v>598107.31434431963</v>
      </c>
      <c r="P19" s="43">
        <f t="shared" si="9"/>
        <v>1.2726452614704094</v>
      </c>
    </row>
    <row r="20" spans="1:16">
      <c r="A20" s="8">
        <v>3.5</v>
      </c>
      <c r="B20" s="8">
        <v>525000</v>
      </c>
      <c r="C20" s="9">
        <v>0.61</v>
      </c>
      <c r="D20" s="8">
        <v>5.04</v>
      </c>
      <c r="E20" s="10">
        <v>33077</v>
      </c>
      <c r="F20" s="12">
        <f t="shared" si="1"/>
        <v>1914.9499999999998</v>
      </c>
      <c r="G20" s="12">
        <f t="shared" si="2"/>
        <v>793.29600000000005</v>
      </c>
      <c r="H20" s="12">
        <f t="shared" si="3"/>
        <v>744.20451400000002</v>
      </c>
      <c r="I20" s="9">
        <f t="shared" si="4"/>
        <v>1.0659650473444993</v>
      </c>
      <c r="J20" s="27"/>
      <c r="K20" s="4">
        <f t="shared" si="5"/>
        <v>156400</v>
      </c>
      <c r="L20" s="29">
        <f t="shared" si="6"/>
        <v>1914.9499999999998</v>
      </c>
      <c r="M20" s="28">
        <f t="shared" si="7"/>
        <v>616343.05554935057</v>
      </c>
      <c r="N20" s="28">
        <f t="shared" si="0"/>
        <v>469971.74503543024</v>
      </c>
      <c r="O20" s="16">
        <f t="shared" si="8"/>
        <v>598107.31434431963</v>
      </c>
      <c r="P20" s="43">
        <f t="shared" si="9"/>
        <v>1.2726452614704094</v>
      </c>
    </row>
    <row r="21" spans="1:16">
      <c r="A21" s="8">
        <v>3.75</v>
      </c>
      <c r="B21" s="8">
        <v>0</v>
      </c>
      <c r="C21" s="9">
        <v>0.54600000000000004</v>
      </c>
      <c r="D21" s="8">
        <v>4.57</v>
      </c>
      <c r="E21" s="10">
        <v>33308</v>
      </c>
      <c r="F21" s="12">
        <f t="shared" si="1"/>
        <v>1965.625</v>
      </c>
      <c r="G21" s="12">
        <f t="shared" si="2"/>
        <v>719.3180000000001</v>
      </c>
      <c r="H21" s="12">
        <f t="shared" si="3"/>
        <v>666.12404040000013</v>
      </c>
      <c r="I21" s="9">
        <f t="shared" si="4"/>
        <v>1.0798559372936871</v>
      </c>
      <c r="J21" s="27"/>
      <c r="K21" s="4"/>
      <c r="L21" s="29">
        <f t="shared" si="6"/>
        <v>1965.625</v>
      </c>
      <c r="M21" s="28">
        <f t="shared" si="7"/>
        <v>632653.23823817458</v>
      </c>
      <c r="N21" s="28">
        <f t="shared" si="0"/>
        <v>482408.52833508328</v>
      </c>
      <c r="O21" s="16">
        <f t="shared" si="8"/>
        <v>539679.57981756877</v>
      </c>
      <c r="P21" s="43">
        <f t="shared" si="9"/>
        <v>1.1187189863333111</v>
      </c>
    </row>
    <row r="22" spans="1:16">
      <c r="A22" s="8">
        <v>3.75</v>
      </c>
      <c r="B22" s="8">
        <v>25250</v>
      </c>
      <c r="C22" s="9">
        <v>0.54600000000000004</v>
      </c>
      <c r="D22" s="8">
        <v>4.57</v>
      </c>
      <c r="E22" s="10">
        <v>33309</v>
      </c>
      <c r="F22" s="12">
        <f t="shared" si="1"/>
        <v>1965.625</v>
      </c>
      <c r="G22" s="12">
        <f t="shared" si="2"/>
        <v>719.3180000000001</v>
      </c>
      <c r="H22" s="12">
        <f t="shared" si="3"/>
        <v>666.12404040000013</v>
      </c>
      <c r="I22" s="9">
        <f t="shared" si="4"/>
        <v>1.0798559372936871</v>
      </c>
      <c r="J22" s="27"/>
      <c r="K22" s="4">
        <f t="shared" si="5"/>
        <v>25250</v>
      </c>
      <c r="L22" s="29">
        <f t="shared" si="6"/>
        <v>1965.625</v>
      </c>
      <c r="M22" s="28">
        <f t="shared" si="7"/>
        <v>632653.23823817458</v>
      </c>
      <c r="N22" s="28">
        <f t="shared" si="0"/>
        <v>482408.52833508328</v>
      </c>
      <c r="O22" s="16">
        <f t="shared" si="8"/>
        <v>539679.57981756877</v>
      </c>
      <c r="P22" s="43">
        <f t="shared" si="9"/>
        <v>1.1187189863333111</v>
      </c>
    </row>
    <row r="23" spans="1:16">
      <c r="A23" s="8">
        <v>4.5</v>
      </c>
      <c r="B23" s="8">
        <v>25250</v>
      </c>
      <c r="C23" s="9">
        <v>0.6</v>
      </c>
      <c r="D23" s="8">
        <v>5.0999999999999996</v>
      </c>
      <c r="E23" s="10">
        <v>33309</v>
      </c>
      <c r="F23" s="12">
        <f t="shared" si="1"/>
        <v>2117.65</v>
      </c>
      <c r="G23" s="12">
        <f t="shared" si="2"/>
        <v>802.74</v>
      </c>
      <c r="H23" s="12">
        <f t="shared" si="3"/>
        <v>732.00444000000005</v>
      </c>
      <c r="I23" s="9">
        <f t="shared" si="4"/>
        <v>1.0966326925557992</v>
      </c>
      <c r="J23" s="27"/>
      <c r="K23" s="4">
        <f t="shared" si="5"/>
        <v>0</v>
      </c>
      <c r="L23" s="29">
        <f t="shared" si="6"/>
        <v>2117.65</v>
      </c>
      <c r="M23" s="28">
        <f t="shared" si="7"/>
        <v>681583.78630464629</v>
      </c>
      <c r="N23" s="28">
        <f t="shared" si="0"/>
        <v>519718.87823404215</v>
      </c>
      <c r="O23" s="16">
        <f t="shared" si="8"/>
        <v>605566.17407113896</v>
      </c>
      <c r="P23" s="43">
        <f t="shared" si="9"/>
        <v>1.1651802530798923</v>
      </c>
    </row>
    <row r="24" spans="1:16">
      <c r="A24" s="8">
        <v>4.5</v>
      </c>
      <c r="B24" s="8">
        <v>35039</v>
      </c>
      <c r="C24" s="9">
        <v>0.6</v>
      </c>
      <c r="D24" s="8">
        <v>5.0999999999999996</v>
      </c>
      <c r="E24" s="10">
        <v>33310</v>
      </c>
      <c r="F24" s="12">
        <f t="shared" si="1"/>
        <v>2117.65</v>
      </c>
      <c r="G24" s="12">
        <f t="shared" si="2"/>
        <v>802.74</v>
      </c>
      <c r="H24" s="12">
        <f t="shared" si="3"/>
        <v>732.00444000000005</v>
      </c>
      <c r="I24" s="9">
        <f t="shared" si="4"/>
        <v>1.0966326925557992</v>
      </c>
      <c r="J24" s="27"/>
      <c r="K24" s="4">
        <f t="shared" si="5"/>
        <v>9789</v>
      </c>
      <c r="L24" s="29">
        <f t="shared" si="6"/>
        <v>2117.65</v>
      </c>
      <c r="M24" s="28">
        <f t="shared" si="7"/>
        <v>681583.78630464629</v>
      </c>
      <c r="N24" s="28">
        <f t="shared" si="0"/>
        <v>519718.87823404215</v>
      </c>
      <c r="O24" s="16">
        <f t="shared" si="8"/>
        <v>605566.17407113896</v>
      </c>
      <c r="P24" s="43">
        <f t="shared" si="9"/>
        <v>1.1651802530798923</v>
      </c>
    </row>
    <row r="25" spans="1:16">
      <c r="A25" s="8">
        <v>5.5</v>
      </c>
      <c r="B25" s="8">
        <v>35039</v>
      </c>
      <c r="C25" s="9">
        <v>0.63500000000000001</v>
      </c>
      <c r="D25" s="8">
        <v>5.34</v>
      </c>
      <c r="E25" s="10">
        <v>33310</v>
      </c>
      <c r="F25" s="12">
        <f t="shared" si="1"/>
        <v>2320.35</v>
      </c>
      <c r="G25" s="12">
        <f t="shared" si="2"/>
        <v>840.51599999999996</v>
      </c>
      <c r="H25" s="12">
        <f t="shared" si="3"/>
        <v>774.70469900000012</v>
      </c>
      <c r="I25" s="9">
        <f t="shared" si="4"/>
        <v>1.0849501766091647</v>
      </c>
      <c r="J25" s="27"/>
      <c r="K25" s="4">
        <f t="shared" si="5"/>
        <v>0</v>
      </c>
      <c r="L25" s="29">
        <f t="shared" si="6"/>
        <v>2320.35</v>
      </c>
      <c r="M25" s="28">
        <f t="shared" si="7"/>
        <v>746824.51705994189</v>
      </c>
      <c r="N25" s="28">
        <f t="shared" si="0"/>
        <v>569466.01143265399</v>
      </c>
      <c r="O25" s="16">
        <f t="shared" si="8"/>
        <v>635401.61297841603</v>
      </c>
      <c r="P25" s="43">
        <f t="shared" si="9"/>
        <v>1.1157849638468893</v>
      </c>
    </row>
    <row r="26" spans="1:16">
      <c r="A26" s="8">
        <v>5.5</v>
      </c>
      <c r="B26" s="8">
        <v>36350</v>
      </c>
      <c r="C26" s="9">
        <v>0.63500000000000001</v>
      </c>
      <c r="D26" s="8">
        <v>5.34</v>
      </c>
      <c r="E26" s="10">
        <v>33310</v>
      </c>
      <c r="F26" s="12">
        <f t="shared" si="1"/>
        <v>2320.35</v>
      </c>
      <c r="G26" s="12">
        <f t="shared" si="2"/>
        <v>840.51599999999996</v>
      </c>
      <c r="H26" s="12">
        <f t="shared" si="3"/>
        <v>774.70469900000012</v>
      </c>
      <c r="I26" s="9">
        <f t="shared" si="4"/>
        <v>1.0849501766091647</v>
      </c>
      <c r="J26" s="27"/>
      <c r="K26" s="4">
        <f t="shared" si="5"/>
        <v>1311</v>
      </c>
      <c r="L26" s="29">
        <f t="shared" si="6"/>
        <v>2320.35</v>
      </c>
      <c r="M26" s="28">
        <f t="shared" si="7"/>
        <v>746824.51705994189</v>
      </c>
      <c r="N26" s="28">
        <f t="shared" si="0"/>
        <v>569466.01143265399</v>
      </c>
      <c r="O26" s="16">
        <f t="shared" si="8"/>
        <v>635401.61297841603</v>
      </c>
      <c r="P26" s="43">
        <f t="shared" si="9"/>
        <v>1.1157849638468893</v>
      </c>
    </row>
    <row r="27" spans="1:16">
      <c r="A27" s="8">
        <v>6.3</v>
      </c>
      <c r="B27" s="8">
        <v>36350</v>
      </c>
      <c r="C27" s="9">
        <v>0.67900000000000005</v>
      </c>
      <c r="D27" s="8">
        <v>5.72</v>
      </c>
      <c r="E27" s="10">
        <v>33310</v>
      </c>
      <c r="F27" s="12">
        <f t="shared" si="1"/>
        <v>2482.5100000000002</v>
      </c>
      <c r="G27" s="12">
        <f t="shared" si="2"/>
        <v>900.32799999999997</v>
      </c>
      <c r="H27" s="12">
        <f t="shared" si="3"/>
        <v>828.38502460000018</v>
      </c>
      <c r="I27" s="9">
        <f t="shared" si="4"/>
        <v>1.086847266987641</v>
      </c>
      <c r="J27" s="27"/>
      <c r="K27" s="4">
        <f t="shared" si="5"/>
        <v>0</v>
      </c>
      <c r="L27" s="29">
        <f t="shared" si="6"/>
        <v>2482.5100000000002</v>
      </c>
      <c r="M27" s="28">
        <f t="shared" si="7"/>
        <v>799017.10166417854</v>
      </c>
      <c r="N27" s="28">
        <f t="shared" si="0"/>
        <v>609263.71799154358</v>
      </c>
      <c r="O27" s="16">
        <f t="shared" si="8"/>
        <v>682641.05791493796</v>
      </c>
      <c r="P27" s="43">
        <f t="shared" si="9"/>
        <v>1.1204360899173269</v>
      </c>
    </row>
    <row r="28" spans="1:16">
      <c r="A28" s="8">
        <v>6.3</v>
      </c>
      <c r="B28" s="8">
        <v>135200</v>
      </c>
      <c r="C28" s="9">
        <v>0.67900000000000005</v>
      </c>
      <c r="D28" s="8">
        <v>5.72</v>
      </c>
      <c r="E28" s="10">
        <v>33316</v>
      </c>
      <c r="F28" s="12">
        <f t="shared" si="1"/>
        <v>2482.5100000000002</v>
      </c>
      <c r="G28" s="12">
        <f t="shared" si="2"/>
        <v>900.32799999999997</v>
      </c>
      <c r="H28" s="12">
        <f t="shared" si="3"/>
        <v>828.38502460000018</v>
      </c>
      <c r="I28" s="9">
        <f t="shared" si="4"/>
        <v>1.086847266987641</v>
      </c>
      <c r="J28" s="27"/>
      <c r="K28" s="4">
        <f t="shared" si="5"/>
        <v>98850</v>
      </c>
      <c r="L28" s="29">
        <f t="shared" si="6"/>
        <v>2482.5100000000002</v>
      </c>
      <c r="M28" s="28">
        <f t="shared" si="7"/>
        <v>799017.10166417854</v>
      </c>
      <c r="N28" s="28">
        <f t="shared" si="0"/>
        <v>609263.71799154358</v>
      </c>
      <c r="O28" s="16">
        <f t="shared" si="8"/>
        <v>682641.05791493796</v>
      </c>
      <c r="P28" s="43">
        <f t="shared" si="9"/>
        <v>1.1204360899173269</v>
      </c>
    </row>
    <row r="29" spans="1:16">
      <c r="A29" s="8">
        <v>6.3</v>
      </c>
      <c r="B29" s="8">
        <v>0</v>
      </c>
      <c r="C29" s="9">
        <v>0.67900000000000005</v>
      </c>
      <c r="D29" s="8">
        <v>5.72</v>
      </c>
      <c r="E29" s="10">
        <v>33317</v>
      </c>
      <c r="F29" s="12">
        <f t="shared" si="1"/>
        <v>2482.5100000000002</v>
      </c>
      <c r="G29" s="12">
        <f t="shared" si="2"/>
        <v>900.32799999999997</v>
      </c>
      <c r="H29" s="12">
        <f t="shared" si="3"/>
        <v>828.38502460000018</v>
      </c>
      <c r="I29" s="9">
        <f t="shared" si="4"/>
        <v>1.086847266987641</v>
      </c>
      <c r="J29" s="27"/>
      <c r="K29" s="4"/>
      <c r="L29" s="29">
        <f t="shared" si="6"/>
        <v>2482.5100000000002</v>
      </c>
      <c r="M29" s="28">
        <f t="shared" si="7"/>
        <v>799017.10166417854</v>
      </c>
      <c r="N29" s="28">
        <f t="shared" si="0"/>
        <v>609263.71799154358</v>
      </c>
      <c r="O29" s="16">
        <f>1000*(D29*1000-228.75)*8/64.353</f>
        <v>682641.05791493796</v>
      </c>
      <c r="P29" s="43">
        <f>IF(O29/N29&gt;0.5,O29/N29,"")</f>
        <v>1.1204360899173269</v>
      </c>
    </row>
    <row r="30" spans="1:16">
      <c r="A30" s="8">
        <v>6.3</v>
      </c>
      <c r="B30" s="8">
        <v>361000</v>
      </c>
      <c r="C30" s="9">
        <v>0.67900000000000005</v>
      </c>
      <c r="D30" s="8">
        <v>5.72</v>
      </c>
      <c r="E30" s="10">
        <v>33326</v>
      </c>
      <c r="F30" s="12">
        <f t="shared" si="1"/>
        <v>2482.5100000000002</v>
      </c>
      <c r="G30" s="12">
        <f t="shared" si="2"/>
        <v>900.32799999999997</v>
      </c>
      <c r="H30" s="12">
        <f t="shared" si="3"/>
        <v>828.38502460000018</v>
      </c>
      <c r="I30" s="9">
        <f t="shared" si="4"/>
        <v>1.086847266987641</v>
      </c>
      <c r="J30" s="27"/>
      <c r="K30" s="4">
        <f t="shared" si="5"/>
        <v>361000</v>
      </c>
      <c r="L30" s="29">
        <f t="shared" si="6"/>
        <v>2482.5100000000002</v>
      </c>
      <c r="M30" s="28">
        <f t="shared" si="7"/>
        <v>799017.10166417854</v>
      </c>
      <c r="N30" s="28">
        <f t="shared" si="0"/>
        <v>609263.71799154358</v>
      </c>
      <c r="O30" s="16">
        <f>1000*(D30*1000-228.75)*8/64.353</f>
        <v>682641.05791493796</v>
      </c>
      <c r="P30" s="43">
        <f>IF(O30/N30&gt;0.5,O30/N30,"")</f>
        <v>1.1204360899173269</v>
      </c>
    </row>
    <row r="31" spans="1:16">
      <c r="A31" s="8"/>
      <c r="B31" s="8"/>
      <c r="C31" s="9"/>
      <c r="D31" s="8"/>
      <c r="E31" s="10"/>
      <c r="F31" s="12">
        <f>MAX(F7:F30)</f>
        <v>2482.5100000000002</v>
      </c>
      <c r="G31" s="12"/>
      <c r="H31" s="12"/>
      <c r="I31" s="9"/>
      <c r="J31" s="27"/>
      <c r="K31" s="4">
        <f>SUM(K8:K30)</f>
        <v>1131200</v>
      </c>
      <c r="L31" s="29">
        <f t="shared" si="6"/>
        <v>2482.5100000000002</v>
      </c>
      <c r="M31" s="28">
        <f t="shared" si="7"/>
        <v>799017.10166417854</v>
      </c>
      <c r="N31" s="28">
        <f t="shared" si="0"/>
        <v>609263.71799154358</v>
      </c>
      <c r="O31" s="16">
        <f>1000*(D31*1000-228.75)*8/64.353</f>
        <v>-28436.902708498441</v>
      </c>
      <c r="P31" s="43" t="str">
        <f>IF(O31/N31&gt;0.5,O31/N31,"")</f>
        <v/>
      </c>
    </row>
    <row r="32" spans="1:16">
      <c r="A32" s="8"/>
      <c r="B32" s="8"/>
      <c r="C32" s="9"/>
      <c r="D32" s="8"/>
      <c r="E32" s="10"/>
      <c r="F32" s="12"/>
      <c r="G32" s="12"/>
      <c r="H32" s="12"/>
      <c r="I32" s="9"/>
      <c r="J32" s="27"/>
      <c r="K32" s="4"/>
      <c r="L32" s="29"/>
      <c r="M32" s="28"/>
      <c r="N32" s="28"/>
      <c r="O32" s="3" t="s">
        <v>12</v>
      </c>
      <c r="P32" s="43">
        <f>MAX(P7:P30)</f>
        <v>1.2726452614704094</v>
      </c>
    </row>
    <row r="33" spans="1:16">
      <c r="B33" s="15"/>
      <c r="D33" s="15"/>
      <c r="O33" s="3" t="s">
        <v>53</v>
      </c>
      <c r="P33" s="43">
        <f>MIN(P7:P30)</f>
        <v>1.080064716722025</v>
      </c>
    </row>
    <row r="34" spans="1:16">
      <c r="A34" s="3" t="s">
        <v>5</v>
      </c>
      <c r="B34" s="15" t="s">
        <v>13</v>
      </c>
      <c r="C34" s="24" t="s">
        <v>24</v>
      </c>
      <c r="D34" s="15" t="s">
        <v>14</v>
      </c>
      <c r="E34" s="3" t="s">
        <v>55</v>
      </c>
      <c r="F34" s="3" t="s">
        <v>57</v>
      </c>
    </row>
    <row r="35" spans="1:16">
      <c r="A35" s="3">
        <v>280000</v>
      </c>
      <c r="B35" s="3">
        <v>1590.63</v>
      </c>
      <c r="C35" s="24">
        <v>511957.88634087757</v>
      </c>
      <c r="D35" s="3">
        <v>390376.33191765135</v>
      </c>
      <c r="E35" s="15">
        <f t="shared" ref="E35:E41" si="10">D35/1000*1.5598+1.525</f>
        <v>610.43400252515255</v>
      </c>
      <c r="F35" s="15">
        <f>D35/1000</f>
        <v>390.37633191765133</v>
      </c>
    </row>
    <row r="36" spans="1:16">
      <c r="A36" s="3">
        <v>95500</v>
      </c>
      <c r="B36" s="3">
        <v>1762.925</v>
      </c>
      <c r="C36" s="24">
        <v>567412.50748287898</v>
      </c>
      <c r="D36" s="3">
        <v>432661.39513647155</v>
      </c>
      <c r="E36" s="15">
        <f t="shared" si="10"/>
        <v>676.39024413386835</v>
      </c>
      <c r="F36" s="15">
        <f t="shared" ref="F36:F41" si="11">D36/1000</f>
        <v>432.66139513647153</v>
      </c>
    </row>
    <row r="37" spans="1:16">
      <c r="A37" s="3">
        <v>156400</v>
      </c>
      <c r="B37" s="3">
        <v>1914.95</v>
      </c>
      <c r="C37" s="24">
        <v>616343.05554935057</v>
      </c>
      <c r="D37" s="3">
        <v>469971.74503543024</v>
      </c>
      <c r="E37" s="15">
        <f t="shared" si="10"/>
        <v>734.58692790626401</v>
      </c>
      <c r="F37" s="15">
        <f t="shared" si="11"/>
        <v>469.97174503543022</v>
      </c>
    </row>
    <row r="38" spans="1:16">
      <c r="A38" s="3">
        <v>114350</v>
      </c>
      <c r="B38" s="3">
        <v>1965.625</v>
      </c>
      <c r="C38" s="24">
        <v>632653.23823817458</v>
      </c>
      <c r="D38" s="3">
        <v>482408.52833508328</v>
      </c>
      <c r="E38" s="15">
        <f t="shared" si="10"/>
        <v>753.98582249706294</v>
      </c>
      <c r="F38" s="15">
        <f t="shared" si="11"/>
        <v>482.4085283350833</v>
      </c>
    </row>
    <row r="39" spans="1:16">
      <c r="A39" s="3">
        <v>23789</v>
      </c>
      <c r="B39" s="3">
        <v>2117.65</v>
      </c>
      <c r="C39" s="24">
        <v>681583.78630464629</v>
      </c>
      <c r="D39" s="3">
        <v>519718.87823404215</v>
      </c>
      <c r="E39" s="15">
        <f t="shared" si="10"/>
        <v>812.18250626945894</v>
      </c>
      <c r="F39" s="15">
        <f t="shared" si="11"/>
        <v>519.71887823404211</v>
      </c>
    </row>
    <row r="40" spans="1:16">
      <c r="A40" s="3">
        <v>1311</v>
      </c>
      <c r="B40" s="3">
        <v>2320.35</v>
      </c>
      <c r="C40" s="24">
        <v>746824.51705994189</v>
      </c>
      <c r="D40" s="3">
        <v>569466.01143265399</v>
      </c>
      <c r="E40" s="15">
        <f t="shared" si="10"/>
        <v>889.77808463265376</v>
      </c>
      <c r="F40" s="15">
        <f t="shared" si="11"/>
        <v>569.466011432654</v>
      </c>
    </row>
    <row r="41" spans="1:16">
      <c r="A41" s="3">
        <v>459850</v>
      </c>
      <c r="B41" s="3">
        <v>2482.5100000000002</v>
      </c>
      <c r="C41" s="24">
        <v>799017.10166417854</v>
      </c>
      <c r="D41" s="3">
        <v>609263.71799154358</v>
      </c>
      <c r="E41" s="15">
        <f t="shared" si="10"/>
        <v>951.85454732320966</v>
      </c>
      <c r="F41" s="15">
        <f t="shared" si="11"/>
        <v>609.26371799154356</v>
      </c>
    </row>
    <row r="42" spans="1:16">
      <c r="A42" s="15">
        <f>SUM(A35:A41)</f>
        <v>1131200</v>
      </c>
      <c r="B42" s="15"/>
      <c r="C42" s="29"/>
      <c r="D42" s="15"/>
    </row>
  </sheetData>
  <phoneticPr fontId="0" type="noConversion"/>
  <pageMargins left="0.75" right="0.75" top="1" bottom="1" header="0.5" footer="0.5"/>
  <pageSetup scale="72" orientation="landscape" r:id="rId1"/>
  <headerFooter alignWithMargins="0"/>
  <drawing r:id="rId2"/>
  <legacyDrawing r:id="rId3"/>
  <oleObjects>
    <mc:AlternateContent xmlns:mc="http://schemas.openxmlformats.org/markup-compatibility/2006">
      <mc:Choice Requires="x14">
        <oleObject progId="Mathcad" shapeId="10241" r:id="rId4">
          <objectPr defaultSize="0" r:id="rId5">
            <anchor moveWithCells="1">
              <from>
                <xdr:col>8</xdr:col>
                <xdr:colOff>165100</xdr:colOff>
                <xdr:row>0</xdr:row>
                <xdr:rowOff>133350</xdr:rowOff>
              </from>
              <to>
                <xdr:col>9</xdr:col>
                <xdr:colOff>285750</xdr:colOff>
                <xdr:row>3</xdr:row>
                <xdr:rowOff>0</xdr:rowOff>
              </to>
            </anchor>
          </objectPr>
        </oleObject>
      </mc:Choice>
      <mc:Fallback>
        <oleObject progId="Mathcad" shapeId="10241" r:id="rId4"/>
      </mc:Fallback>
    </mc:AlternateContent>
    <mc:AlternateContent xmlns:mc="http://schemas.openxmlformats.org/markup-compatibility/2006">
      <mc:Choice Requires="x14">
        <oleObject progId="Mathcad" shapeId="10242" r:id="rId6">
          <objectPr defaultSize="0" r:id="rId7">
            <anchor moveWithCells="1">
              <from>
                <xdr:col>9</xdr:col>
                <xdr:colOff>539750</xdr:colOff>
                <xdr:row>1</xdr:row>
                <xdr:rowOff>31750</xdr:rowOff>
              </from>
              <to>
                <xdr:col>12</xdr:col>
                <xdr:colOff>50800</xdr:colOff>
                <xdr:row>2</xdr:row>
                <xdr:rowOff>127000</xdr:rowOff>
              </to>
            </anchor>
          </objectPr>
        </oleObject>
      </mc:Choice>
      <mc:Fallback>
        <oleObject progId="Mathcad" shapeId="10242" r:id="rId6"/>
      </mc:Fallback>
    </mc:AlternateContent>
    <mc:AlternateContent xmlns:mc="http://schemas.openxmlformats.org/markup-compatibility/2006">
      <mc:Choice Requires="x14">
        <oleObject progId="Mathcad" shapeId="10245" r:id="rId8">
          <objectPr defaultSize="0" r:id="rId5">
            <anchor moveWithCells="1">
              <from>
                <xdr:col>8</xdr:col>
                <xdr:colOff>165100</xdr:colOff>
                <xdr:row>0</xdr:row>
                <xdr:rowOff>133350</xdr:rowOff>
              </from>
              <to>
                <xdr:col>9</xdr:col>
                <xdr:colOff>285750</xdr:colOff>
                <xdr:row>3</xdr:row>
                <xdr:rowOff>0</xdr:rowOff>
              </to>
            </anchor>
          </objectPr>
        </oleObject>
      </mc:Choice>
      <mc:Fallback>
        <oleObject progId="Mathcad" shapeId="10245" r:id="rId8"/>
      </mc:Fallback>
    </mc:AlternateContent>
    <mc:AlternateContent xmlns:mc="http://schemas.openxmlformats.org/markup-compatibility/2006">
      <mc:Choice Requires="x14">
        <oleObject progId="Mathcad" shapeId="10246" r:id="rId9">
          <objectPr defaultSize="0" r:id="rId7">
            <anchor moveWithCells="1">
              <from>
                <xdr:col>9</xdr:col>
                <xdr:colOff>539750</xdr:colOff>
                <xdr:row>1</xdr:row>
                <xdr:rowOff>31750</xdr:rowOff>
              </from>
              <to>
                <xdr:col>12</xdr:col>
                <xdr:colOff>50800</xdr:colOff>
                <xdr:row>2</xdr:row>
                <xdr:rowOff>127000</xdr:rowOff>
              </to>
            </anchor>
          </objectPr>
        </oleObject>
      </mc:Choice>
      <mc:Fallback>
        <oleObject progId="Mathcad" shapeId="10246" r:id="rId9"/>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P44"/>
  <sheetViews>
    <sheetView topLeftCell="A23" workbookViewId="0">
      <selection activeCell="D32" sqref="D32"/>
    </sheetView>
  </sheetViews>
  <sheetFormatPr defaultColWidth="9" defaultRowHeight="12.5"/>
  <cols>
    <col min="1" max="1" width="9" style="3"/>
    <col min="2" max="2" width="9.08984375" style="3" bestFit="1" customWidth="1"/>
    <col min="3" max="3" width="9.08984375" style="24" bestFit="1" customWidth="1"/>
    <col min="4" max="4" width="9.08984375" style="3" bestFit="1" customWidth="1"/>
    <col min="5" max="9" width="9" style="3"/>
    <col min="10" max="10" width="9.36328125" style="13" customWidth="1"/>
    <col min="11" max="16384" width="9" style="3"/>
  </cols>
  <sheetData>
    <row r="1" spans="1:16" s="1" customFormat="1">
      <c r="A1" s="25" t="s">
        <v>37</v>
      </c>
      <c r="B1" s="25"/>
      <c r="C1" s="23" t="s">
        <v>10</v>
      </c>
      <c r="D1" s="25" t="s">
        <v>35</v>
      </c>
      <c r="E1" s="25" t="s">
        <v>11</v>
      </c>
      <c r="F1" s="25" t="s">
        <v>20</v>
      </c>
      <c r="G1" s="26">
        <f>D4/(2*D3)</f>
        <v>1485.8075040783035</v>
      </c>
      <c r="H1" s="25" t="s">
        <v>26</v>
      </c>
      <c r="I1" s="25"/>
      <c r="J1" s="27"/>
      <c r="K1" s="25"/>
      <c r="L1" s="25"/>
      <c r="M1" s="25"/>
      <c r="N1" s="25"/>
    </row>
    <row r="2" spans="1:16">
      <c r="A2" s="4"/>
      <c r="B2" s="4"/>
      <c r="C2" s="24" t="s">
        <v>15</v>
      </c>
      <c r="D2" s="4">
        <v>384.9</v>
      </c>
      <c r="E2" s="4" t="s">
        <v>11</v>
      </c>
      <c r="F2" s="4" t="s">
        <v>21</v>
      </c>
      <c r="G2" s="4">
        <f>SQRT(1/(D3*D5))</f>
        <v>8244.4965742557415</v>
      </c>
      <c r="H2" s="4" t="s">
        <v>26</v>
      </c>
      <c r="I2" s="4"/>
      <c r="J2" s="27"/>
      <c r="K2" s="4"/>
      <c r="L2" s="4"/>
      <c r="M2" s="4"/>
      <c r="N2" s="4"/>
    </row>
    <row r="3" spans="1:16">
      <c r="A3" s="4"/>
      <c r="B3" s="4"/>
      <c r="C3" s="24" t="s">
        <v>16</v>
      </c>
      <c r="D3" s="28">
        <v>3.0649999999999999E-6</v>
      </c>
      <c r="E3" s="4" t="s">
        <v>17</v>
      </c>
      <c r="F3" s="4" t="s">
        <v>25</v>
      </c>
      <c r="G3" s="28">
        <v>1.705E-4</v>
      </c>
      <c r="H3" s="4" t="s">
        <v>27</v>
      </c>
      <c r="I3" s="4"/>
      <c r="J3" s="27"/>
      <c r="K3" s="4"/>
      <c r="L3" s="4"/>
      <c r="M3" s="4"/>
      <c r="N3" s="4"/>
    </row>
    <row r="4" spans="1:16">
      <c r="A4" s="4"/>
      <c r="B4" s="4"/>
      <c r="C4" s="24" t="s">
        <v>18</v>
      </c>
      <c r="D4" s="28">
        <v>9.1079999999999998E-3</v>
      </c>
      <c r="E4" s="4" t="s">
        <v>19</v>
      </c>
      <c r="F4" s="4"/>
      <c r="G4" s="4"/>
      <c r="H4" s="4"/>
      <c r="I4" s="4"/>
      <c r="J4" s="27"/>
      <c r="K4" s="4"/>
      <c r="L4" s="4"/>
      <c r="M4" s="4"/>
      <c r="N4" s="4"/>
    </row>
    <row r="5" spans="1:16">
      <c r="A5" s="4"/>
      <c r="B5" s="4"/>
      <c r="C5" s="24" t="s">
        <v>22</v>
      </c>
      <c r="D5" s="28">
        <v>4.7999999999999996E-3</v>
      </c>
      <c r="E5" s="4" t="s">
        <v>23</v>
      </c>
      <c r="F5" s="4"/>
      <c r="G5" s="4"/>
      <c r="H5" s="4"/>
      <c r="I5" s="4"/>
      <c r="J5" s="27"/>
      <c r="K5" s="4"/>
      <c r="L5" s="4"/>
      <c r="M5" s="4"/>
      <c r="N5" s="4"/>
    </row>
    <row r="6" spans="1:16" s="6" customFormat="1" ht="87.5">
      <c r="A6" s="2" t="s">
        <v>0</v>
      </c>
      <c r="B6" s="2" t="s">
        <v>5</v>
      </c>
      <c r="C6" s="21" t="s">
        <v>1</v>
      </c>
      <c r="D6" s="2" t="s">
        <v>2</v>
      </c>
      <c r="E6" s="2" t="s">
        <v>3</v>
      </c>
      <c r="F6" s="2" t="s">
        <v>9</v>
      </c>
      <c r="G6" s="2" t="s">
        <v>7</v>
      </c>
      <c r="H6" s="2" t="s">
        <v>8</v>
      </c>
      <c r="I6" s="2" t="s">
        <v>4</v>
      </c>
      <c r="J6" s="14"/>
      <c r="K6" s="5" t="s">
        <v>5</v>
      </c>
      <c r="L6" s="5" t="s">
        <v>13</v>
      </c>
      <c r="M6" s="5" t="s">
        <v>24</v>
      </c>
      <c r="N6" s="5" t="s">
        <v>14</v>
      </c>
      <c r="O6" s="6" t="s">
        <v>52</v>
      </c>
      <c r="P6" s="6" t="s">
        <v>54</v>
      </c>
    </row>
    <row r="7" spans="1:16">
      <c r="A7" s="2">
        <v>0</v>
      </c>
      <c r="B7" s="8">
        <v>0</v>
      </c>
      <c r="C7" s="22">
        <v>0.3</v>
      </c>
      <c r="D7" s="9">
        <v>2.7</v>
      </c>
      <c r="E7" s="10">
        <v>34186</v>
      </c>
      <c r="F7" s="12">
        <f>(0.2027*A7+1.2055)*1000</f>
        <v>1205.5</v>
      </c>
      <c r="G7" s="12">
        <f>D7*157.4</f>
        <v>424.98</v>
      </c>
      <c r="H7" s="12">
        <f>C7*7.751*157.4</f>
        <v>366.00222000000002</v>
      </c>
      <c r="I7" s="9">
        <f>G7/H7</f>
        <v>1.161140498000258</v>
      </c>
      <c r="J7" s="27"/>
      <c r="K7" s="4"/>
      <c r="L7" s="4"/>
      <c r="M7" s="4"/>
      <c r="N7" s="4"/>
    </row>
    <row r="8" spans="1:16">
      <c r="A8" s="2">
        <v>0</v>
      </c>
      <c r="B8" s="8">
        <v>1000</v>
      </c>
      <c r="C8" s="22">
        <v>0.3</v>
      </c>
      <c r="D8" s="9">
        <v>2.7</v>
      </c>
      <c r="E8" s="10">
        <v>34186</v>
      </c>
      <c r="F8" s="12">
        <f>(0.2027*A8+1.2055)*1000</f>
        <v>1205.5</v>
      </c>
      <c r="G8" s="12">
        <f>D8*157.4</f>
        <v>424.98</v>
      </c>
      <c r="H8" s="12">
        <f>C8*7.751*157.4</f>
        <v>366.00222000000002</v>
      </c>
      <c r="I8" s="9">
        <f>G8/H8</f>
        <v>1.161140498000258</v>
      </c>
      <c r="J8" s="27"/>
      <c r="K8" s="4">
        <f>B8-B7</f>
        <v>1000</v>
      </c>
      <c r="L8" s="29">
        <f>F8</f>
        <v>1205.5</v>
      </c>
      <c r="M8" s="28">
        <f>8*F8/($D$3*SQRT($G$2^2-$G$1^2))</f>
        <v>388000.49790581595</v>
      </c>
      <c r="N8" s="28">
        <f t="shared" ref="N8:N28" si="0">M8*(EXP(-$G$1*$G$3))*SIN(SQRT($G$2^2-$G$1^2)*$G$3)</f>
        <v>295856.77884028893</v>
      </c>
      <c r="O8" s="16">
        <f>1000*(D8*1000-228.75)*8/64.353</f>
        <v>307211.78499836841</v>
      </c>
      <c r="P8" s="43">
        <f>IF(O8/N8&gt;0.5,O8/N8,"")</f>
        <v>1.0383800776936372</v>
      </c>
    </row>
    <row r="9" spans="1:16">
      <c r="A9" s="8">
        <v>2.75</v>
      </c>
      <c r="B9" s="8">
        <v>1000</v>
      </c>
      <c r="C9" s="9">
        <v>0.42</v>
      </c>
      <c r="D9" s="9">
        <v>4</v>
      </c>
      <c r="E9" s="10">
        <v>34186</v>
      </c>
      <c r="F9" s="12">
        <f>(0.2027*A9+1.2055)*1000</f>
        <v>1762.9250000000002</v>
      </c>
      <c r="G9" s="12">
        <f>D9*157.4</f>
        <v>629.6</v>
      </c>
      <c r="H9" s="12">
        <f>C9*7.751*157.4</f>
        <v>512.40310799999997</v>
      </c>
      <c r="I9" s="9">
        <f>G9/H9</f>
        <v>1.2287201037039768</v>
      </c>
      <c r="J9" s="27"/>
      <c r="K9" s="4">
        <f>B9-B8</f>
        <v>0</v>
      </c>
      <c r="L9" s="29">
        <f>F9</f>
        <v>1762.9250000000002</v>
      </c>
      <c r="M9" s="28">
        <f>8*F9/($D$3*SQRT($G$2^2-$G$1^2))</f>
        <v>567412.50748287898</v>
      </c>
      <c r="N9" s="28">
        <f t="shared" si="0"/>
        <v>432661.39513647155</v>
      </c>
      <c r="O9" s="16">
        <f t="shared" ref="O9:O28" si="1">1000*(D9*1000-228.75)*8/64.353</f>
        <v>468820.41241278575</v>
      </c>
      <c r="P9" s="43">
        <f t="shared" ref="P9:P28" si="2">IF(O9/N9&gt;0.5,O9/N9,"")</f>
        <v>1.0835734772798686</v>
      </c>
    </row>
    <row r="10" spans="1:16">
      <c r="A10" s="8">
        <v>2.75</v>
      </c>
      <c r="B10" s="8">
        <v>40600</v>
      </c>
      <c r="C10" s="9">
        <v>0.42</v>
      </c>
      <c r="D10" s="9">
        <v>4</v>
      </c>
      <c r="E10" s="10">
        <v>34186</v>
      </c>
      <c r="F10" s="12">
        <f>(0.2027*A10+1.2055)*1000</f>
        <v>1762.9250000000002</v>
      </c>
      <c r="G10" s="12">
        <f>D10*157.4</f>
        <v>629.6</v>
      </c>
      <c r="H10" s="12">
        <f>C10*7.751*157.4</f>
        <v>512.40310799999997</v>
      </c>
      <c r="I10" s="9">
        <f>G10/H10</f>
        <v>1.2287201037039768</v>
      </c>
      <c r="J10" s="27"/>
      <c r="K10" s="4">
        <f>B10-B9</f>
        <v>39600</v>
      </c>
      <c r="L10" s="29">
        <f>F10</f>
        <v>1762.9250000000002</v>
      </c>
      <c r="M10" s="28">
        <f>8*F10/($D$3*SQRT($G$2^2-$G$1^2))</f>
        <v>567412.50748287898</v>
      </c>
      <c r="N10" s="28">
        <f t="shared" si="0"/>
        <v>432661.39513647155</v>
      </c>
      <c r="O10" s="16">
        <f t="shared" si="1"/>
        <v>468820.41241278575</v>
      </c>
      <c r="P10" s="43">
        <f t="shared" si="2"/>
        <v>1.0835734772798686</v>
      </c>
    </row>
    <row r="11" spans="1:16">
      <c r="A11" s="8">
        <v>3.2</v>
      </c>
      <c r="B11" s="8">
        <v>40600</v>
      </c>
      <c r="C11" s="9">
        <v>0.45</v>
      </c>
      <c r="D11" s="9">
        <v>4.2</v>
      </c>
      <c r="E11" s="10">
        <v>34187</v>
      </c>
      <c r="F11" s="12">
        <f t="shared" ref="F11:F28" si="3">(0.2027*A11+1.2055)*1000</f>
        <v>1854.14</v>
      </c>
      <c r="G11" s="12">
        <f t="shared" ref="G11:G28" si="4">D11*157.4</f>
        <v>661.08</v>
      </c>
      <c r="H11" s="12">
        <f t="shared" ref="H11:H28" si="5">C11*7.751*157.4</f>
        <v>549.00333000000001</v>
      </c>
      <c r="I11" s="9">
        <f t="shared" ref="I11:I28" si="6">G11/H11</f>
        <v>1.2041457016298973</v>
      </c>
      <c r="J11" s="27"/>
      <c r="K11" s="4">
        <f t="shared" ref="K11:K28" si="7">B11-B10</f>
        <v>0</v>
      </c>
      <c r="L11" s="29">
        <f t="shared" ref="L11:L28" si="8">F11</f>
        <v>1854.14</v>
      </c>
      <c r="M11" s="28">
        <f t="shared" ref="M11:M28" si="9">8*F11/($D$3*SQRT($G$2^2-$G$1^2))</f>
        <v>596770.83632276196</v>
      </c>
      <c r="N11" s="28">
        <f t="shared" si="0"/>
        <v>455047.60507584678</v>
      </c>
      <c r="O11" s="16">
        <f t="shared" si="1"/>
        <v>493683.27816885</v>
      </c>
      <c r="P11" s="43">
        <f t="shared" si="2"/>
        <v>1.0849046839540304</v>
      </c>
    </row>
    <row r="12" spans="1:16">
      <c r="A12" s="8">
        <v>3.2</v>
      </c>
      <c r="B12" s="8">
        <v>82000</v>
      </c>
      <c r="C12" s="9">
        <v>0.45</v>
      </c>
      <c r="D12" s="9">
        <v>4.2</v>
      </c>
      <c r="E12" s="10">
        <v>34188</v>
      </c>
      <c r="F12" s="12">
        <f t="shared" si="3"/>
        <v>1854.14</v>
      </c>
      <c r="G12" s="12">
        <f t="shared" si="4"/>
        <v>661.08</v>
      </c>
      <c r="H12" s="12">
        <f t="shared" si="5"/>
        <v>549.00333000000001</v>
      </c>
      <c r="I12" s="9">
        <f t="shared" si="6"/>
        <v>1.2041457016298973</v>
      </c>
      <c r="J12" s="27"/>
      <c r="K12" s="4">
        <f t="shared" si="7"/>
        <v>41400</v>
      </c>
      <c r="L12" s="29">
        <f t="shared" si="8"/>
        <v>1854.14</v>
      </c>
      <c r="M12" s="28">
        <f t="shared" si="9"/>
        <v>596770.83632276196</v>
      </c>
      <c r="N12" s="28">
        <f t="shared" si="0"/>
        <v>455047.60507584678</v>
      </c>
      <c r="O12" s="16">
        <f t="shared" si="1"/>
        <v>493683.27816885</v>
      </c>
      <c r="P12" s="43">
        <f t="shared" si="2"/>
        <v>1.0849046839540304</v>
      </c>
    </row>
    <row r="13" spans="1:16">
      <c r="A13" s="8">
        <v>3.6</v>
      </c>
      <c r="B13" s="8">
        <v>82000</v>
      </c>
      <c r="C13" s="9">
        <v>0.46500000000000002</v>
      </c>
      <c r="D13" s="9">
        <v>4.4000000000000004</v>
      </c>
      <c r="E13" s="10">
        <v>34188</v>
      </c>
      <c r="F13" s="12">
        <f t="shared" si="3"/>
        <v>1935.2200000000003</v>
      </c>
      <c r="G13" s="12">
        <f t="shared" si="4"/>
        <v>692.56000000000006</v>
      </c>
      <c r="H13" s="12">
        <f t="shared" si="5"/>
        <v>567.30344100000013</v>
      </c>
      <c r="I13" s="9">
        <f t="shared" si="6"/>
        <v>1.2207928772284671</v>
      </c>
      <c r="J13" s="27"/>
      <c r="K13" s="4">
        <f t="shared" si="7"/>
        <v>0</v>
      </c>
      <c r="L13" s="29">
        <f t="shared" si="8"/>
        <v>1935.2200000000003</v>
      </c>
      <c r="M13" s="28">
        <f t="shared" si="9"/>
        <v>622867.12862488034</v>
      </c>
      <c r="N13" s="28">
        <f t="shared" si="0"/>
        <v>474946.45835529157</v>
      </c>
      <c r="O13" s="16">
        <f t="shared" si="1"/>
        <v>518546.14392491418</v>
      </c>
      <c r="P13" s="43">
        <f t="shared" si="2"/>
        <v>1.0917991592580887</v>
      </c>
    </row>
    <row r="14" spans="1:16">
      <c r="A14" s="8">
        <v>3.6</v>
      </c>
      <c r="B14" s="8">
        <v>124500</v>
      </c>
      <c r="C14" s="9">
        <v>0.46500000000000002</v>
      </c>
      <c r="D14" s="9">
        <v>4.4000000000000004</v>
      </c>
      <c r="E14" s="10">
        <v>34189</v>
      </c>
      <c r="F14" s="12">
        <f t="shared" si="3"/>
        <v>1935.2200000000003</v>
      </c>
      <c r="G14" s="12">
        <f t="shared" si="4"/>
        <v>692.56000000000006</v>
      </c>
      <c r="H14" s="12">
        <f t="shared" si="5"/>
        <v>567.30344100000013</v>
      </c>
      <c r="I14" s="9">
        <f t="shared" si="6"/>
        <v>1.2207928772284671</v>
      </c>
      <c r="J14" s="27"/>
      <c r="K14" s="4">
        <f t="shared" si="7"/>
        <v>42500</v>
      </c>
      <c r="L14" s="29">
        <f t="shared" si="8"/>
        <v>1935.2200000000003</v>
      </c>
      <c r="M14" s="28">
        <f t="shared" si="9"/>
        <v>622867.12862488034</v>
      </c>
      <c r="N14" s="28">
        <f t="shared" si="0"/>
        <v>474946.45835529157</v>
      </c>
      <c r="O14" s="16">
        <f t="shared" si="1"/>
        <v>518546.14392491418</v>
      </c>
      <c r="P14" s="43">
        <f t="shared" si="2"/>
        <v>1.0917991592580887</v>
      </c>
    </row>
    <row r="15" spans="1:16">
      <c r="A15" s="8">
        <v>4.2</v>
      </c>
      <c r="B15" s="8">
        <v>124500</v>
      </c>
      <c r="C15" s="9">
        <v>0.49</v>
      </c>
      <c r="D15" s="8">
        <v>4.5999999999999996</v>
      </c>
      <c r="E15" s="10">
        <v>34189</v>
      </c>
      <c r="F15" s="12">
        <f t="shared" si="3"/>
        <v>2056.84</v>
      </c>
      <c r="G15" s="12">
        <f t="shared" si="4"/>
        <v>724.04</v>
      </c>
      <c r="H15" s="12">
        <f t="shared" si="5"/>
        <v>597.80362600000001</v>
      </c>
      <c r="I15" s="9">
        <f t="shared" si="6"/>
        <v>1.2111669593653485</v>
      </c>
      <c r="J15" s="27"/>
      <c r="K15" s="4">
        <f t="shared" si="7"/>
        <v>0</v>
      </c>
      <c r="L15" s="29">
        <f t="shared" si="8"/>
        <v>2056.84</v>
      </c>
      <c r="M15" s="28">
        <f t="shared" si="9"/>
        <v>662011.56707805768</v>
      </c>
      <c r="N15" s="28">
        <f t="shared" si="0"/>
        <v>504794.73827445868</v>
      </c>
      <c r="O15" s="16">
        <f t="shared" si="1"/>
        <v>543409.00968097837</v>
      </c>
      <c r="P15" s="43">
        <f t="shared" si="2"/>
        <v>1.0764949958442811</v>
      </c>
    </row>
    <row r="16" spans="1:16">
      <c r="A16" s="8">
        <v>4.2</v>
      </c>
      <c r="B16" s="8">
        <v>162000</v>
      </c>
      <c r="C16" s="9">
        <v>0.49</v>
      </c>
      <c r="D16" s="8">
        <v>4.5999999999999996</v>
      </c>
      <c r="E16" s="10">
        <v>34190</v>
      </c>
      <c r="F16" s="12">
        <f t="shared" si="3"/>
        <v>2056.84</v>
      </c>
      <c r="G16" s="12">
        <f t="shared" si="4"/>
        <v>724.04</v>
      </c>
      <c r="H16" s="12">
        <f t="shared" si="5"/>
        <v>597.80362600000001</v>
      </c>
      <c r="I16" s="9">
        <f t="shared" si="6"/>
        <v>1.2111669593653485</v>
      </c>
      <c r="J16" s="27"/>
      <c r="K16" s="4">
        <f t="shared" si="7"/>
        <v>37500</v>
      </c>
      <c r="L16" s="29">
        <f t="shared" si="8"/>
        <v>2056.84</v>
      </c>
      <c r="M16" s="28">
        <f t="shared" si="9"/>
        <v>662011.56707805768</v>
      </c>
      <c r="N16" s="28">
        <f t="shared" si="0"/>
        <v>504794.73827445868</v>
      </c>
      <c r="O16" s="16">
        <f t="shared" si="1"/>
        <v>543409.00968097837</v>
      </c>
      <c r="P16" s="43">
        <f t="shared" si="2"/>
        <v>1.0764949958442811</v>
      </c>
    </row>
    <row r="17" spans="1:16">
      <c r="A17" s="8">
        <v>4.5999999999999996</v>
      </c>
      <c r="B17" s="8">
        <v>162000</v>
      </c>
      <c r="C17" s="9">
        <v>0.52</v>
      </c>
      <c r="D17" s="8">
        <v>4.8</v>
      </c>
      <c r="E17" s="10">
        <v>34190</v>
      </c>
      <c r="F17" s="12">
        <f t="shared" si="3"/>
        <v>2137.9199999999996</v>
      </c>
      <c r="G17" s="12">
        <f t="shared" si="4"/>
        <v>755.52</v>
      </c>
      <c r="H17" s="12">
        <f t="shared" si="5"/>
        <v>634.40384800000004</v>
      </c>
      <c r="I17" s="9">
        <f t="shared" si="6"/>
        <v>1.1909133312823159</v>
      </c>
      <c r="J17" s="27"/>
      <c r="K17" s="4">
        <f t="shared" si="7"/>
        <v>0</v>
      </c>
      <c r="L17" s="29">
        <f t="shared" si="8"/>
        <v>2137.9199999999996</v>
      </c>
      <c r="M17" s="28">
        <f t="shared" si="9"/>
        <v>688107.85938017571</v>
      </c>
      <c r="N17" s="28">
        <f t="shared" si="0"/>
        <v>524693.59155390318</v>
      </c>
      <c r="O17" s="16">
        <f t="shared" si="1"/>
        <v>568271.87543704256</v>
      </c>
      <c r="P17" s="43">
        <f t="shared" si="2"/>
        <v>1.0830547286733203</v>
      </c>
    </row>
    <row r="18" spans="1:16">
      <c r="A18" s="8">
        <v>4.5999999999999996</v>
      </c>
      <c r="B18" s="8">
        <v>203000</v>
      </c>
      <c r="C18" s="9">
        <v>0.52</v>
      </c>
      <c r="D18" s="8">
        <v>4.8</v>
      </c>
      <c r="E18" s="10">
        <v>34191</v>
      </c>
      <c r="F18" s="12">
        <f t="shared" si="3"/>
        <v>2137.9199999999996</v>
      </c>
      <c r="G18" s="12">
        <f t="shared" si="4"/>
        <v>755.52</v>
      </c>
      <c r="H18" s="12">
        <f t="shared" si="5"/>
        <v>634.40384800000004</v>
      </c>
      <c r="I18" s="9">
        <f t="shared" si="6"/>
        <v>1.1909133312823159</v>
      </c>
      <c r="J18" s="27"/>
      <c r="K18" s="4">
        <f t="shared" si="7"/>
        <v>41000</v>
      </c>
      <c r="L18" s="29">
        <f t="shared" si="8"/>
        <v>2137.9199999999996</v>
      </c>
      <c r="M18" s="28">
        <f t="shared" si="9"/>
        <v>688107.85938017571</v>
      </c>
      <c r="N18" s="28">
        <f t="shared" si="0"/>
        <v>524693.59155390318</v>
      </c>
      <c r="O18" s="16">
        <f t="shared" si="1"/>
        <v>568271.87543704256</v>
      </c>
      <c r="P18" s="43">
        <f t="shared" si="2"/>
        <v>1.0830547286733203</v>
      </c>
    </row>
    <row r="19" spans="1:16">
      <c r="A19" s="8">
        <v>5.15</v>
      </c>
      <c r="B19" s="8">
        <v>203000</v>
      </c>
      <c r="C19" s="9">
        <v>0.54</v>
      </c>
      <c r="D19" s="8">
        <v>5</v>
      </c>
      <c r="E19" s="10">
        <v>34191</v>
      </c>
      <c r="F19" s="12">
        <f t="shared" si="3"/>
        <v>2249.4050000000002</v>
      </c>
      <c r="G19" s="12">
        <f t="shared" si="4"/>
        <v>787</v>
      </c>
      <c r="H19" s="12">
        <f t="shared" si="5"/>
        <v>658.8039960000001</v>
      </c>
      <c r="I19" s="9">
        <f t="shared" si="6"/>
        <v>1.1945889897121995</v>
      </c>
      <c r="J19" s="27"/>
      <c r="K19" s="4">
        <f t="shared" si="7"/>
        <v>0</v>
      </c>
      <c r="L19" s="29">
        <f t="shared" si="8"/>
        <v>2249.4050000000002</v>
      </c>
      <c r="M19" s="28">
        <f t="shared" si="9"/>
        <v>723990.26129558845</v>
      </c>
      <c r="N19" s="28">
        <f t="shared" si="0"/>
        <v>552054.51481313992</v>
      </c>
      <c r="O19" s="16">
        <f t="shared" si="1"/>
        <v>593134.74119310686</v>
      </c>
      <c r="P19" s="43">
        <f t="shared" si="2"/>
        <v>1.0744133509964533</v>
      </c>
    </row>
    <row r="20" spans="1:16">
      <c r="A20" s="8">
        <v>5.15</v>
      </c>
      <c r="B20" s="8">
        <v>243000</v>
      </c>
      <c r="C20" s="9">
        <v>0.54</v>
      </c>
      <c r="D20" s="8">
        <v>5</v>
      </c>
      <c r="E20" s="10">
        <v>34192</v>
      </c>
      <c r="F20" s="12">
        <f t="shared" si="3"/>
        <v>2249.4050000000002</v>
      </c>
      <c r="G20" s="12">
        <f t="shared" si="4"/>
        <v>787</v>
      </c>
      <c r="H20" s="12">
        <f t="shared" si="5"/>
        <v>658.8039960000001</v>
      </c>
      <c r="I20" s="9">
        <f t="shared" si="6"/>
        <v>1.1945889897121995</v>
      </c>
      <c r="J20" s="27"/>
      <c r="K20" s="4">
        <f t="shared" si="7"/>
        <v>40000</v>
      </c>
      <c r="L20" s="29">
        <f t="shared" si="8"/>
        <v>2249.4050000000002</v>
      </c>
      <c r="M20" s="28">
        <f t="shared" si="9"/>
        <v>723990.26129558845</v>
      </c>
      <c r="N20" s="28">
        <f t="shared" si="0"/>
        <v>552054.51481313992</v>
      </c>
      <c r="O20" s="16">
        <f t="shared" si="1"/>
        <v>593134.74119310686</v>
      </c>
      <c r="P20" s="43">
        <f t="shared" si="2"/>
        <v>1.0744133509964533</v>
      </c>
    </row>
    <row r="21" spans="1:16">
      <c r="A21" s="8">
        <v>5.5</v>
      </c>
      <c r="B21" s="8">
        <v>243000</v>
      </c>
      <c r="C21" s="9">
        <v>0.56000000000000005</v>
      </c>
      <c r="D21" s="8">
        <v>5.2</v>
      </c>
      <c r="E21" s="10">
        <v>34192</v>
      </c>
      <c r="F21" s="12">
        <f t="shared" si="3"/>
        <v>2320.35</v>
      </c>
      <c r="G21" s="12">
        <f t="shared" si="4"/>
        <v>818.48</v>
      </c>
      <c r="H21" s="12">
        <f t="shared" si="5"/>
        <v>683.20414400000016</v>
      </c>
      <c r="I21" s="9">
        <f t="shared" si="6"/>
        <v>1.1980021011113771</v>
      </c>
      <c r="J21" s="27"/>
      <c r="K21" s="4">
        <f t="shared" si="7"/>
        <v>0</v>
      </c>
      <c r="L21" s="29">
        <f t="shared" si="8"/>
        <v>2320.35</v>
      </c>
      <c r="M21" s="28">
        <f t="shared" si="9"/>
        <v>746824.51705994189</v>
      </c>
      <c r="N21" s="28">
        <f t="shared" si="0"/>
        <v>569466.01143265399</v>
      </c>
      <c r="O21" s="16">
        <f t="shared" si="1"/>
        <v>617997.60694917105</v>
      </c>
      <c r="P21" s="43">
        <f t="shared" si="2"/>
        <v>1.0852229888038831</v>
      </c>
    </row>
    <row r="22" spans="1:16">
      <c r="A22" s="8">
        <v>5.5</v>
      </c>
      <c r="B22" s="4">
        <v>268000</v>
      </c>
      <c r="C22" s="9">
        <v>0.56000000000000005</v>
      </c>
      <c r="D22" s="8">
        <v>5.2</v>
      </c>
      <c r="E22" s="30">
        <v>34193</v>
      </c>
      <c r="F22" s="12">
        <f t="shared" si="3"/>
        <v>2320.35</v>
      </c>
      <c r="G22" s="12">
        <f t="shared" si="4"/>
        <v>818.48</v>
      </c>
      <c r="H22" s="12">
        <f t="shared" si="5"/>
        <v>683.20414400000016</v>
      </c>
      <c r="I22" s="9">
        <f t="shared" si="6"/>
        <v>1.1980021011113771</v>
      </c>
      <c r="J22" s="27"/>
      <c r="K22" s="4">
        <f t="shared" si="7"/>
        <v>25000</v>
      </c>
      <c r="L22" s="29">
        <f t="shared" si="8"/>
        <v>2320.35</v>
      </c>
      <c r="M22" s="28">
        <f t="shared" si="9"/>
        <v>746824.51705994189</v>
      </c>
      <c r="N22" s="28">
        <f t="shared" si="0"/>
        <v>569466.01143265399</v>
      </c>
      <c r="O22" s="16">
        <f t="shared" si="1"/>
        <v>617997.60694917105</v>
      </c>
      <c r="P22" s="43">
        <f t="shared" si="2"/>
        <v>1.0852229888038831</v>
      </c>
    </row>
    <row r="23" spans="1:16">
      <c r="A23" s="8">
        <v>6</v>
      </c>
      <c r="B23" s="8">
        <v>268000</v>
      </c>
      <c r="C23" s="24">
        <v>0.59</v>
      </c>
      <c r="D23" s="4">
        <v>5.4</v>
      </c>
      <c r="E23" s="30">
        <v>34193</v>
      </c>
      <c r="F23" s="12">
        <f t="shared" si="3"/>
        <v>2421.6999999999998</v>
      </c>
      <c r="G23" s="12">
        <f t="shared" si="4"/>
        <v>849.96</v>
      </c>
      <c r="H23" s="12">
        <f t="shared" si="5"/>
        <v>719.80436599999996</v>
      </c>
      <c r="I23" s="9">
        <f t="shared" si="6"/>
        <v>1.1808208454239912</v>
      </c>
      <c r="J23" s="27"/>
      <c r="K23" s="4">
        <f t="shared" si="7"/>
        <v>0</v>
      </c>
      <c r="L23" s="29">
        <f t="shared" si="8"/>
        <v>2421.6999999999998</v>
      </c>
      <c r="M23" s="28">
        <f t="shared" si="9"/>
        <v>779444.88243758969</v>
      </c>
      <c r="N23" s="28">
        <f t="shared" si="0"/>
        <v>594339.57803195983</v>
      </c>
      <c r="O23" s="16">
        <f t="shared" si="1"/>
        <v>642860.47270523524</v>
      </c>
      <c r="P23" s="43">
        <f t="shared" si="2"/>
        <v>1.0816383368476703</v>
      </c>
    </row>
    <row r="24" spans="1:16">
      <c r="A24" s="8">
        <v>6</v>
      </c>
      <c r="B24" s="8">
        <v>324500</v>
      </c>
      <c r="C24" s="24">
        <v>0.59</v>
      </c>
      <c r="D24" s="4">
        <v>5.4</v>
      </c>
      <c r="E24" s="30">
        <v>34194</v>
      </c>
      <c r="F24" s="12">
        <f t="shared" si="3"/>
        <v>2421.6999999999998</v>
      </c>
      <c r="G24" s="12">
        <f t="shared" si="4"/>
        <v>849.96</v>
      </c>
      <c r="H24" s="12">
        <f t="shared" si="5"/>
        <v>719.80436599999996</v>
      </c>
      <c r="I24" s="9">
        <f t="shared" si="6"/>
        <v>1.1808208454239912</v>
      </c>
      <c r="J24" s="27"/>
      <c r="K24" s="4">
        <f t="shared" si="7"/>
        <v>56500</v>
      </c>
      <c r="L24" s="29">
        <f t="shared" si="8"/>
        <v>2421.6999999999998</v>
      </c>
      <c r="M24" s="28">
        <f t="shared" si="9"/>
        <v>779444.88243758969</v>
      </c>
      <c r="N24" s="28">
        <f t="shared" si="0"/>
        <v>594339.57803195983</v>
      </c>
      <c r="O24" s="16">
        <f t="shared" si="1"/>
        <v>642860.47270523524</v>
      </c>
      <c r="P24" s="43">
        <f t="shared" si="2"/>
        <v>1.0816383368476703</v>
      </c>
    </row>
    <row r="25" spans="1:16">
      <c r="A25" s="8">
        <v>6.4</v>
      </c>
      <c r="B25" s="8">
        <v>324500</v>
      </c>
      <c r="C25" s="24">
        <v>0.61</v>
      </c>
      <c r="D25" s="4">
        <v>5.6</v>
      </c>
      <c r="E25" s="30">
        <v>34194</v>
      </c>
      <c r="F25" s="12">
        <f t="shared" si="3"/>
        <v>2502.7800000000002</v>
      </c>
      <c r="G25" s="12">
        <f t="shared" si="4"/>
        <v>881.43999999999994</v>
      </c>
      <c r="H25" s="12">
        <f t="shared" si="5"/>
        <v>744.20451400000002</v>
      </c>
      <c r="I25" s="9">
        <f t="shared" si="6"/>
        <v>1.1844056081605545</v>
      </c>
      <c r="J25" s="27"/>
      <c r="K25" s="4">
        <f t="shared" si="7"/>
        <v>0</v>
      </c>
      <c r="L25" s="29">
        <f t="shared" si="8"/>
        <v>2502.7800000000002</v>
      </c>
      <c r="M25" s="28">
        <f t="shared" si="9"/>
        <v>805541.17473970808</v>
      </c>
      <c r="N25" s="28">
        <f t="shared" si="0"/>
        <v>614238.43131140468</v>
      </c>
      <c r="O25" s="16">
        <f t="shared" si="1"/>
        <v>667723.33846129943</v>
      </c>
      <c r="P25" s="43">
        <f t="shared" si="2"/>
        <v>1.0870751558734351</v>
      </c>
    </row>
    <row r="26" spans="1:16">
      <c r="A26" s="4">
        <v>6.4</v>
      </c>
      <c r="B26" s="4">
        <v>365500</v>
      </c>
      <c r="C26" s="24">
        <v>0.61</v>
      </c>
      <c r="D26" s="4">
        <v>5.6</v>
      </c>
      <c r="E26" s="30">
        <v>34195</v>
      </c>
      <c r="F26" s="12">
        <f t="shared" si="3"/>
        <v>2502.7800000000002</v>
      </c>
      <c r="G26" s="12">
        <f t="shared" si="4"/>
        <v>881.43999999999994</v>
      </c>
      <c r="H26" s="12">
        <f t="shared" si="5"/>
        <v>744.20451400000002</v>
      </c>
      <c r="I26" s="9">
        <f t="shared" si="6"/>
        <v>1.1844056081605545</v>
      </c>
      <c r="J26" s="27"/>
      <c r="K26" s="4">
        <f t="shared" si="7"/>
        <v>41000</v>
      </c>
      <c r="L26" s="29">
        <f t="shared" si="8"/>
        <v>2502.7800000000002</v>
      </c>
      <c r="M26" s="28">
        <f t="shared" si="9"/>
        <v>805541.17473970808</v>
      </c>
      <c r="N26" s="28">
        <f t="shared" si="0"/>
        <v>614238.43131140468</v>
      </c>
      <c r="O26" s="16">
        <f t="shared" si="1"/>
        <v>667723.33846129943</v>
      </c>
      <c r="P26" s="43">
        <f t="shared" si="2"/>
        <v>1.0870751558734351</v>
      </c>
    </row>
    <row r="27" spans="1:16">
      <c r="A27" s="8">
        <v>6.65</v>
      </c>
      <c r="B27" s="4">
        <v>365500</v>
      </c>
      <c r="C27" s="24">
        <v>0.62</v>
      </c>
      <c r="D27" s="4">
        <v>5.7</v>
      </c>
      <c r="E27" s="30">
        <v>34196</v>
      </c>
      <c r="F27" s="12">
        <f t="shared" si="3"/>
        <v>2553.4549999999999</v>
      </c>
      <c r="G27" s="12">
        <f t="shared" si="4"/>
        <v>897.18000000000006</v>
      </c>
      <c r="H27" s="12">
        <f t="shared" si="5"/>
        <v>756.4045880000001</v>
      </c>
      <c r="I27" s="9">
        <f t="shared" si="6"/>
        <v>1.1861112613981131</v>
      </c>
      <c r="J27" s="27"/>
      <c r="K27" s="4">
        <f t="shared" si="7"/>
        <v>0</v>
      </c>
      <c r="L27" s="29">
        <f t="shared" si="8"/>
        <v>2553.4549999999999</v>
      </c>
      <c r="M27" s="28">
        <f t="shared" si="9"/>
        <v>821851.35742853186</v>
      </c>
      <c r="N27" s="28">
        <f t="shared" si="0"/>
        <v>626675.21461105754</v>
      </c>
      <c r="O27" s="16">
        <f t="shared" si="1"/>
        <v>680154.77133933152</v>
      </c>
      <c r="P27" s="43">
        <f t="shared" si="2"/>
        <v>1.0853385541367959</v>
      </c>
    </row>
    <row r="28" spans="1:16">
      <c r="A28" s="8">
        <v>6.65</v>
      </c>
      <c r="B28" s="29">
        <v>409700</v>
      </c>
      <c r="C28" s="24">
        <v>0.62</v>
      </c>
      <c r="D28" s="29">
        <v>5.7</v>
      </c>
      <c r="E28" s="30">
        <v>34196</v>
      </c>
      <c r="F28" s="12">
        <f t="shared" si="3"/>
        <v>2553.4549999999999</v>
      </c>
      <c r="G28" s="12">
        <f t="shared" si="4"/>
        <v>897.18000000000006</v>
      </c>
      <c r="H28" s="12">
        <f t="shared" si="5"/>
        <v>756.4045880000001</v>
      </c>
      <c r="I28" s="9">
        <f t="shared" si="6"/>
        <v>1.1861112613981131</v>
      </c>
      <c r="J28" s="27"/>
      <c r="K28" s="4">
        <f t="shared" si="7"/>
        <v>44200</v>
      </c>
      <c r="L28" s="29">
        <f t="shared" si="8"/>
        <v>2553.4549999999999</v>
      </c>
      <c r="M28" s="28">
        <f t="shared" si="9"/>
        <v>821851.35742853186</v>
      </c>
      <c r="N28" s="28">
        <f t="shared" si="0"/>
        <v>626675.21461105754</v>
      </c>
      <c r="O28" s="16">
        <f t="shared" si="1"/>
        <v>680154.77133933152</v>
      </c>
      <c r="P28" s="43">
        <f t="shared" si="2"/>
        <v>1.0853385541367959</v>
      </c>
    </row>
    <row r="29" spans="1:16">
      <c r="A29" s="4"/>
      <c r="B29" s="29"/>
      <c r="D29" s="29"/>
      <c r="E29" s="4"/>
      <c r="F29" s="29">
        <f>MAX(F7:F28)</f>
        <v>2553.4549999999999</v>
      </c>
      <c r="G29" s="4"/>
      <c r="H29" s="4"/>
      <c r="I29" s="4"/>
      <c r="J29" s="27"/>
      <c r="K29" s="4">
        <f>SUM(K8:K28)</f>
        <v>409700</v>
      </c>
      <c r="L29" s="4"/>
      <c r="M29" s="4"/>
      <c r="N29" s="4"/>
      <c r="O29" s="3" t="s">
        <v>12</v>
      </c>
      <c r="P29" s="43">
        <f>MAX(P7:P28)</f>
        <v>1.0917991592580887</v>
      </c>
    </row>
    <row r="30" spans="1:16">
      <c r="B30" s="15"/>
      <c r="D30" s="15"/>
      <c r="I30" s="13"/>
      <c r="J30" s="3"/>
      <c r="O30" s="3" t="s">
        <v>53</v>
      </c>
      <c r="P30" s="43">
        <f>MIN(P7:P28)</f>
        <v>1.0383800776936372</v>
      </c>
    </row>
    <row r="31" spans="1:16">
      <c r="B31" s="15"/>
      <c r="D31" s="15"/>
    </row>
    <row r="32" spans="1:16">
      <c r="A32" s="3" t="s">
        <v>5</v>
      </c>
      <c r="B32" s="15" t="s">
        <v>13</v>
      </c>
      <c r="C32" s="24" t="s">
        <v>24</v>
      </c>
      <c r="D32" s="15" t="s">
        <v>58</v>
      </c>
      <c r="E32" s="3" t="s">
        <v>55</v>
      </c>
      <c r="F32" s="3" t="s">
        <v>56</v>
      </c>
    </row>
    <row r="33" spans="1:6">
      <c r="A33" s="15">
        <v>1000</v>
      </c>
      <c r="B33" s="15">
        <v>1205.5</v>
      </c>
      <c r="C33" s="29">
        <v>388000.49790581595</v>
      </c>
      <c r="D33" s="15">
        <v>295856.77884028893</v>
      </c>
      <c r="E33" s="15">
        <f t="shared" ref="E33:E43" si="10">D33/1000*1.5598+1.525</f>
        <v>463.00240363508271</v>
      </c>
      <c r="F33" s="15">
        <f>D33/1000</f>
        <v>295.85677884028894</v>
      </c>
    </row>
    <row r="34" spans="1:6">
      <c r="A34" s="15">
        <v>39600</v>
      </c>
      <c r="B34" s="15">
        <v>1762.925</v>
      </c>
      <c r="C34" s="29">
        <v>567412.50748287898</v>
      </c>
      <c r="D34" s="15">
        <v>432661.39513647155</v>
      </c>
      <c r="E34" s="15">
        <f t="shared" si="10"/>
        <v>676.39024413386835</v>
      </c>
      <c r="F34" s="15">
        <f t="shared" ref="F34:F43" si="11">D34/1000</f>
        <v>432.66139513647153</v>
      </c>
    </row>
    <row r="35" spans="1:6">
      <c r="A35" s="15">
        <v>41400</v>
      </c>
      <c r="B35" s="15">
        <v>1854.14</v>
      </c>
      <c r="C35" s="29">
        <v>596770.83632276196</v>
      </c>
      <c r="D35" s="15">
        <v>455047.60507584678</v>
      </c>
      <c r="E35" s="15">
        <f t="shared" si="10"/>
        <v>711.30825439730586</v>
      </c>
      <c r="F35" s="15">
        <f t="shared" si="11"/>
        <v>455.04760507584677</v>
      </c>
    </row>
    <row r="36" spans="1:6">
      <c r="A36" s="15">
        <v>42500</v>
      </c>
      <c r="B36" s="15">
        <v>1935.22</v>
      </c>
      <c r="C36" s="29">
        <v>622867.12862488034</v>
      </c>
      <c r="D36" s="15">
        <v>474946.45835529157</v>
      </c>
      <c r="E36" s="15">
        <f t="shared" si="10"/>
        <v>742.34648574258381</v>
      </c>
      <c r="F36" s="15">
        <f t="shared" si="11"/>
        <v>474.94645835529155</v>
      </c>
    </row>
    <row r="37" spans="1:6">
      <c r="A37" s="15">
        <v>37500</v>
      </c>
      <c r="B37" s="15">
        <v>2056.84</v>
      </c>
      <c r="C37" s="29">
        <v>662011.56707805768</v>
      </c>
      <c r="D37" s="15">
        <v>504794.73827445868</v>
      </c>
      <c r="E37" s="15">
        <f t="shared" si="10"/>
        <v>788.90383276050068</v>
      </c>
      <c r="F37" s="15">
        <f t="shared" si="11"/>
        <v>504.79473827445867</v>
      </c>
    </row>
    <row r="38" spans="1:6">
      <c r="A38" s="15">
        <v>41000</v>
      </c>
      <c r="B38" s="15">
        <v>2137.92</v>
      </c>
      <c r="C38" s="29">
        <v>688107.85938017571</v>
      </c>
      <c r="D38" s="15">
        <v>524693.59155390318</v>
      </c>
      <c r="E38" s="15">
        <f t="shared" si="10"/>
        <v>819.94206410577817</v>
      </c>
      <c r="F38" s="15">
        <f t="shared" si="11"/>
        <v>524.69359155390316</v>
      </c>
    </row>
    <row r="39" spans="1:6">
      <c r="A39" s="15">
        <v>40000</v>
      </c>
      <c r="B39" s="15">
        <v>2249.4050000000002</v>
      </c>
      <c r="C39" s="29">
        <v>723990.26129558845</v>
      </c>
      <c r="D39" s="15">
        <v>552054.51481313992</v>
      </c>
      <c r="E39" s="15">
        <f t="shared" si="10"/>
        <v>862.61963220553571</v>
      </c>
      <c r="F39" s="15">
        <f t="shared" si="11"/>
        <v>552.05451481313992</v>
      </c>
    </row>
    <row r="40" spans="1:6">
      <c r="A40" s="15">
        <v>25000</v>
      </c>
      <c r="B40" s="15">
        <v>2320.35</v>
      </c>
      <c r="C40" s="29">
        <v>746824.51705994189</v>
      </c>
      <c r="D40" s="15">
        <v>569466.01143265399</v>
      </c>
      <c r="E40" s="15">
        <f t="shared" si="10"/>
        <v>889.77808463265376</v>
      </c>
      <c r="F40" s="15">
        <f t="shared" si="11"/>
        <v>569.466011432654</v>
      </c>
    </row>
    <row r="41" spans="1:6">
      <c r="A41" s="15">
        <v>56500</v>
      </c>
      <c r="B41" s="15">
        <v>2421.6999999999998</v>
      </c>
      <c r="C41" s="29">
        <v>779444.88243758969</v>
      </c>
      <c r="D41" s="15">
        <v>594339.57803195983</v>
      </c>
      <c r="E41" s="15">
        <f t="shared" si="10"/>
        <v>928.57587381425094</v>
      </c>
      <c r="F41" s="15">
        <f t="shared" si="11"/>
        <v>594.33957803195983</v>
      </c>
    </row>
    <row r="42" spans="1:6">
      <c r="A42" s="15">
        <v>41000</v>
      </c>
      <c r="B42" s="15">
        <v>2502.7800000000002</v>
      </c>
      <c r="C42" s="29">
        <v>805541.17473970808</v>
      </c>
      <c r="D42" s="15">
        <v>614238.43131140468</v>
      </c>
      <c r="E42" s="15">
        <f t="shared" si="10"/>
        <v>959.61410515952912</v>
      </c>
      <c r="F42" s="15">
        <f t="shared" si="11"/>
        <v>614.23843131140472</v>
      </c>
    </row>
    <row r="43" spans="1:6">
      <c r="A43" s="15">
        <v>44200</v>
      </c>
      <c r="B43" s="15">
        <v>2553.4549999999999</v>
      </c>
      <c r="C43" s="29">
        <v>821851.35742853186</v>
      </c>
      <c r="D43" s="15">
        <v>626675.21461105754</v>
      </c>
      <c r="E43" s="15">
        <f t="shared" si="10"/>
        <v>979.01299975032759</v>
      </c>
      <c r="F43" s="15">
        <f t="shared" si="11"/>
        <v>626.67521461105753</v>
      </c>
    </row>
    <row r="44" spans="1:6">
      <c r="A44" s="15">
        <f>SUM(A33:A43)</f>
        <v>409700</v>
      </c>
      <c r="B44" s="15"/>
      <c r="D44" s="15"/>
    </row>
  </sheetData>
  <phoneticPr fontId="0" type="noConversion"/>
  <pageMargins left="0.75" right="0.75" top="1" bottom="1" header="0.5" footer="0.5"/>
  <pageSetup scale="70" orientation="landscape" horizontalDpi="355" verticalDpi="355" r:id="rId1"/>
  <headerFooter alignWithMargins="0"/>
  <drawing r:id="rId2"/>
  <legacyDrawing r:id="rId3"/>
  <oleObjects>
    <mc:AlternateContent xmlns:mc="http://schemas.openxmlformats.org/markup-compatibility/2006">
      <mc:Choice Requires="x14">
        <oleObject progId="Mathcad" shapeId="9217" r:id="rId4">
          <objectPr defaultSize="0" r:id="rId5">
            <anchor moveWithCells="1">
              <from>
                <xdr:col>8</xdr:col>
                <xdr:colOff>165100</xdr:colOff>
                <xdr:row>0</xdr:row>
                <xdr:rowOff>133350</xdr:rowOff>
              </from>
              <to>
                <xdr:col>9</xdr:col>
                <xdr:colOff>285750</xdr:colOff>
                <xdr:row>3</xdr:row>
                <xdr:rowOff>0</xdr:rowOff>
              </to>
            </anchor>
          </objectPr>
        </oleObject>
      </mc:Choice>
      <mc:Fallback>
        <oleObject progId="Mathcad" shapeId="9217" r:id="rId4"/>
      </mc:Fallback>
    </mc:AlternateContent>
    <mc:AlternateContent xmlns:mc="http://schemas.openxmlformats.org/markup-compatibility/2006">
      <mc:Choice Requires="x14">
        <oleObject progId="Mathcad" shapeId="9218" r:id="rId6">
          <objectPr defaultSize="0" r:id="rId7">
            <anchor moveWithCells="1">
              <from>
                <xdr:col>9</xdr:col>
                <xdr:colOff>539750</xdr:colOff>
                <xdr:row>1</xdr:row>
                <xdr:rowOff>31750</xdr:rowOff>
              </from>
              <to>
                <xdr:col>12</xdr:col>
                <xdr:colOff>50800</xdr:colOff>
                <xdr:row>2</xdr:row>
                <xdr:rowOff>127000</xdr:rowOff>
              </to>
            </anchor>
          </objectPr>
        </oleObject>
      </mc:Choice>
      <mc:Fallback>
        <oleObject progId="Mathcad" shapeId="9218" r:id="rId6"/>
      </mc:Fallback>
    </mc:AlternateContent>
    <mc:AlternateContent xmlns:mc="http://schemas.openxmlformats.org/markup-compatibility/2006">
      <mc:Choice Requires="x14">
        <oleObject progId="Mathcad" shapeId="9222" r:id="rId8">
          <objectPr defaultSize="0" r:id="rId5">
            <anchor moveWithCells="1">
              <from>
                <xdr:col>8</xdr:col>
                <xdr:colOff>165100</xdr:colOff>
                <xdr:row>0</xdr:row>
                <xdr:rowOff>133350</xdr:rowOff>
              </from>
              <to>
                <xdr:col>9</xdr:col>
                <xdr:colOff>285750</xdr:colOff>
                <xdr:row>3</xdr:row>
                <xdr:rowOff>0</xdr:rowOff>
              </to>
            </anchor>
          </objectPr>
        </oleObject>
      </mc:Choice>
      <mc:Fallback>
        <oleObject progId="Mathcad" shapeId="9222" r:id="rId8"/>
      </mc:Fallback>
    </mc:AlternateContent>
    <mc:AlternateContent xmlns:mc="http://schemas.openxmlformats.org/markup-compatibility/2006">
      <mc:Choice Requires="x14">
        <oleObject progId="Mathcad" shapeId="9223" r:id="rId9">
          <objectPr defaultSize="0" r:id="rId7">
            <anchor moveWithCells="1">
              <from>
                <xdr:col>9</xdr:col>
                <xdr:colOff>539750</xdr:colOff>
                <xdr:row>1</xdr:row>
                <xdr:rowOff>31750</xdr:rowOff>
              </from>
              <to>
                <xdr:col>12</xdr:col>
                <xdr:colOff>50800</xdr:colOff>
                <xdr:row>2</xdr:row>
                <xdr:rowOff>127000</xdr:rowOff>
              </to>
            </anchor>
          </objectPr>
        </oleObject>
      </mc:Choice>
      <mc:Fallback>
        <oleObject progId="Mathcad" shapeId="9223" r:id="rId9"/>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P48"/>
  <sheetViews>
    <sheetView tabSelected="1" topLeftCell="A58" workbookViewId="0">
      <selection activeCell="H36" sqref="H36"/>
    </sheetView>
  </sheetViews>
  <sheetFormatPr defaultColWidth="9" defaultRowHeight="12.5"/>
  <cols>
    <col min="1" max="1" width="9" style="3"/>
    <col min="2" max="4" width="9.08984375" style="3" bestFit="1" customWidth="1"/>
    <col min="5" max="9" width="9" style="3"/>
    <col min="10" max="10" width="9.36328125" style="13" customWidth="1"/>
    <col min="11" max="16384" width="9" style="3"/>
  </cols>
  <sheetData>
    <row r="1" spans="1:16" s="1" customFormat="1">
      <c r="A1" s="1" t="s">
        <v>36</v>
      </c>
      <c r="C1" s="19" t="s">
        <v>10</v>
      </c>
      <c r="D1" s="1" t="s">
        <v>35</v>
      </c>
      <c r="E1" s="1" t="s">
        <v>11</v>
      </c>
      <c r="F1" s="7" t="s">
        <v>20</v>
      </c>
      <c r="G1" s="17">
        <f>D4/(2*D3)</f>
        <v>1485.8075040783035</v>
      </c>
      <c r="H1" s="1" t="s">
        <v>26</v>
      </c>
      <c r="J1" s="13"/>
    </row>
    <row r="2" spans="1:16">
      <c r="C2" s="18" t="s">
        <v>15</v>
      </c>
      <c r="D2" s="3">
        <v>384.9</v>
      </c>
      <c r="E2" s="3" t="s">
        <v>11</v>
      </c>
      <c r="F2" s="18" t="s">
        <v>21</v>
      </c>
      <c r="G2" s="3">
        <f>SQRT(1/(D3*D5))</f>
        <v>8244.4965742557415</v>
      </c>
      <c r="H2" s="3" t="s">
        <v>26</v>
      </c>
    </row>
    <row r="3" spans="1:16">
      <c r="C3" s="18" t="s">
        <v>16</v>
      </c>
      <c r="D3" s="16">
        <v>3.0649999999999999E-6</v>
      </c>
      <c r="E3" s="3" t="s">
        <v>17</v>
      </c>
      <c r="F3" s="18" t="s">
        <v>25</v>
      </c>
      <c r="G3" s="16">
        <v>1.705E-4</v>
      </c>
      <c r="H3" s="3" t="s">
        <v>27</v>
      </c>
    </row>
    <row r="4" spans="1:16">
      <c r="C4" s="18" t="s">
        <v>18</v>
      </c>
      <c r="D4" s="16">
        <v>9.1079999999999998E-3</v>
      </c>
      <c r="E4" s="3" t="s">
        <v>19</v>
      </c>
    </row>
    <row r="5" spans="1:16">
      <c r="C5" s="18" t="s">
        <v>22</v>
      </c>
      <c r="D5" s="16">
        <v>4.7999999999999996E-3</v>
      </c>
      <c r="E5" s="3" t="s">
        <v>23</v>
      </c>
    </row>
    <row r="6" spans="1:16" s="6" customFormat="1" ht="87.5">
      <c r="A6" s="2" t="s">
        <v>0</v>
      </c>
      <c r="B6" s="2" t="s">
        <v>5</v>
      </c>
      <c r="C6" s="2" t="s">
        <v>1</v>
      </c>
      <c r="D6" s="2" t="s">
        <v>2</v>
      </c>
      <c r="E6" s="2" t="s">
        <v>3</v>
      </c>
      <c r="F6" s="2" t="s">
        <v>9</v>
      </c>
      <c r="G6" s="2" t="s">
        <v>7</v>
      </c>
      <c r="H6" s="2" t="s">
        <v>8</v>
      </c>
      <c r="I6" s="2" t="s">
        <v>4</v>
      </c>
      <c r="J6" s="14"/>
      <c r="K6" s="5" t="s">
        <v>5</v>
      </c>
      <c r="L6" s="5" t="s">
        <v>13</v>
      </c>
      <c r="M6" s="5" t="s">
        <v>24</v>
      </c>
      <c r="N6" s="5" t="s">
        <v>14</v>
      </c>
      <c r="O6" s="6" t="s">
        <v>52</v>
      </c>
      <c r="P6" s="6" t="s">
        <v>54</v>
      </c>
    </row>
    <row r="7" spans="1:16">
      <c r="A7" s="2">
        <v>0</v>
      </c>
      <c r="B7" s="8">
        <v>0</v>
      </c>
      <c r="C7" s="5">
        <v>0.28000000000000003</v>
      </c>
      <c r="D7" s="9">
        <v>2.6</v>
      </c>
      <c r="E7" s="10">
        <v>34973</v>
      </c>
      <c r="F7" s="12">
        <f>(0.2027*A7+1.2055)*1000</f>
        <v>1205.5</v>
      </c>
      <c r="G7" s="12">
        <f t="shared" ref="G7:G31" si="0">D7*157.4</f>
        <v>409.24</v>
      </c>
      <c r="H7" s="12">
        <f>C7*7.751*157.4</f>
        <v>341.60207200000008</v>
      </c>
      <c r="I7" s="9">
        <f>G7/H7</f>
        <v>1.1980021011113771</v>
      </c>
    </row>
    <row r="8" spans="1:16">
      <c r="A8" s="2">
        <v>0</v>
      </c>
      <c r="B8" s="8">
        <v>1100</v>
      </c>
      <c r="C8" s="5">
        <v>0.28000000000000003</v>
      </c>
      <c r="D8" s="9">
        <v>2.6</v>
      </c>
      <c r="E8" s="10" t="s">
        <v>38</v>
      </c>
      <c r="F8" s="12">
        <f>(0.2027*A8+1.2055)*1000</f>
        <v>1205.5</v>
      </c>
      <c r="G8" s="12">
        <f>D8*157.4</f>
        <v>409.24</v>
      </c>
      <c r="H8" s="12">
        <f>C8*7.751*157.4</f>
        <v>341.60207200000008</v>
      </c>
      <c r="I8" s="9">
        <f>G8/H8</f>
        <v>1.1980021011113771</v>
      </c>
      <c r="K8" s="3">
        <f>B8-B7</f>
        <v>1100</v>
      </c>
      <c r="L8" s="15">
        <f>F8</f>
        <v>1205.5</v>
      </c>
      <c r="M8" s="16">
        <f>8*F8/($D$3*SQRT($G$2^2-$G$1^2))</f>
        <v>388000.49790581595</v>
      </c>
      <c r="N8" s="16">
        <f>M8*(EXP(-$G$1*$G$3))*SIN(SQRT($G$2^2-$G$1^2)*$G$3)</f>
        <v>295856.77884028893</v>
      </c>
      <c r="O8" s="16">
        <f>1000*(D8*1000-228.75)*8/64.353</f>
        <v>294780.35212033632</v>
      </c>
      <c r="P8" s="43">
        <f>IF(O8/N8&gt;0.5,O8/N8,"")</f>
        <v>0.99636166281478478</v>
      </c>
    </row>
    <row r="9" spans="1:16">
      <c r="A9" s="8">
        <v>2.8</v>
      </c>
      <c r="B9" s="8">
        <v>1100</v>
      </c>
      <c r="C9" s="11">
        <v>0.43</v>
      </c>
      <c r="D9" s="9">
        <v>4</v>
      </c>
      <c r="E9" s="10">
        <v>34973</v>
      </c>
      <c r="F9" s="12">
        <f t="shared" ref="F9:F31" si="1">(0.2027*A9+1.2055)*1000</f>
        <v>1773.0600000000002</v>
      </c>
      <c r="G9" s="12">
        <f t="shared" si="0"/>
        <v>629.6</v>
      </c>
      <c r="H9" s="12">
        <f t="shared" ref="H9:H31" si="2">C9*7.751*157.4</f>
        <v>524.60318200000006</v>
      </c>
      <c r="I9" s="9">
        <f t="shared" ref="I9:I31" si="3">G9/H9</f>
        <v>1.2001452175713261</v>
      </c>
      <c r="K9" s="3">
        <f t="shared" ref="K9:K31" si="4">B9-B8</f>
        <v>0</v>
      </c>
      <c r="L9" s="15">
        <f t="shared" ref="L9:L31" si="5">F9</f>
        <v>1773.0600000000002</v>
      </c>
      <c r="M9" s="16">
        <f t="shared" ref="M9:M31" si="6">8*F9/($D$3*SQRT($G$2^2-$G$1^2))</f>
        <v>570674.54402064381</v>
      </c>
      <c r="N9" s="16">
        <f t="shared" ref="N9:N31" si="7">M9*(EXP(-$G$1*$G$3))*SIN(SQRT($G$2^2-$G$1^2)*$G$3)</f>
        <v>435148.7517964021</v>
      </c>
      <c r="O9" s="16">
        <f t="shared" ref="O9:O19" si="8">1000*(D9*1000-228.75)*8/64.353</f>
        <v>468820.41241278575</v>
      </c>
      <c r="P9" s="43">
        <f t="shared" ref="P9:P19" si="9">IF(O9/N9&gt;0.5,O9/N9,"")</f>
        <v>1.0773796557553679</v>
      </c>
    </row>
    <row r="10" spans="1:16">
      <c r="A10" s="8">
        <v>2.8</v>
      </c>
      <c r="B10" s="8">
        <v>6200</v>
      </c>
      <c r="C10" s="11">
        <v>0.43</v>
      </c>
      <c r="D10" s="9">
        <v>4</v>
      </c>
      <c r="E10" s="10">
        <v>34973</v>
      </c>
      <c r="F10" s="12">
        <f t="shared" si="1"/>
        <v>1773.0600000000002</v>
      </c>
      <c r="G10" s="12">
        <f t="shared" si="0"/>
        <v>629.6</v>
      </c>
      <c r="H10" s="12">
        <f t="shared" si="2"/>
        <v>524.60318200000006</v>
      </c>
      <c r="I10" s="9">
        <f t="shared" si="3"/>
        <v>1.2001452175713261</v>
      </c>
      <c r="K10" s="3">
        <f t="shared" si="4"/>
        <v>5100</v>
      </c>
      <c r="L10" s="15">
        <f t="shared" si="5"/>
        <v>1773.0600000000002</v>
      </c>
      <c r="M10" s="16">
        <f t="shared" si="6"/>
        <v>570674.54402064381</v>
      </c>
      <c r="N10" s="16">
        <f t="shared" si="7"/>
        <v>435148.7517964021</v>
      </c>
      <c r="O10" s="16">
        <f t="shared" si="8"/>
        <v>468820.41241278575</v>
      </c>
      <c r="P10" s="43">
        <f t="shared" si="9"/>
        <v>1.0773796557553679</v>
      </c>
    </row>
    <row r="11" spans="1:16">
      <c r="A11" s="8">
        <v>2.8</v>
      </c>
      <c r="B11" s="8">
        <v>11125</v>
      </c>
      <c r="C11" s="11">
        <v>0.43</v>
      </c>
      <c r="D11" s="9">
        <v>4</v>
      </c>
      <c r="E11" s="10">
        <v>34974</v>
      </c>
      <c r="F11" s="12">
        <f>(0.2027*A11+1.2055)*1000</f>
        <v>1773.0600000000002</v>
      </c>
      <c r="G11" s="12">
        <f>D11*157.4</f>
        <v>629.6</v>
      </c>
      <c r="H11" s="12">
        <f>C11*7.751*157.4</f>
        <v>524.60318200000006</v>
      </c>
      <c r="I11" s="9">
        <f>G11/H11</f>
        <v>1.2001452175713261</v>
      </c>
      <c r="K11" s="3">
        <f t="shared" si="4"/>
        <v>4925</v>
      </c>
      <c r="L11" s="15">
        <f t="shared" si="5"/>
        <v>1773.0600000000002</v>
      </c>
      <c r="M11" s="16">
        <f t="shared" si="6"/>
        <v>570674.54402064381</v>
      </c>
      <c r="N11" s="16">
        <f t="shared" si="7"/>
        <v>435148.7517964021</v>
      </c>
      <c r="O11" s="16">
        <f t="shared" si="8"/>
        <v>468820.41241278575</v>
      </c>
      <c r="P11" s="43">
        <f t="shared" si="9"/>
        <v>1.0773796557553679</v>
      </c>
    </row>
    <row r="12" spans="1:16">
      <c r="A12" s="8">
        <v>3.05</v>
      </c>
      <c r="B12" s="8">
        <v>11125</v>
      </c>
      <c r="C12" s="11">
        <v>0.44</v>
      </c>
      <c r="D12" s="9">
        <v>4.2</v>
      </c>
      <c r="E12" s="10">
        <v>34974</v>
      </c>
      <c r="F12" s="12">
        <f t="shared" si="1"/>
        <v>1823.7350000000001</v>
      </c>
      <c r="G12" s="12">
        <f t="shared" si="0"/>
        <v>661.08</v>
      </c>
      <c r="H12" s="12">
        <f t="shared" si="2"/>
        <v>536.80325600000003</v>
      </c>
      <c r="I12" s="9">
        <f t="shared" si="3"/>
        <v>1.231512649394213</v>
      </c>
      <c r="K12" s="3">
        <f t="shared" si="4"/>
        <v>0</v>
      </c>
      <c r="L12" s="15">
        <f t="shared" si="5"/>
        <v>1823.7350000000001</v>
      </c>
      <c r="M12" s="16">
        <f t="shared" si="6"/>
        <v>586984.72670946771</v>
      </c>
      <c r="N12" s="16">
        <f t="shared" si="7"/>
        <v>447585.53509605507</v>
      </c>
      <c r="O12" s="16">
        <f t="shared" si="8"/>
        <v>493683.27816885</v>
      </c>
      <c r="P12" s="43">
        <f t="shared" si="9"/>
        <v>1.1029920304794971</v>
      </c>
    </row>
    <row r="13" spans="1:16">
      <c r="A13" s="8">
        <v>3.05</v>
      </c>
      <c r="B13" s="8">
        <v>45500</v>
      </c>
      <c r="C13" s="11">
        <v>0.44</v>
      </c>
      <c r="D13" s="9">
        <v>4.2</v>
      </c>
      <c r="E13" s="10">
        <v>34975</v>
      </c>
      <c r="F13" s="12">
        <f>(0.2027*A13+1.2055)*1000</f>
        <v>1823.7350000000001</v>
      </c>
      <c r="G13" s="12">
        <f>D13*157.4</f>
        <v>661.08</v>
      </c>
      <c r="H13" s="12">
        <f>C13*7.751*157.4</f>
        <v>536.80325600000003</v>
      </c>
      <c r="I13" s="9">
        <f>G13/H13</f>
        <v>1.231512649394213</v>
      </c>
      <c r="K13" s="3">
        <f t="shared" si="4"/>
        <v>34375</v>
      </c>
      <c r="L13" s="15">
        <f t="shared" si="5"/>
        <v>1823.7350000000001</v>
      </c>
      <c r="M13" s="16">
        <f t="shared" si="6"/>
        <v>586984.72670946771</v>
      </c>
      <c r="N13" s="16">
        <f t="shared" si="7"/>
        <v>447585.53509605507</v>
      </c>
      <c r="O13" s="16">
        <f t="shared" si="8"/>
        <v>493683.27816885</v>
      </c>
      <c r="P13" s="43">
        <f t="shared" si="9"/>
        <v>1.1029920304794971</v>
      </c>
    </row>
    <row r="14" spans="1:16">
      <c r="A14" s="8">
        <v>3.65</v>
      </c>
      <c r="B14" s="8">
        <v>45500</v>
      </c>
      <c r="C14" s="11">
        <v>0.47</v>
      </c>
      <c r="D14" s="9">
        <v>4.4000000000000004</v>
      </c>
      <c r="E14" s="10">
        <v>34975</v>
      </c>
      <c r="F14" s="12">
        <f t="shared" si="1"/>
        <v>1945.355</v>
      </c>
      <c r="G14" s="12">
        <f t="shared" si="0"/>
        <v>692.56000000000006</v>
      </c>
      <c r="H14" s="12">
        <f t="shared" si="2"/>
        <v>573.40347800000006</v>
      </c>
      <c r="I14" s="9">
        <f t="shared" si="3"/>
        <v>1.2078057189600793</v>
      </c>
      <c r="K14" s="3">
        <f t="shared" si="4"/>
        <v>0</v>
      </c>
      <c r="L14" s="15">
        <f t="shared" si="5"/>
        <v>1945.355</v>
      </c>
      <c r="M14" s="16">
        <f t="shared" si="6"/>
        <v>626129.16516264505</v>
      </c>
      <c r="N14" s="16">
        <f t="shared" si="7"/>
        <v>477433.81501522212</v>
      </c>
      <c r="O14" s="16">
        <f t="shared" si="8"/>
        <v>518546.14392491418</v>
      </c>
      <c r="P14" s="43">
        <f t="shared" si="9"/>
        <v>1.0861110537559666</v>
      </c>
    </row>
    <row r="15" spans="1:16">
      <c r="A15" s="8">
        <v>3.65</v>
      </c>
      <c r="B15" s="8">
        <v>61234</v>
      </c>
      <c r="C15" s="11">
        <v>0.47</v>
      </c>
      <c r="D15" s="9">
        <v>4.4000000000000004</v>
      </c>
      <c r="E15" s="10">
        <v>34976</v>
      </c>
      <c r="F15" s="12">
        <f>(0.2027*A15+1.2055)*1000</f>
        <v>1945.355</v>
      </c>
      <c r="G15" s="12">
        <f>D15*157.4</f>
        <v>692.56000000000006</v>
      </c>
      <c r="H15" s="12">
        <f>C15*7.751*157.4</f>
        <v>573.40347800000006</v>
      </c>
      <c r="I15" s="9">
        <f>G15/H15</f>
        <v>1.2078057189600793</v>
      </c>
      <c r="K15" s="3">
        <f t="shared" si="4"/>
        <v>15734</v>
      </c>
      <c r="L15" s="15">
        <f t="shared" si="5"/>
        <v>1945.355</v>
      </c>
      <c r="M15" s="16">
        <f t="shared" si="6"/>
        <v>626129.16516264505</v>
      </c>
      <c r="N15" s="16">
        <f t="shared" si="7"/>
        <v>477433.81501522212</v>
      </c>
      <c r="O15" s="16">
        <f t="shared" si="8"/>
        <v>518546.14392491418</v>
      </c>
      <c r="P15" s="43">
        <f t="shared" si="9"/>
        <v>1.0861110537559666</v>
      </c>
    </row>
    <row r="16" spans="1:16">
      <c r="A16" s="8">
        <v>4.0999999999999996</v>
      </c>
      <c r="B16" s="8">
        <v>61234</v>
      </c>
      <c r="C16" s="11">
        <v>0.49</v>
      </c>
      <c r="D16" s="9">
        <v>4.5999999999999996</v>
      </c>
      <c r="E16" s="10">
        <v>34976</v>
      </c>
      <c r="F16" s="12">
        <f t="shared" si="1"/>
        <v>2036.5699999999997</v>
      </c>
      <c r="G16" s="12">
        <f t="shared" si="0"/>
        <v>724.04</v>
      </c>
      <c r="H16" s="12">
        <f t="shared" si="2"/>
        <v>597.80362600000001</v>
      </c>
      <c r="I16" s="9">
        <f t="shared" si="3"/>
        <v>1.2111669593653485</v>
      </c>
      <c r="K16" s="3">
        <f t="shared" si="4"/>
        <v>0</v>
      </c>
      <c r="L16" s="15">
        <f t="shared" si="5"/>
        <v>2036.5699999999997</v>
      </c>
      <c r="M16" s="16">
        <f t="shared" si="6"/>
        <v>655487.49400252791</v>
      </c>
      <c r="N16" s="16">
        <f t="shared" si="7"/>
        <v>499820.02495459735</v>
      </c>
      <c r="O16" s="16">
        <f t="shared" si="8"/>
        <v>543409.00968097837</v>
      </c>
      <c r="P16" s="43">
        <f t="shared" si="9"/>
        <v>1.0872093604699822</v>
      </c>
    </row>
    <row r="17" spans="1:16">
      <c r="A17" s="8">
        <v>4.0999999999999996</v>
      </c>
      <c r="B17" s="8">
        <v>93300</v>
      </c>
      <c r="C17" s="11">
        <v>0.49</v>
      </c>
      <c r="D17" s="9">
        <v>4.5999999999999996</v>
      </c>
      <c r="E17" s="10">
        <v>34976</v>
      </c>
      <c r="F17" s="12">
        <f t="shared" si="1"/>
        <v>2036.5699999999997</v>
      </c>
      <c r="G17" s="12">
        <f t="shared" si="0"/>
        <v>724.04</v>
      </c>
      <c r="H17" s="12">
        <f t="shared" si="2"/>
        <v>597.80362600000001</v>
      </c>
      <c r="I17" s="9">
        <f t="shared" si="3"/>
        <v>1.2111669593653485</v>
      </c>
      <c r="K17" s="3">
        <f t="shared" si="4"/>
        <v>32066</v>
      </c>
      <c r="L17" s="15">
        <f t="shared" si="5"/>
        <v>2036.5699999999997</v>
      </c>
      <c r="M17" s="16">
        <f t="shared" si="6"/>
        <v>655487.49400252791</v>
      </c>
      <c r="N17" s="16">
        <f t="shared" si="7"/>
        <v>499820.02495459735</v>
      </c>
      <c r="O17" s="16">
        <f t="shared" si="8"/>
        <v>543409.00968097837</v>
      </c>
      <c r="P17" s="43">
        <f t="shared" si="9"/>
        <v>1.0872093604699822</v>
      </c>
    </row>
    <row r="18" spans="1:16">
      <c r="A18" s="8">
        <v>4.0999999999999996</v>
      </c>
      <c r="B18" s="8">
        <v>121000</v>
      </c>
      <c r="C18" s="11">
        <v>0.49</v>
      </c>
      <c r="D18" s="9">
        <v>4.5999999999999996</v>
      </c>
      <c r="E18" s="10">
        <v>34977</v>
      </c>
      <c r="F18" s="12">
        <f>(0.2027*A18+1.2055)*1000</f>
        <v>2036.5699999999997</v>
      </c>
      <c r="G18" s="12">
        <f>D18*157.4</f>
        <v>724.04</v>
      </c>
      <c r="H18" s="12">
        <f>C18*7.751*157.4</f>
        <v>597.80362600000001</v>
      </c>
      <c r="I18" s="9">
        <f>G18/H18</f>
        <v>1.2111669593653485</v>
      </c>
      <c r="K18" s="3">
        <f t="shared" si="4"/>
        <v>27700</v>
      </c>
      <c r="L18" s="15">
        <f t="shared" si="5"/>
        <v>2036.5699999999997</v>
      </c>
      <c r="M18" s="16">
        <f t="shared" si="6"/>
        <v>655487.49400252791</v>
      </c>
      <c r="N18" s="16">
        <f t="shared" si="7"/>
        <v>499820.02495459735</v>
      </c>
      <c r="O18" s="16">
        <f t="shared" si="8"/>
        <v>543409.00968097837</v>
      </c>
      <c r="P18" s="43">
        <f t="shared" si="9"/>
        <v>1.0872093604699822</v>
      </c>
    </row>
    <row r="19" spans="1:16">
      <c r="A19" s="8">
        <v>4.55</v>
      </c>
      <c r="B19" s="8">
        <v>121000</v>
      </c>
      <c r="C19" s="11">
        <v>0.51500000000000001</v>
      </c>
      <c r="D19" s="8">
        <v>4.8</v>
      </c>
      <c r="E19" s="10">
        <v>34977</v>
      </c>
      <c r="F19" s="12">
        <f t="shared" si="1"/>
        <v>2127.7849999999999</v>
      </c>
      <c r="G19" s="12">
        <f t="shared" si="0"/>
        <v>755.52</v>
      </c>
      <c r="H19" s="12">
        <f t="shared" si="2"/>
        <v>628.30381100000011</v>
      </c>
      <c r="I19" s="9">
        <f t="shared" si="3"/>
        <v>1.2024755966345713</v>
      </c>
      <c r="K19" s="3">
        <f t="shared" si="4"/>
        <v>0</v>
      </c>
      <c r="L19" s="15">
        <f t="shared" si="5"/>
        <v>2127.7849999999999</v>
      </c>
      <c r="M19" s="16">
        <f t="shared" si="6"/>
        <v>684845.822842411</v>
      </c>
      <c r="N19" s="16">
        <f t="shared" si="7"/>
        <v>522206.23489397269</v>
      </c>
      <c r="O19" s="16">
        <f t="shared" si="8"/>
        <v>568271.87543704256</v>
      </c>
      <c r="P19" s="43">
        <f t="shared" si="9"/>
        <v>1.0882135016109544</v>
      </c>
    </row>
    <row r="20" spans="1:16">
      <c r="A20" s="8">
        <v>4.55</v>
      </c>
      <c r="B20" s="8">
        <v>161000</v>
      </c>
      <c r="C20" s="11">
        <v>0.51500000000000001</v>
      </c>
      <c r="D20" s="8">
        <v>4.8</v>
      </c>
      <c r="E20" s="10">
        <v>34978</v>
      </c>
      <c r="F20" s="12">
        <f>(0.2027*A20+1.2055)*1000</f>
        <v>2127.7849999999999</v>
      </c>
      <c r="G20" s="12">
        <f>D20*157.4</f>
        <v>755.52</v>
      </c>
      <c r="H20" s="12">
        <f>C20*7.751*157.4</f>
        <v>628.30381100000011</v>
      </c>
      <c r="I20" s="9">
        <f>G20/H20</f>
        <v>1.2024755966345713</v>
      </c>
      <c r="K20" s="3">
        <f t="shared" si="4"/>
        <v>40000</v>
      </c>
      <c r="L20" s="15">
        <f t="shared" si="5"/>
        <v>2127.7849999999999</v>
      </c>
      <c r="M20" s="16">
        <f t="shared" si="6"/>
        <v>684845.822842411</v>
      </c>
      <c r="N20" s="16">
        <f t="shared" si="7"/>
        <v>522206.23489397269</v>
      </c>
      <c r="O20" s="16">
        <f t="shared" ref="O20:O31" si="10">1000*(D20*1000-228.75)*8/64.353</f>
        <v>568271.87543704256</v>
      </c>
      <c r="P20" s="43">
        <f t="shared" ref="P20:P31" si="11">IF(O20/N20&gt;0.5,O20/N20,"")</f>
        <v>1.0882135016109544</v>
      </c>
    </row>
    <row r="21" spans="1:16">
      <c r="A21" s="8">
        <v>5.05</v>
      </c>
      <c r="B21" s="8">
        <v>161000</v>
      </c>
      <c r="C21" s="11">
        <v>0.54</v>
      </c>
      <c r="D21" s="8">
        <v>5</v>
      </c>
      <c r="E21" s="10">
        <v>34978</v>
      </c>
      <c r="F21" s="12">
        <f t="shared" si="1"/>
        <v>2229.1349999999998</v>
      </c>
      <c r="G21" s="12">
        <f t="shared" si="0"/>
        <v>787</v>
      </c>
      <c r="H21" s="12">
        <f t="shared" si="2"/>
        <v>658.8039960000001</v>
      </c>
      <c r="I21" s="9">
        <f t="shared" si="3"/>
        <v>1.1945889897121995</v>
      </c>
      <c r="K21" s="3">
        <f t="shared" si="4"/>
        <v>0</v>
      </c>
      <c r="L21" s="15">
        <f t="shared" si="5"/>
        <v>2229.1349999999998</v>
      </c>
      <c r="M21" s="16">
        <f t="shared" si="6"/>
        <v>717466.1882200588</v>
      </c>
      <c r="N21" s="16">
        <f t="shared" si="7"/>
        <v>547079.80149327859</v>
      </c>
      <c r="O21" s="16">
        <f t="shared" si="10"/>
        <v>593134.74119310686</v>
      </c>
      <c r="P21" s="43">
        <f t="shared" si="11"/>
        <v>1.0841832207552158</v>
      </c>
    </row>
    <row r="22" spans="1:16">
      <c r="A22" s="8">
        <v>5.05</v>
      </c>
      <c r="B22" s="8">
        <v>241000</v>
      </c>
      <c r="C22" s="11">
        <v>0.54</v>
      </c>
      <c r="D22" s="8">
        <v>5</v>
      </c>
      <c r="E22" s="10">
        <v>34980</v>
      </c>
      <c r="F22" s="12">
        <f t="shared" si="1"/>
        <v>2229.1349999999998</v>
      </c>
      <c r="G22" s="12">
        <f t="shared" si="0"/>
        <v>787</v>
      </c>
      <c r="H22" s="12">
        <f t="shared" si="2"/>
        <v>658.8039960000001</v>
      </c>
      <c r="I22" s="9">
        <f t="shared" si="3"/>
        <v>1.1945889897121995</v>
      </c>
      <c r="K22" s="3">
        <f t="shared" si="4"/>
        <v>80000</v>
      </c>
      <c r="L22" s="15">
        <f t="shared" si="5"/>
        <v>2229.1349999999998</v>
      </c>
      <c r="M22" s="16">
        <f t="shared" si="6"/>
        <v>717466.1882200588</v>
      </c>
      <c r="N22" s="16">
        <f t="shared" si="7"/>
        <v>547079.80149327859</v>
      </c>
      <c r="O22" s="16">
        <f t="shared" si="10"/>
        <v>593134.74119310686</v>
      </c>
      <c r="P22" s="43">
        <f t="shared" si="11"/>
        <v>1.0841832207552158</v>
      </c>
    </row>
    <row r="23" spans="1:16">
      <c r="A23" s="8">
        <v>5.05</v>
      </c>
      <c r="B23" s="8">
        <v>263000</v>
      </c>
      <c r="C23" s="11">
        <v>0.54</v>
      </c>
      <c r="D23" s="8">
        <v>5</v>
      </c>
      <c r="E23" s="10">
        <v>34981</v>
      </c>
      <c r="F23" s="12">
        <f>(0.2027*A23+1.2055)*1000</f>
        <v>2229.1349999999998</v>
      </c>
      <c r="G23" s="12">
        <f>D23*157.4</f>
        <v>787</v>
      </c>
      <c r="H23" s="12">
        <f>C23*7.751*157.4</f>
        <v>658.8039960000001</v>
      </c>
      <c r="I23" s="9">
        <f>G23/H23</f>
        <v>1.1945889897121995</v>
      </c>
      <c r="K23" s="3">
        <f t="shared" si="4"/>
        <v>22000</v>
      </c>
      <c r="L23" s="15">
        <f t="shared" si="5"/>
        <v>2229.1349999999998</v>
      </c>
      <c r="M23" s="16">
        <f t="shared" si="6"/>
        <v>717466.1882200588</v>
      </c>
      <c r="N23" s="16">
        <f t="shared" si="7"/>
        <v>547079.80149327859</v>
      </c>
      <c r="O23" s="16">
        <f t="shared" si="10"/>
        <v>593134.74119310686</v>
      </c>
      <c r="P23" s="43">
        <f t="shared" si="11"/>
        <v>1.0841832207552158</v>
      </c>
    </row>
    <row r="24" spans="1:16">
      <c r="A24" s="8">
        <v>5.45</v>
      </c>
      <c r="B24" s="8">
        <v>263000</v>
      </c>
      <c r="C24" s="11">
        <v>0.55500000000000005</v>
      </c>
      <c r="D24" s="8">
        <v>5.2</v>
      </c>
      <c r="E24" s="10">
        <v>34981</v>
      </c>
      <c r="F24" s="12">
        <f t="shared" si="1"/>
        <v>2310.2149999999997</v>
      </c>
      <c r="G24" s="12">
        <f t="shared" si="0"/>
        <v>818.48</v>
      </c>
      <c r="H24" s="12">
        <f t="shared" si="2"/>
        <v>677.10410700000011</v>
      </c>
      <c r="I24" s="9">
        <f t="shared" si="3"/>
        <v>1.2087949128331013</v>
      </c>
      <c r="K24" s="3">
        <f t="shared" si="4"/>
        <v>0</v>
      </c>
      <c r="L24" s="15">
        <f t="shared" si="5"/>
        <v>2310.2149999999997</v>
      </c>
      <c r="M24" s="16">
        <f t="shared" si="6"/>
        <v>743562.48052217707</v>
      </c>
      <c r="N24" s="16">
        <f t="shared" si="7"/>
        <v>566978.65477272333</v>
      </c>
      <c r="O24" s="16">
        <f t="shared" si="10"/>
        <v>617997.60694917105</v>
      </c>
      <c r="P24" s="43">
        <f t="shared" si="11"/>
        <v>1.0899839028276981</v>
      </c>
    </row>
    <row r="25" spans="1:16">
      <c r="A25" s="8">
        <v>5.45</v>
      </c>
      <c r="B25" s="8">
        <v>320000</v>
      </c>
      <c r="C25" s="11">
        <v>0.55500000000000005</v>
      </c>
      <c r="D25" s="8">
        <v>5.2</v>
      </c>
      <c r="E25" s="10">
        <v>34982</v>
      </c>
      <c r="F25" s="12">
        <f>(0.2027*A25+1.2055)*1000</f>
        <v>2310.2149999999997</v>
      </c>
      <c r="G25" s="12">
        <f>D25*157.4</f>
        <v>818.48</v>
      </c>
      <c r="H25" s="12">
        <f>C25*7.751*157.4</f>
        <v>677.10410700000011</v>
      </c>
      <c r="I25" s="9">
        <f>G25/H25</f>
        <v>1.2087949128331013</v>
      </c>
      <c r="K25" s="3">
        <f t="shared" si="4"/>
        <v>57000</v>
      </c>
      <c r="L25" s="15">
        <f t="shared" si="5"/>
        <v>2310.2149999999997</v>
      </c>
      <c r="M25" s="16">
        <f t="shared" si="6"/>
        <v>743562.48052217707</v>
      </c>
      <c r="N25" s="16">
        <f t="shared" si="7"/>
        <v>566978.65477272333</v>
      </c>
      <c r="O25" s="16">
        <f t="shared" si="10"/>
        <v>617997.60694917105</v>
      </c>
      <c r="P25" s="43">
        <f t="shared" si="11"/>
        <v>1.0899839028276981</v>
      </c>
    </row>
    <row r="26" spans="1:16">
      <c r="A26" s="8">
        <v>6</v>
      </c>
      <c r="B26" s="8">
        <v>320000</v>
      </c>
      <c r="C26" s="11">
        <v>0.57999999999999996</v>
      </c>
      <c r="D26" s="8">
        <v>5.4</v>
      </c>
      <c r="E26" s="10">
        <v>34982</v>
      </c>
      <c r="F26" s="12">
        <f t="shared" si="1"/>
        <v>2421.6999999999998</v>
      </c>
      <c r="G26" s="12">
        <f t="shared" si="0"/>
        <v>849.96</v>
      </c>
      <c r="H26" s="12">
        <f t="shared" si="2"/>
        <v>707.60429199999999</v>
      </c>
      <c r="I26" s="9">
        <f t="shared" si="3"/>
        <v>1.2011798255175083</v>
      </c>
      <c r="K26" s="3">
        <f t="shared" si="4"/>
        <v>0</v>
      </c>
      <c r="L26" s="15">
        <f t="shared" si="5"/>
        <v>2421.6999999999998</v>
      </c>
      <c r="M26" s="16">
        <f t="shared" si="6"/>
        <v>779444.88243758969</v>
      </c>
      <c r="N26" s="16">
        <f t="shared" si="7"/>
        <v>594339.57803195983</v>
      </c>
      <c r="O26" s="16">
        <f t="shared" si="10"/>
        <v>642860.47270523524</v>
      </c>
      <c r="P26" s="43">
        <f t="shared" si="11"/>
        <v>1.0816383368476703</v>
      </c>
    </row>
    <row r="27" spans="1:16">
      <c r="A27" s="8">
        <v>6</v>
      </c>
      <c r="B27" s="8">
        <v>360000</v>
      </c>
      <c r="C27" s="11">
        <v>0.57999999999999996</v>
      </c>
      <c r="D27" s="8">
        <v>5.4</v>
      </c>
      <c r="E27" s="10">
        <v>34983</v>
      </c>
      <c r="F27" s="12">
        <f>(0.2027*A27+1.2055)*1000</f>
        <v>2421.6999999999998</v>
      </c>
      <c r="G27" s="12">
        <f>D27*157.4</f>
        <v>849.96</v>
      </c>
      <c r="H27" s="12">
        <f>C27*7.751*157.4</f>
        <v>707.60429199999999</v>
      </c>
      <c r="I27" s="9">
        <f>G27/H27</f>
        <v>1.2011798255175083</v>
      </c>
      <c r="K27" s="3">
        <f t="shared" si="4"/>
        <v>40000</v>
      </c>
      <c r="L27" s="15">
        <f t="shared" si="5"/>
        <v>2421.6999999999998</v>
      </c>
      <c r="M27" s="16">
        <f t="shared" si="6"/>
        <v>779444.88243758969</v>
      </c>
      <c r="N27" s="16">
        <f t="shared" si="7"/>
        <v>594339.57803195983</v>
      </c>
      <c r="O27" s="16">
        <f t="shared" si="10"/>
        <v>642860.47270523524</v>
      </c>
      <c r="P27" s="43">
        <f t="shared" si="11"/>
        <v>1.0816383368476703</v>
      </c>
    </row>
    <row r="28" spans="1:16">
      <c r="A28" s="8">
        <v>6.4</v>
      </c>
      <c r="B28" s="8">
        <v>360000</v>
      </c>
      <c r="C28" s="11">
        <v>0.6</v>
      </c>
      <c r="D28" s="8">
        <v>5.6</v>
      </c>
      <c r="E28" s="10">
        <v>34983</v>
      </c>
      <c r="F28" s="12">
        <f t="shared" si="1"/>
        <v>2502.7800000000002</v>
      </c>
      <c r="G28" s="12">
        <f t="shared" si="0"/>
        <v>881.43999999999994</v>
      </c>
      <c r="H28" s="12">
        <f t="shared" si="2"/>
        <v>732.00444000000005</v>
      </c>
      <c r="I28" s="9">
        <f t="shared" si="3"/>
        <v>1.2041457016298971</v>
      </c>
      <c r="K28" s="3">
        <f t="shared" si="4"/>
        <v>0</v>
      </c>
      <c r="L28" s="15">
        <f t="shared" si="5"/>
        <v>2502.7800000000002</v>
      </c>
      <c r="M28" s="16">
        <f t="shared" si="6"/>
        <v>805541.17473970808</v>
      </c>
      <c r="N28" s="16">
        <f t="shared" si="7"/>
        <v>614238.43131140468</v>
      </c>
      <c r="O28" s="16">
        <f t="shared" si="10"/>
        <v>667723.33846129943</v>
      </c>
      <c r="P28" s="43">
        <f t="shared" si="11"/>
        <v>1.0870751558734351</v>
      </c>
    </row>
    <row r="29" spans="1:16">
      <c r="A29" s="8">
        <v>6.4</v>
      </c>
      <c r="B29" s="8">
        <v>400000</v>
      </c>
      <c r="C29" s="11">
        <v>0.6</v>
      </c>
      <c r="D29" s="8">
        <v>5.6</v>
      </c>
      <c r="E29" s="10">
        <v>35045</v>
      </c>
      <c r="F29" s="12">
        <f>(0.2027*A29+1.2055)*1000</f>
        <v>2502.7800000000002</v>
      </c>
      <c r="G29" s="12">
        <f>D29*157.4</f>
        <v>881.43999999999994</v>
      </c>
      <c r="H29" s="12">
        <f>C29*7.751*157.4</f>
        <v>732.00444000000005</v>
      </c>
      <c r="I29" s="9">
        <f>G29/H29</f>
        <v>1.2041457016298971</v>
      </c>
      <c r="K29" s="3">
        <f t="shared" si="4"/>
        <v>40000</v>
      </c>
      <c r="L29" s="15">
        <f t="shared" si="5"/>
        <v>2502.7800000000002</v>
      </c>
      <c r="M29" s="16">
        <f t="shared" si="6"/>
        <v>805541.17473970808</v>
      </c>
      <c r="N29" s="16">
        <f t="shared" si="7"/>
        <v>614238.43131140468</v>
      </c>
      <c r="O29" s="16">
        <f t="shared" si="10"/>
        <v>667723.33846129943</v>
      </c>
      <c r="P29" s="43">
        <f t="shared" si="11"/>
        <v>1.0870751558734351</v>
      </c>
    </row>
    <row r="30" spans="1:16">
      <c r="A30" s="8">
        <v>6.65</v>
      </c>
      <c r="B30" s="8">
        <v>400000</v>
      </c>
      <c r="C30" s="11">
        <v>0.6</v>
      </c>
      <c r="D30" s="8">
        <v>5.6</v>
      </c>
      <c r="E30" s="10">
        <v>35045</v>
      </c>
      <c r="F30" s="12">
        <f>(0.2027*A30+1.2055)*1000</f>
        <v>2553.4549999999999</v>
      </c>
      <c r="G30" s="12">
        <f>D30*157.4</f>
        <v>881.43999999999994</v>
      </c>
      <c r="H30" s="12">
        <f>C30*7.751*157.4</f>
        <v>732.00444000000005</v>
      </c>
      <c r="I30" s="9">
        <f>G30/H30</f>
        <v>1.2041457016298971</v>
      </c>
      <c r="K30" s="3">
        <f t="shared" si="4"/>
        <v>0</v>
      </c>
      <c r="L30" s="15">
        <f t="shared" si="5"/>
        <v>2553.4549999999999</v>
      </c>
      <c r="M30" s="16">
        <f t="shared" si="6"/>
        <v>821851.35742853186</v>
      </c>
      <c r="N30" s="16">
        <f t="shared" si="7"/>
        <v>626675.21461105754</v>
      </c>
      <c r="O30" s="16">
        <f t="shared" si="10"/>
        <v>667723.33846129943</v>
      </c>
      <c r="P30" s="43">
        <f t="shared" si="11"/>
        <v>1.0655014318313485</v>
      </c>
    </row>
    <row r="31" spans="1:16">
      <c r="A31" s="8">
        <v>6.65</v>
      </c>
      <c r="B31" s="8">
        <v>408615</v>
      </c>
      <c r="C31" s="11">
        <v>0.61</v>
      </c>
      <c r="D31" s="8">
        <v>5.7</v>
      </c>
      <c r="E31" s="10">
        <v>35045</v>
      </c>
      <c r="F31" s="12">
        <f t="shared" si="1"/>
        <v>2553.4549999999999</v>
      </c>
      <c r="G31" s="12">
        <f t="shared" si="0"/>
        <v>897.18000000000006</v>
      </c>
      <c r="H31" s="12">
        <f t="shared" si="2"/>
        <v>744.20451400000002</v>
      </c>
      <c r="I31" s="9">
        <f t="shared" si="3"/>
        <v>1.2055557083062789</v>
      </c>
      <c r="K31" s="3">
        <f t="shared" si="4"/>
        <v>8615</v>
      </c>
      <c r="L31" s="15">
        <f t="shared" si="5"/>
        <v>2553.4549999999999</v>
      </c>
      <c r="M31" s="16">
        <f t="shared" si="6"/>
        <v>821851.35742853186</v>
      </c>
      <c r="N31" s="16">
        <f t="shared" si="7"/>
        <v>626675.21461105754</v>
      </c>
      <c r="O31" s="16">
        <f t="shared" si="10"/>
        <v>680154.77133933152</v>
      </c>
      <c r="P31" s="43">
        <f t="shared" si="11"/>
        <v>1.0853385541367959</v>
      </c>
    </row>
    <row r="32" spans="1:16">
      <c r="A32" s="8"/>
      <c r="B32" s="4"/>
      <c r="E32" s="3" t="s">
        <v>12</v>
      </c>
      <c r="F32" s="15">
        <f>MAX(F7:F31)</f>
        <v>2553.4549999999999</v>
      </c>
      <c r="K32" s="3">
        <f>SUM(K8:K31)</f>
        <v>408615</v>
      </c>
      <c r="O32" s="3" t="s">
        <v>12</v>
      </c>
      <c r="P32" s="43">
        <f>MAX(P7:P31)</f>
        <v>1.1029920304794971</v>
      </c>
    </row>
    <row r="33" spans="1:16">
      <c r="O33" s="3" t="s">
        <v>53</v>
      </c>
      <c r="P33" s="43">
        <f>MIN(P7:P19)</f>
        <v>0.99636166281478478</v>
      </c>
    </row>
    <row r="36" spans="1:16">
      <c r="A36" s="3" t="s">
        <v>5</v>
      </c>
      <c r="C36" s="3" t="s">
        <v>13</v>
      </c>
      <c r="D36" s="3" t="s">
        <v>24</v>
      </c>
      <c r="E36" s="3" t="s">
        <v>14</v>
      </c>
      <c r="F36" s="3" t="s">
        <v>55</v>
      </c>
      <c r="G36" s="3" t="s">
        <v>57</v>
      </c>
      <c r="J36" s="3"/>
      <c r="L36" s="13"/>
    </row>
    <row r="37" spans="1:16">
      <c r="A37" s="3">
        <v>1100</v>
      </c>
      <c r="B37" s="3">
        <f>A37</f>
        <v>1100</v>
      </c>
      <c r="C37" s="15">
        <v>1205.5</v>
      </c>
      <c r="D37" s="15">
        <v>388000.49790581595</v>
      </c>
      <c r="E37" s="15">
        <v>295856.77884028893</v>
      </c>
      <c r="F37" s="15">
        <f t="shared" ref="F37:F47" si="12">E37/1000*1.5598+1.525</f>
        <v>463.00240363508271</v>
      </c>
      <c r="G37" s="15">
        <f>E37/1000</f>
        <v>295.85677884028894</v>
      </c>
      <c r="J37" s="3"/>
      <c r="K37" s="13"/>
    </row>
    <row r="38" spans="1:16">
      <c r="A38" s="3">
        <v>10025</v>
      </c>
      <c r="B38" s="3">
        <f t="shared" ref="B38:B47" si="13">SUM(A38:A38)</f>
        <v>10025</v>
      </c>
      <c r="C38" s="15">
        <v>1773.06</v>
      </c>
      <c r="D38" s="15">
        <v>570674.54402064381</v>
      </c>
      <c r="E38" s="15">
        <v>435148.7517964021</v>
      </c>
      <c r="F38" s="15">
        <f t="shared" si="12"/>
        <v>680.27002305202802</v>
      </c>
      <c r="G38" s="15">
        <f t="shared" ref="G38:G47" si="14">E38/1000</f>
        <v>435.14875179640211</v>
      </c>
      <c r="J38" s="3"/>
      <c r="K38" s="13"/>
    </row>
    <row r="39" spans="1:16">
      <c r="A39" s="3">
        <v>34375</v>
      </c>
      <c r="B39" s="3">
        <f t="shared" si="13"/>
        <v>34375</v>
      </c>
      <c r="C39" s="15">
        <v>1823.7349999999999</v>
      </c>
      <c r="D39" s="15">
        <v>586984.72670946771</v>
      </c>
      <c r="E39" s="15">
        <v>447585.53509605507</v>
      </c>
      <c r="F39" s="15">
        <f t="shared" si="12"/>
        <v>699.66891764282673</v>
      </c>
      <c r="G39" s="15">
        <f t="shared" si="14"/>
        <v>447.58553509605508</v>
      </c>
      <c r="J39" s="3"/>
      <c r="K39" s="13"/>
    </row>
    <row r="40" spans="1:16">
      <c r="A40" s="3">
        <v>15734</v>
      </c>
      <c r="B40" s="3">
        <f t="shared" si="13"/>
        <v>15734</v>
      </c>
      <c r="C40" s="15">
        <v>1945.355</v>
      </c>
      <c r="D40" s="15">
        <v>626129.16516264505</v>
      </c>
      <c r="E40" s="15">
        <v>477433.81501522212</v>
      </c>
      <c r="F40" s="15">
        <f t="shared" si="12"/>
        <v>746.22626466074348</v>
      </c>
      <c r="G40" s="15">
        <f t="shared" si="14"/>
        <v>477.43381501522214</v>
      </c>
      <c r="J40" s="3"/>
      <c r="K40" s="13"/>
    </row>
    <row r="41" spans="1:16">
      <c r="A41" s="3">
        <v>59766</v>
      </c>
      <c r="B41" s="3">
        <f t="shared" si="13"/>
        <v>59766</v>
      </c>
      <c r="C41" s="3">
        <v>2036.57</v>
      </c>
      <c r="D41" s="3">
        <v>655487.49400252791</v>
      </c>
      <c r="E41" s="3">
        <v>499820.02495459735</v>
      </c>
      <c r="F41" s="15">
        <f t="shared" si="12"/>
        <v>781.14427492418088</v>
      </c>
      <c r="G41" s="15">
        <f t="shared" si="14"/>
        <v>499.82002495459733</v>
      </c>
      <c r="J41" s="3"/>
      <c r="K41" s="13"/>
    </row>
    <row r="42" spans="1:16">
      <c r="A42" s="3">
        <v>40000</v>
      </c>
      <c r="B42" s="3">
        <f t="shared" si="13"/>
        <v>40000</v>
      </c>
      <c r="C42" s="3">
        <v>2127.7849999999999</v>
      </c>
      <c r="D42" s="3">
        <v>684845.822842411</v>
      </c>
      <c r="E42" s="3">
        <v>522206.23489397269</v>
      </c>
      <c r="F42" s="15">
        <f t="shared" si="12"/>
        <v>816.06228518761861</v>
      </c>
      <c r="G42" s="15">
        <f t="shared" si="14"/>
        <v>522.20623489397269</v>
      </c>
      <c r="J42" s="3"/>
      <c r="K42" s="13"/>
    </row>
    <row r="43" spans="1:16">
      <c r="A43" s="3">
        <v>102000</v>
      </c>
      <c r="B43" s="3">
        <f t="shared" si="13"/>
        <v>102000</v>
      </c>
      <c r="C43" s="3">
        <v>2229.1350000000002</v>
      </c>
      <c r="D43" s="3">
        <v>717466.1882200588</v>
      </c>
      <c r="E43" s="3">
        <v>547079.80149327859</v>
      </c>
      <c r="F43" s="15">
        <f t="shared" si="12"/>
        <v>854.86007436921602</v>
      </c>
      <c r="G43" s="15">
        <f t="shared" si="14"/>
        <v>547.07980149327864</v>
      </c>
      <c r="J43" s="3"/>
      <c r="K43" s="13"/>
    </row>
    <row r="44" spans="1:16">
      <c r="A44" s="3">
        <v>57000</v>
      </c>
      <c r="B44" s="3">
        <f t="shared" si="13"/>
        <v>57000</v>
      </c>
      <c r="C44" s="3">
        <v>2310.2150000000001</v>
      </c>
      <c r="D44" s="3">
        <v>743562.48052217707</v>
      </c>
      <c r="E44" s="3">
        <v>566978.65477272333</v>
      </c>
      <c r="F44" s="15">
        <f t="shared" si="12"/>
        <v>885.89830571449386</v>
      </c>
      <c r="G44" s="15">
        <f t="shared" si="14"/>
        <v>566.9786547727233</v>
      </c>
      <c r="J44" s="3"/>
      <c r="K44" s="13"/>
    </row>
    <row r="45" spans="1:16">
      <c r="A45" s="3">
        <v>40000</v>
      </c>
      <c r="B45" s="3">
        <f t="shared" si="13"/>
        <v>40000</v>
      </c>
      <c r="C45" s="3">
        <v>2421.6999999999998</v>
      </c>
      <c r="D45" s="3">
        <v>779444.88243758969</v>
      </c>
      <c r="E45" s="3">
        <v>594339.57803195983</v>
      </c>
      <c r="F45" s="15">
        <f t="shared" si="12"/>
        <v>928.57587381425094</v>
      </c>
      <c r="G45" s="15">
        <f t="shared" si="14"/>
        <v>594.33957803195983</v>
      </c>
      <c r="J45" s="3"/>
      <c r="K45" s="13"/>
    </row>
    <row r="46" spans="1:16">
      <c r="A46" s="3">
        <v>40000</v>
      </c>
      <c r="B46" s="3">
        <f t="shared" si="13"/>
        <v>40000</v>
      </c>
      <c r="C46" s="3">
        <v>2502.7800000000002</v>
      </c>
      <c r="D46" s="3">
        <v>805541.17473970808</v>
      </c>
      <c r="E46" s="3">
        <v>614238.43131140468</v>
      </c>
      <c r="F46" s="15">
        <f t="shared" si="12"/>
        <v>959.61410515952912</v>
      </c>
      <c r="G46" s="15">
        <f t="shared" si="14"/>
        <v>614.23843131140472</v>
      </c>
      <c r="J46" s="3"/>
      <c r="K46" s="13"/>
    </row>
    <row r="47" spans="1:16">
      <c r="A47" s="3">
        <v>8615</v>
      </c>
      <c r="B47" s="3">
        <f t="shared" si="13"/>
        <v>8615</v>
      </c>
      <c r="C47" s="3">
        <v>2553.4549999999999</v>
      </c>
      <c r="D47" s="3">
        <v>821851.35742853186</v>
      </c>
      <c r="E47" s="3">
        <v>626675.21461105754</v>
      </c>
      <c r="F47" s="15">
        <f t="shared" si="12"/>
        <v>979.01299975032759</v>
      </c>
      <c r="G47" s="15">
        <f t="shared" si="14"/>
        <v>626.67521461105753</v>
      </c>
      <c r="J47" s="3"/>
      <c r="K47" s="13"/>
    </row>
    <row r="48" spans="1:16">
      <c r="B48" s="3">
        <f>SUM(B37:B47)</f>
        <v>408615</v>
      </c>
    </row>
  </sheetData>
  <phoneticPr fontId="0" type="noConversion"/>
  <pageMargins left="0.75" right="0.75" top="1" bottom="1" header="0.5" footer="0.5"/>
  <pageSetup scale="63" orientation="landscape" horizontalDpi="355" verticalDpi="355" r:id="rId1"/>
  <headerFooter alignWithMargins="0"/>
  <drawing r:id="rId2"/>
  <legacyDrawing r:id="rId3"/>
  <oleObjects>
    <mc:AlternateContent xmlns:mc="http://schemas.openxmlformats.org/markup-compatibility/2006">
      <mc:Choice Requires="x14">
        <oleObject progId="Mathcad" shapeId="8193" r:id="rId4">
          <objectPr defaultSize="0" r:id="rId5">
            <anchor moveWithCells="1">
              <from>
                <xdr:col>8</xdr:col>
                <xdr:colOff>165100</xdr:colOff>
                <xdr:row>0</xdr:row>
                <xdr:rowOff>133350</xdr:rowOff>
              </from>
              <to>
                <xdr:col>9</xdr:col>
                <xdr:colOff>285750</xdr:colOff>
                <xdr:row>3</xdr:row>
                <xdr:rowOff>0</xdr:rowOff>
              </to>
            </anchor>
          </objectPr>
        </oleObject>
      </mc:Choice>
      <mc:Fallback>
        <oleObject progId="Mathcad" shapeId="8193" r:id="rId4"/>
      </mc:Fallback>
    </mc:AlternateContent>
    <mc:AlternateContent xmlns:mc="http://schemas.openxmlformats.org/markup-compatibility/2006">
      <mc:Choice Requires="x14">
        <oleObject progId="Mathcad" shapeId="8194" r:id="rId6">
          <objectPr defaultSize="0" r:id="rId7">
            <anchor moveWithCells="1">
              <from>
                <xdr:col>9</xdr:col>
                <xdr:colOff>539750</xdr:colOff>
                <xdr:row>1</xdr:row>
                <xdr:rowOff>31750</xdr:rowOff>
              </from>
              <to>
                <xdr:col>12</xdr:col>
                <xdr:colOff>50800</xdr:colOff>
                <xdr:row>2</xdr:row>
                <xdr:rowOff>127000</xdr:rowOff>
              </to>
            </anchor>
          </objectPr>
        </oleObject>
      </mc:Choice>
      <mc:Fallback>
        <oleObject progId="Mathcad" shapeId="8194" r:id="rId6"/>
      </mc:Fallback>
    </mc:AlternateContent>
  </oleObjec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P31"/>
  <sheetViews>
    <sheetView topLeftCell="D5" workbookViewId="0">
      <selection activeCell="O6" sqref="O6:P21"/>
    </sheetView>
  </sheetViews>
  <sheetFormatPr defaultColWidth="9" defaultRowHeight="12.5"/>
  <cols>
    <col min="1" max="9" width="9" style="3"/>
    <col min="10" max="10" width="9.36328125" style="13" customWidth="1"/>
    <col min="11" max="16384" width="9" style="3"/>
  </cols>
  <sheetData>
    <row r="1" spans="1:16" s="1" customFormat="1">
      <c r="A1" s="1" t="s">
        <v>34</v>
      </c>
      <c r="C1" s="19" t="s">
        <v>10</v>
      </c>
      <c r="D1" s="1" t="s">
        <v>35</v>
      </c>
      <c r="E1" s="1" t="s">
        <v>11</v>
      </c>
      <c r="F1" s="7" t="s">
        <v>20</v>
      </c>
      <c r="G1" s="17">
        <f>D4/(2*D3)</f>
        <v>1485.8075040783035</v>
      </c>
      <c r="H1" s="1" t="s">
        <v>26</v>
      </c>
      <c r="J1" s="13"/>
    </row>
    <row r="2" spans="1:16">
      <c r="C2" s="18" t="s">
        <v>15</v>
      </c>
      <c r="D2" s="3">
        <v>384.9</v>
      </c>
      <c r="E2" s="3" t="s">
        <v>11</v>
      </c>
      <c r="F2" s="18" t="s">
        <v>21</v>
      </c>
      <c r="G2" s="3">
        <f>SQRT(1/(D3*D5))</f>
        <v>8244.4965742557415</v>
      </c>
      <c r="H2" s="3" t="s">
        <v>26</v>
      </c>
    </row>
    <row r="3" spans="1:16">
      <c r="C3" s="18" t="s">
        <v>16</v>
      </c>
      <c r="D3" s="16">
        <v>3.0649999999999999E-6</v>
      </c>
      <c r="E3" s="3" t="s">
        <v>17</v>
      </c>
      <c r="F3" s="18" t="s">
        <v>25</v>
      </c>
      <c r="G3" s="16">
        <v>1.705E-4</v>
      </c>
      <c r="H3" s="3" t="s">
        <v>27</v>
      </c>
    </row>
    <row r="4" spans="1:16">
      <c r="C4" s="18" t="s">
        <v>18</v>
      </c>
      <c r="D4" s="16">
        <v>9.1079999999999998E-3</v>
      </c>
      <c r="E4" s="3" t="s">
        <v>19</v>
      </c>
    </row>
    <row r="5" spans="1:16">
      <c r="C5" s="18" t="s">
        <v>22</v>
      </c>
      <c r="D5" s="16">
        <v>4.7999999999999996E-3</v>
      </c>
      <c r="E5" s="3" t="s">
        <v>23</v>
      </c>
    </row>
    <row r="6" spans="1:16" s="6" customFormat="1" ht="87.5">
      <c r="A6" s="2" t="s">
        <v>0</v>
      </c>
      <c r="B6" s="2" t="s">
        <v>5</v>
      </c>
      <c r="C6" s="2" t="s">
        <v>1</v>
      </c>
      <c r="D6" s="2" t="s">
        <v>2</v>
      </c>
      <c r="E6" s="2" t="s">
        <v>3</v>
      </c>
      <c r="F6" s="2" t="s">
        <v>9</v>
      </c>
      <c r="G6" s="2" t="s">
        <v>7</v>
      </c>
      <c r="H6" s="2" t="s">
        <v>8</v>
      </c>
      <c r="I6" s="2" t="s">
        <v>4</v>
      </c>
      <c r="J6" s="14"/>
      <c r="K6" s="5" t="s">
        <v>5</v>
      </c>
      <c r="L6" s="5" t="s">
        <v>13</v>
      </c>
      <c r="M6" s="5" t="s">
        <v>24</v>
      </c>
      <c r="N6" s="5" t="s">
        <v>14</v>
      </c>
      <c r="O6" s="6" t="s">
        <v>52</v>
      </c>
      <c r="P6" s="6" t="s">
        <v>54</v>
      </c>
    </row>
    <row r="7" spans="1:16">
      <c r="A7" s="2">
        <v>0</v>
      </c>
      <c r="B7" s="8">
        <v>0</v>
      </c>
      <c r="C7" s="5"/>
      <c r="D7" s="9"/>
      <c r="E7" s="10">
        <v>35013</v>
      </c>
      <c r="F7" s="12">
        <f>(0.2027*A7+1.2055)*1000</f>
        <v>1205.5</v>
      </c>
      <c r="G7" s="12">
        <f t="shared" ref="G7:G19" si="0">D7*157.4</f>
        <v>0</v>
      </c>
      <c r="H7" s="12">
        <f>C7*7.751*157.4</f>
        <v>0</v>
      </c>
      <c r="I7" s="9" t="e">
        <f>G7/H7</f>
        <v>#DIV/0!</v>
      </c>
    </row>
    <row r="8" spans="1:16">
      <c r="A8" s="8">
        <v>0</v>
      </c>
      <c r="B8" s="8">
        <v>930</v>
      </c>
      <c r="C8" s="11"/>
      <c r="D8" s="9"/>
      <c r="E8" s="10">
        <v>35013</v>
      </c>
      <c r="F8" s="12">
        <f t="shared" ref="F8:F19" si="1">(0.2027*A8+1.2055)*1000</f>
        <v>1205.5</v>
      </c>
      <c r="G8" s="12">
        <f t="shared" si="0"/>
        <v>0</v>
      </c>
      <c r="H8" s="12">
        <f t="shared" ref="H8:H19" si="2">C8*7.751*157.4</f>
        <v>0</v>
      </c>
      <c r="I8" s="9" t="e">
        <f t="shared" ref="I8:I19" si="3">G8/H8</f>
        <v>#DIV/0!</v>
      </c>
      <c r="K8" s="3">
        <f>B8-B7</f>
        <v>930</v>
      </c>
      <c r="L8" s="15">
        <f>F8</f>
        <v>1205.5</v>
      </c>
      <c r="M8" s="16">
        <f>8*F8/($D$3*SQRT($G$2^2-$G$1^2))</f>
        <v>388000.49790581595</v>
      </c>
      <c r="N8" s="16">
        <f>M8*(EXP(-$G$1*$G$3))*SIN(SQRT($G$2^2-$G$1^2)*$G$3)</f>
        <v>295856.77884028893</v>
      </c>
      <c r="O8" s="16">
        <f>1000*(D8*1000-228.75)*8/64.353</f>
        <v>-28436.902708498441</v>
      </c>
      <c r="P8" s="43" t="str">
        <f>IF(O8/N8&gt;0.5,O8/N8,"")</f>
        <v/>
      </c>
    </row>
    <row r="9" spans="1:16">
      <c r="A9" s="8">
        <v>0</v>
      </c>
      <c r="B9" s="8">
        <v>8201</v>
      </c>
      <c r="C9" s="11"/>
      <c r="D9" s="9"/>
      <c r="E9" s="10">
        <v>35013</v>
      </c>
      <c r="F9" s="12">
        <f t="shared" si="1"/>
        <v>1205.5</v>
      </c>
      <c r="G9" s="12">
        <f t="shared" si="0"/>
        <v>0</v>
      </c>
      <c r="H9" s="12">
        <f t="shared" si="2"/>
        <v>0</v>
      </c>
      <c r="I9" s="9" t="e">
        <f t="shared" si="3"/>
        <v>#DIV/0!</v>
      </c>
      <c r="K9" s="3">
        <f t="shared" ref="K9:K19" si="4">B9-B8</f>
        <v>7271</v>
      </c>
      <c r="L9" s="15">
        <f t="shared" ref="L9:L19" si="5">F9</f>
        <v>1205.5</v>
      </c>
      <c r="M9" s="16">
        <f t="shared" ref="M9:M19" si="6">8*F9/($D$3*SQRT($G$2^2-$G$1^2))</f>
        <v>388000.49790581595</v>
      </c>
      <c r="N9" s="16">
        <f t="shared" ref="N9:N19" si="7">M9*(EXP(-$G$1*$G$3))*SIN(SQRT($G$2^2-$G$1^2)*$G$3)</f>
        <v>295856.77884028893</v>
      </c>
      <c r="O9" s="16">
        <f t="shared" ref="O9:O18" si="8">1000*(D9*1000-228.75)*8/64.353</f>
        <v>-28436.902708498441</v>
      </c>
      <c r="P9" s="43" t="str">
        <f t="shared" ref="P9:P18" si="9">IF(O9/N9&gt;0.5,O9/N9,"")</f>
        <v/>
      </c>
    </row>
    <row r="10" spans="1:16">
      <c r="A10" s="8">
        <v>0</v>
      </c>
      <c r="B10" s="8">
        <v>0</v>
      </c>
      <c r="C10" s="11"/>
      <c r="D10" s="9"/>
      <c r="E10" s="10">
        <v>35014</v>
      </c>
      <c r="F10" s="12">
        <f>(0.2027*A10+1.2055)*1000</f>
        <v>1205.5</v>
      </c>
      <c r="G10" s="12">
        <f>D10*157.4</f>
        <v>0</v>
      </c>
      <c r="H10" s="12">
        <f>C10*7.751*157.4</f>
        <v>0</v>
      </c>
      <c r="I10" s="9" t="e">
        <f>G10/H10</f>
        <v>#DIV/0!</v>
      </c>
      <c r="K10" s="3">
        <v>0</v>
      </c>
      <c r="L10" s="15">
        <f>F10</f>
        <v>1205.5</v>
      </c>
      <c r="M10" s="16">
        <f>8*F10/($D$3*SQRT($G$2^2-$G$1^2))</f>
        <v>388000.49790581595</v>
      </c>
      <c r="N10" s="16">
        <f t="shared" si="7"/>
        <v>295856.77884028893</v>
      </c>
      <c r="O10" s="16">
        <f t="shared" si="8"/>
        <v>-28436.902708498441</v>
      </c>
      <c r="P10" s="43" t="str">
        <f t="shared" si="9"/>
        <v/>
      </c>
    </row>
    <row r="11" spans="1:16">
      <c r="A11" s="8">
        <v>0.4</v>
      </c>
      <c r="B11" s="8">
        <v>0</v>
      </c>
      <c r="C11" s="11"/>
      <c r="D11" s="9"/>
      <c r="E11" s="10">
        <v>35014</v>
      </c>
      <c r="F11" s="12">
        <f t="shared" si="1"/>
        <v>1286.5800000000002</v>
      </c>
      <c r="G11" s="12">
        <f t="shared" si="0"/>
        <v>0</v>
      </c>
      <c r="H11" s="12">
        <f t="shared" si="2"/>
        <v>0</v>
      </c>
      <c r="I11" s="9" t="e">
        <f t="shared" si="3"/>
        <v>#DIV/0!</v>
      </c>
      <c r="K11" s="3">
        <v>0</v>
      </c>
      <c r="L11" s="15">
        <f t="shared" si="5"/>
        <v>1286.5800000000002</v>
      </c>
      <c r="M11" s="16">
        <f t="shared" si="6"/>
        <v>414096.79020793422</v>
      </c>
      <c r="N11" s="16">
        <f t="shared" si="7"/>
        <v>315755.63211973367</v>
      </c>
      <c r="O11" s="16">
        <f t="shared" si="8"/>
        <v>-28436.902708498441</v>
      </c>
      <c r="P11" s="43" t="str">
        <f t="shared" si="9"/>
        <v/>
      </c>
    </row>
    <row r="12" spans="1:16">
      <c r="A12" s="8">
        <v>0.4</v>
      </c>
      <c r="B12" s="8">
        <v>9312</v>
      </c>
      <c r="C12" s="11"/>
      <c r="D12" s="9"/>
      <c r="E12" s="10">
        <v>35014</v>
      </c>
      <c r="F12" s="12">
        <f t="shared" si="1"/>
        <v>1286.5800000000002</v>
      </c>
      <c r="G12" s="12">
        <f t="shared" si="0"/>
        <v>0</v>
      </c>
      <c r="H12" s="12">
        <f t="shared" si="2"/>
        <v>0</v>
      </c>
      <c r="I12" s="9" t="e">
        <f t="shared" si="3"/>
        <v>#DIV/0!</v>
      </c>
      <c r="K12" s="3">
        <f t="shared" si="4"/>
        <v>9312</v>
      </c>
      <c r="L12" s="15">
        <f t="shared" si="5"/>
        <v>1286.5800000000002</v>
      </c>
      <c r="M12" s="16">
        <f t="shared" si="6"/>
        <v>414096.79020793422</v>
      </c>
      <c r="N12" s="16">
        <f t="shared" si="7"/>
        <v>315755.63211973367</v>
      </c>
      <c r="O12" s="16">
        <f t="shared" si="8"/>
        <v>-28436.902708498441</v>
      </c>
      <c r="P12" s="43" t="str">
        <f t="shared" si="9"/>
        <v/>
      </c>
    </row>
    <row r="13" spans="1:16">
      <c r="A13" s="8">
        <v>0.4</v>
      </c>
      <c r="B13" s="8">
        <v>11761</v>
      </c>
      <c r="C13" s="11"/>
      <c r="D13" s="9"/>
      <c r="E13" s="10">
        <v>35014</v>
      </c>
      <c r="F13" s="12">
        <f t="shared" si="1"/>
        <v>1286.5800000000002</v>
      </c>
      <c r="G13" s="12">
        <f>D13*157.4</f>
        <v>0</v>
      </c>
      <c r="H13" s="12">
        <f>C13*7.751*157.4</f>
        <v>0</v>
      </c>
      <c r="I13" s="9" t="e">
        <f>G13/H13</f>
        <v>#DIV/0!</v>
      </c>
      <c r="K13" s="3">
        <f t="shared" si="4"/>
        <v>2449</v>
      </c>
      <c r="L13" s="15">
        <f>F13</f>
        <v>1286.5800000000002</v>
      </c>
      <c r="M13" s="16">
        <f>8*F13/($D$3*SQRT($G$2^2-$G$1^2))</f>
        <v>414096.79020793422</v>
      </c>
      <c r="N13" s="16">
        <f t="shared" si="7"/>
        <v>315755.63211973367</v>
      </c>
      <c r="O13" s="16">
        <f t="shared" si="8"/>
        <v>-28436.902708498441</v>
      </c>
      <c r="P13" s="43" t="str">
        <f t="shared" si="9"/>
        <v/>
      </c>
    </row>
    <row r="14" spans="1:16">
      <c r="A14" s="8">
        <v>1.1000000000000001</v>
      </c>
      <c r="B14" s="8">
        <v>11761</v>
      </c>
      <c r="C14" s="11">
        <v>0.35</v>
      </c>
      <c r="D14" s="9">
        <v>3</v>
      </c>
      <c r="E14" s="10">
        <v>35014</v>
      </c>
      <c r="F14" s="12">
        <f t="shared" si="1"/>
        <v>1428.4699999999998</v>
      </c>
      <c r="G14" s="12">
        <f t="shared" si="0"/>
        <v>472.20000000000005</v>
      </c>
      <c r="H14" s="12">
        <f t="shared" si="2"/>
        <v>427.00259</v>
      </c>
      <c r="I14" s="9">
        <f t="shared" si="3"/>
        <v>1.1058480933335793</v>
      </c>
      <c r="K14" s="3">
        <f t="shared" si="4"/>
        <v>0</v>
      </c>
      <c r="L14" s="15">
        <f t="shared" si="5"/>
        <v>1428.4699999999998</v>
      </c>
      <c r="M14" s="16">
        <f t="shared" si="6"/>
        <v>459765.30173664103</v>
      </c>
      <c r="N14" s="16">
        <f t="shared" si="7"/>
        <v>350578.62535876187</v>
      </c>
      <c r="O14" s="16">
        <f t="shared" si="8"/>
        <v>344506.0836324647</v>
      </c>
      <c r="P14" s="43">
        <f t="shared" si="9"/>
        <v>0.98267851692303576</v>
      </c>
    </row>
    <row r="15" spans="1:16">
      <c r="A15" s="8">
        <v>1.1000000000000001</v>
      </c>
      <c r="B15" s="8">
        <v>43090</v>
      </c>
      <c r="C15" s="11">
        <v>0.35</v>
      </c>
      <c r="D15" s="9">
        <v>3</v>
      </c>
      <c r="E15" s="10">
        <v>35014</v>
      </c>
      <c r="F15" s="12">
        <f t="shared" si="1"/>
        <v>1428.4699999999998</v>
      </c>
      <c r="G15" s="12">
        <f t="shared" si="0"/>
        <v>472.20000000000005</v>
      </c>
      <c r="H15" s="12">
        <f t="shared" si="2"/>
        <v>427.00259</v>
      </c>
      <c r="I15" s="9">
        <f t="shared" si="3"/>
        <v>1.1058480933335793</v>
      </c>
      <c r="K15" s="3">
        <f t="shared" si="4"/>
        <v>31329</v>
      </c>
      <c r="L15" s="15">
        <f t="shared" si="5"/>
        <v>1428.4699999999998</v>
      </c>
      <c r="M15" s="16">
        <f t="shared" si="6"/>
        <v>459765.30173664103</v>
      </c>
      <c r="N15" s="16">
        <f t="shared" si="7"/>
        <v>350578.62535876187</v>
      </c>
      <c r="O15" s="16">
        <f t="shared" si="8"/>
        <v>344506.0836324647</v>
      </c>
      <c r="P15" s="43">
        <f t="shared" si="9"/>
        <v>0.98267851692303576</v>
      </c>
    </row>
    <row r="16" spans="1:16">
      <c r="A16" s="8">
        <v>4.2</v>
      </c>
      <c r="B16" s="8">
        <v>43090</v>
      </c>
      <c r="C16" s="11">
        <v>0.52</v>
      </c>
      <c r="D16" s="9">
        <v>4.5999999999999996</v>
      </c>
      <c r="E16" s="10">
        <v>35015</v>
      </c>
      <c r="F16" s="12">
        <f t="shared" si="1"/>
        <v>2056.84</v>
      </c>
      <c r="G16" s="12">
        <f>D16*157.4</f>
        <v>724.04</v>
      </c>
      <c r="H16" s="12">
        <f>C16*7.751*157.4</f>
        <v>634.40384800000004</v>
      </c>
      <c r="I16" s="9">
        <f>G16/H16</f>
        <v>1.1412919424788859</v>
      </c>
      <c r="K16" s="3">
        <f>B16-B15</f>
        <v>0</v>
      </c>
      <c r="L16" s="15">
        <f>F16</f>
        <v>2056.84</v>
      </c>
      <c r="M16" s="16">
        <f>8*F16/($D$3*SQRT($G$2^2-$G$1^2))</f>
        <v>662011.56707805768</v>
      </c>
      <c r="N16" s="16">
        <f t="shared" si="7"/>
        <v>504794.73827445868</v>
      </c>
      <c r="O16" s="16">
        <f t="shared" si="8"/>
        <v>543409.00968097837</v>
      </c>
      <c r="P16" s="43">
        <f t="shared" si="9"/>
        <v>1.0764949958442811</v>
      </c>
    </row>
    <row r="17" spans="1:16">
      <c r="A17" s="8">
        <v>4.2</v>
      </c>
      <c r="B17" s="8">
        <v>60800</v>
      </c>
      <c r="C17" s="11">
        <v>0.52</v>
      </c>
      <c r="D17" s="8">
        <v>4.5999999999999996</v>
      </c>
      <c r="E17" s="10">
        <v>35015</v>
      </c>
      <c r="F17" s="12">
        <f t="shared" si="1"/>
        <v>2056.84</v>
      </c>
      <c r="G17" s="12">
        <f t="shared" si="0"/>
        <v>724.04</v>
      </c>
      <c r="H17" s="12">
        <f t="shared" si="2"/>
        <v>634.40384800000004</v>
      </c>
      <c r="I17" s="9">
        <f t="shared" si="3"/>
        <v>1.1412919424788859</v>
      </c>
      <c r="K17" s="3">
        <f>B17-B16</f>
        <v>17710</v>
      </c>
      <c r="L17" s="15">
        <f t="shared" si="5"/>
        <v>2056.84</v>
      </c>
      <c r="M17" s="16">
        <f t="shared" si="6"/>
        <v>662011.56707805768</v>
      </c>
      <c r="N17" s="16">
        <f t="shared" si="7"/>
        <v>504794.73827445868</v>
      </c>
      <c r="O17" s="16">
        <f t="shared" si="8"/>
        <v>543409.00968097837</v>
      </c>
      <c r="P17" s="43">
        <f t="shared" si="9"/>
        <v>1.0764949958442811</v>
      </c>
    </row>
    <row r="18" spans="1:16">
      <c r="A18" s="8">
        <v>5.2</v>
      </c>
      <c r="B18" s="8">
        <v>60800</v>
      </c>
      <c r="C18" s="11">
        <v>0.57999999999999996</v>
      </c>
      <c r="D18" s="8">
        <v>5.0999999999999996</v>
      </c>
      <c r="E18" s="10">
        <v>35015</v>
      </c>
      <c r="F18" s="12">
        <f t="shared" si="1"/>
        <v>2259.5400000000004</v>
      </c>
      <c r="G18" s="12">
        <f>D18*157.4</f>
        <v>802.74</v>
      </c>
      <c r="H18" s="12">
        <f>C18*7.751*157.4</f>
        <v>707.60429199999999</v>
      </c>
      <c r="I18" s="9">
        <f>G18/H18</f>
        <v>1.134447612988758</v>
      </c>
      <c r="K18" s="3">
        <f t="shared" si="4"/>
        <v>0</v>
      </c>
      <c r="L18" s="15">
        <f>F18</f>
        <v>2259.5400000000004</v>
      </c>
      <c r="M18" s="16">
        <f>8*F18/($D$3*SQRT($G$2^2-$G$1^2))</f>
        <v>727252.2978333534</v>
      </c>
      <c r="N18" s="16">
        <f t="shared" si="7"/>
        <v>554541.87147307058</v>
      </c>
      <c r="O18" s="16">
        <f t="shared" si="8"/>
        <v>605566.17407113896</v>
      </c>
      <c r="P18" s="43">
        <f t="shared" si="9"/>
        <v>1.0920116319846664</v>
      </c>
    </row>
    <row r="19" spans="1:16">
      <c r="A19" s="8">
        <v>5.2</v>
      </c>
      <c r="B19" s="8">
        <v>71559</v>
      </c>
      <c r="C19" s="11">
        <v>0.57999999999999996</v>
      </c>
      <c r="D19" s="8">
        <v>5.0999999999999996</v>
      </c>
      <c r="E19" s="10">
        <v>35015</v>
      </c>
      <c r="F19" s="12">
        <f t="shared" si="1"/>
        <v>2259.5400000000004</v>
      </c>
      <c r="G19" s="12">
        <f t="shared" si="0"/>
        <v>802.74</v>
      </c>
      <c r="H19" s="12">
        <f t="shared" si="2"/>
        <v>707.60429199999999</v>
      </c>
      <c r="I19" s="9">
        <f t="shared" si="3"/>
        <v>1.134447612988758</v>
      </c>
      <c r="K19" s="3">
        <f t="shared" si="4"/>
        <v>10759</v>
      </c>
      <c r="L19" s="15">
        <f t="shared" si="5"/>
        <v>2259.5400000000004</v>
      </c>
      <c r="M19" s="16">
        <f t="shared" si="6"/>
        <v>727252.2978333534</v>
      </c>
      <c r="N19" s="16">
        <f t="shared" si="7"/>
        <v>554541.87147307058</v>
      </c>
      <c r="O19" s="16">
        <f>1000*(D19*1000-228.75)*8/64.353</f>
        <v>605566.17407113896</v>
      </c>
      <c r="P19" s="43">
        <f>IF(O19/N19&gt;0.5,O19/N19,"")</f>
        <v>1.0920116319846664</v>
      </c>
    </row>
    <row r="20" spans="1:16">
      <c r="A20" s="8"/>
      <c r="B20" s="4"/>
      <c r="E20" s="3" t="s">
        <v>12</v>
      </c>
      <c r="F20" s="15">
        <f>MAX(F7:F19)</f>
        <v>2259.5400000000004</v>
      </c>
      <c r="K20" s="3">
        <f>SUM(K8:K19)</f>
        <v>79760</v>
      </c>
      <c r="O20" s="3" t="s">
        <v>12</v>
      </c>
      <c r="P20" s="43">
        <f>MAX(P7:P19)</f>
        <v>1.0920116319846664</v>
      </c>
    </row>
    <row r="21" spans="1:16">
      <c r="O21" s="3" t="s">
        <v>53</v>
      </c>
      <c r="P21" s="43">
        <f>MIN(P7:P19)</f>
        <v>0.98267851692303576</v>
      </c>
    </row>
    <row r="24" spans="1:16" ht="37.5">
      <c r="A24" s="5" t="s">
        <v>5</v>
      </c>
      <c r="B24" s="5" t="s">
        <v>13</v>
      </c>
      <c r="C24" s="5" t="s">
        <v>24</v>
      </c>
      <c r="D24" s="5" t="s">
        <v>14</v>
      </c>
      <c r="J24" s="3"/>
      <c r="L24" s="13"/>
    </row>
    <row r="25" spans="1:16">
      <c r="J25" s="3"/>
      <c r="M25" s="13"/>
    </row>
    <row r="26" spans="1:16">
      <c r="A26" s="3">
        <v>8201</v>
      </c>
      <c r="B26" s="15">
        <v>1205.5</v>
      </c>
      <c r="C26" s="16">
        <v>388000.49790581595</v>
      </c>
      <c r="D26" s="16">
        <v>295856.77884028893</v>
      </c>
      <c r="J26" s="3"/>
      <c r="K26" s="13"/>
    </row>
    <row r="27" spans="1:16">
      <c r="A27" s="3">
        <v>11761</v>
      </c>
      <c r="B27" s="3">
        <v>1286.58</v>
      </c>
      <c r="C27" s="3">
        <v>414096.79020793422</v>
      </c>
      <c r="D27" s="3">
        <v>315755.63211973367</v>
      </c>
    </row>
    <row r="28" spans="1:16">
      <c r="A28" s="3">
        <v>31329</v>
      </c>
      <c r="B28" s="3">
        <v>1428.47</v>
      </c>
      <c r="C28" s="3">
        <v>459765.30173664103</v>
      </c>
      <c r="D28" s="3">
        <v>350578.62535876187</v>
      </c>
    </row>
    <row r="29" spans="1:16">
      <c r="A29" s="3">
        <v>17710</v>
      </c>
      <c r="B29" s="3">
        <v>2056.84</v>
      </c>
      <c r="C29" s="3">
        <v>662011.56707805768</v>
      </c>
      <c r="D29" s="3">
        <v>504794.73827445868</v>
      </c>
    </row>
    <row r="30" spans="1:16">
      <c r="A30" s="3">
        <v>10759</v>
      </c>
      <c r="B30" s="3">
        <v>2259.54</v>
      </c>
      <c r="C30" s="3">
        <v>727252.2978333534</v>
      </c>
      <c r="D30" s="3">
        <v>554541.87147307058</v>
      </c>
    </row>
    <row r="31" spans="1:16">
      <c r="A31" s="3">
        <f>SUM(A26:A30)</f>
        <v>79760</v>
      </c>
    </row>
  </sheetData>
  <phoneticPr fontId="0" type="noConversion"/>
  <pageMargins left="0.75" right="0.75" top="1" bottom="1" header="0.5" footer="0.5"/>
  <pageSetup scale="83" orientation="landscape" r:id="rId1"/>
  <headerFooter alignWithMargins="0"/>
  <drawing r:id="rId2"/>
  <legacyDrawing r:id="rId3"/>
  <oleObjects>
    <mc:AlternateContent xmlns:mc="http://schemas.openxmlformats.org/markup-compatibility/2006">
      <mc:Choice Requires="x14">
        <oleObject progId="Mathcad" shapeId="7169" r:id="rId4">
          <objectPr defaultSize="0" r:id="rId5">
            <anchor moveWithCells="1">
              <from>
                <xdr:col>8</xdr:col>
                <xdr:colOff>165100</xdr:colOff>
                <xdr:row>0</xdr:row>
                <xdr:rowOff>133350</xdr:rowOff>
              </from>
              <to>
                <xdr:col>9</xdr:col>
                <xdr:colOff>285750</xdr:colOff>
                <xdr:row>3</xdr:row>
                <xdr:rowOff>0</xdr:rowOff>
              </to>
            </anchor>
          </objectPr>
        </oleObject>
      </mc:Choice>
      <mc:Fallback>
        <oleObject progId="Mathcad" shapeId="7169" r:id="rId4"/>
      </mc:Fallback>
    </mc:AlternateContent>
    <mc:AlternateContent xmlns:mc="http://schemas.openxmlformats.org/markup-compatibility/2006">
      <mc:Choice Requires="x14">
        <oleObject progId="Mathcad" shapeId="7170" r:id="rId6">
          <objectPr defaultSize="0" r:id="rId7">
            <anchor moveWithCells="1">
              <from>
                <xdr:col>9</xdr:col>
                <xdr:colOff>539750</xdr:colOff>
                <xdr:row>1</xdr:row>
                <xdr:rowOff>31750</xdr:rowOff>
              </from>
              <to>
                <xdr:col>12</xdr:col>
                <xdr:colOff>50800</xdr:colOff>
                <xdr:row>2</xdr:row>
                <xdr:rowOff>127000</xdr:rowOff>
              </to>
            </anchor>
          </objectPr>
        </oleObject>
      </mc:Choice>
      <mc:Fallback>
        <oleObject progId="Mathcad" shapeId="7170" r:id="rId6"/>
      </mc:Fallback>
    </mc:AlternateContent>
  </oleObjec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P27"/>
  <sheetViews>
    <sheetView topLeftCell="D1" workbookViewId="0">
      <selection activeCell="N8" sqref="N8"/>
    </sheetView>
  </sheetViews>
  <sheetFormatPr defaultColWidth="9" defaultRowHeight="12.5"/>
  <cols>
    <col min="1" max="9" width="9" style="3"/>
    <col min="10" max="10" width="9.36328125" style="13" customWidth="1"/>
    <col min="11" max="16384" width="9" style="3"/>
  </cols>
  <sheetData>
    <row r="1" spans="1:16" s="1" customFormat="1">
      <c r="A1" s="1" t="s">
        <v>33</v>
      </c>
      <c r="C1" s="19" t="s">
        <v>10</v>
      </c>
      <c r="D1" s="1">
        <v>379</v>
      </c>
      <c r="E1" s="1" t="s">
        <v>11</v>
      </c>
      <c r="F1" s="7" t="s">
        <v>20</v>
      </c>
      <c r="G1" s="17">
        <f>D4/(2*D3)</f>
        <v>1485.8075040783035</v>
      </c>
      <c r="H1" s="1" t="s">
        <v>26</v>
      </c>
      <c r="J1" s="13"/>
    </row>
    <row r="2" spans="1:16">
      <c r="C2" s="18" t="s">
        <v>15</v>
      </c>
      <c r="D2" s="3">
        <v>384.9</v>
      </c>
      <c r="E2" s="3" t="s">
        <v>11</v>
      </c>
      <c r="F2" s="18" t="s">
        <v>21</v>
      </c>
      <c r="G2" s="3">
        <f>SQRT(1/(D3*D5))</f>
        <v>8244.4965742557415</v>
      </c>
      <c r="H2" s="3" t="s">
        <v>26</v>
      </c>
    </row>
    <row r="3" spans="1:16">
      <c r="C3" s="18" t="s">
        <v>16</v>
      </c>
      <c r="D3" s="16">
        <v>3.0649999999999999E-6</v>
      </c>
      <c r="E3" s="3" t="s">
        <v>17</v>
      </c>
      <c r="F3" s="18" t="s">
        <v>25</v>
      </c>
      <c r="G3" s="16">
        <v>1.705E-4</v>
      </c>
      <c r="H3" s="3" t="s">
        <v>27</v>
      </c>
    </row>
    <row r="4" spans="1:16">
      <c r="C4" s="18" t="s">
        <v>18</v>
      </c>
      <c r="D4" s="16">
        <v>9.1079999999999998E-3</v>
      </c>
      <c r="E4" s="3" t="s">
        <v>19</v>
      </c>
    </row>
    <row r="5" spans="1:16">
      <c r="C5" s="18" t="s">
        <v>22</v>
      </c>
      <c r="D5" s="16">
        <v>4.7999999999999996E-3</v>
      </c>
      <c r="E5" s="3" t="s">
        <v>23</v>
      </c>
    </row>
    <row r="6" spans="1:16" s="6" customFormat="1" ht="87.5">
      <c r="A6" s="2" t="s">
        <v>0</v>
      </c>
      <c r="B6" s="2" t="s">
        <v>5</v>
      </c>
      <c r="C6" s="2" t="s">
        <v>1</v>
      </c>
      <c r="D6" s="2" t="s">
        <v>2</v>
      </c>
      <c r="E6" s="2" t="s">
        <v>3</v>
      </c>
      <c r="F6" s="2" t="s">
        <v>9</v>
      </c>
      <c r="G6" s="2" t="s">
        <v>7</v>
      </c>
      <c r="H6" s="2" t="s">
        <v>8</v>
      </c>
      <c r="I6" s="2" t="s">
        <v>4</v>
      </c>
      <c r="J6" s="14"/>
      <c r="K6" s="5" t="s">
        <v>5</v>
      </c>
      <c r="L6" s="5" t="s">
        <v>13</v>
      </c>
      <c r="M6" s="5" t="s">
        <v>24</v>
      </c>
      <c r="N6" s="5" t="s">
        <v>14</v>
      </c>
      <c r="O6" s="6" t="s">
        <v>52</v>
      </c>
      <c r="P6" s="6" t="s">
        <v>54</v>
      </c>
    </row>
    <row r="7" spans="1:16">
      <c r="A7" s="2">
        <v>2</v>
      </c>
      <c r="B7" s="8">
        <v>1000</v>
      </c>
      <c r="C7" s="5"/>
      <c r="D7" s="9">
        <v>2.6</v>
      </c>
      <c r="E7" s="10">
        <v>35401</v>
      </c>
      <c r="F7" s="12">
        <f>(0.2027*A7+1.2055)*1000</f>
        <v>1610.9</v>
      </c>
      <c r="G7" s="12">
        <f t="shared" ref="G7:G18" si="0">D7*157.4</f>
        <v>409.24</v>
      </c>
      <c r="H7" s="12">
        <f>C7*7.751*157.4</f>
        <v>0</v>
      </c>
      <c r="I7" s="9" t="e">
        <f>G7/H7</f>
        <v>#DIV/0!</v>
      </c>
    </row>
    <row r="8" spans="1:16">
      <c r="A8" s="2">
        <v>2</v>
      </c>
      <c r="B8" s="8">
        <v>1000</v>
      </c>
      <c r="C8" s="5"/>
      <c r="D8" s="9">
        <v>2.6</v>
      </c>
      <c r="E8" s="10">
        <v>35401</v>
      </c>
      <c r="F8" s="12">
        <f>(0.2027*A8+1.2055)*1000</f>
        <v>1610.9</v>
      </c>
      <c r="G8" s="12">
        <f>D8*157.4</f>
        <v>409.24</v>
      </c>
      <c r="H8" s="12">
        <f>C8*7.751*157.4</f>
        <v>0</v>
      </c>
      <c r="I8" s="9" t="e">
        <f>G8/H8</f>
        <v>#DIV/0!</v>
      </c>
      <c r="K8" s="3">
        <f t="shared" ref="K8:K17" si="1">B8-B7</f>
        <v>0</v>
      </c>
      <c r="L8" s="15">
        <f t="shared" ref="L8:L17" si="2">F8</f>
        <v>1610.9</v>
      </c>
      <c r="M8" s="16">
        <f t="shared" ref="M8:M17" si="3">8*F8/($D$3*SQRT($G$2^2-$G$1^2))</f>
        <v>518481.95941640722</v>
      </c>
      <c r="N8" s="16">
        <f t="shared" ref="N8:N18" si="4">M8*(EXP(-$G$1*$G$3))*SIN(SQRT($G$2^2-$G$1^2)*$G$3)</f>
        <v>395351.04523751262</v>
      </c>
      <c r="O8" s="16">
        <f>1000*(D8*1000-228.75)*8/64.353</f>
        <v>294780.35212033632</v>
      </c>
      <c r="P8" s="43">
        <f>IF(O8/N8&gt;0.5,O8/N8,"")</f>
        <v>0.74561672637856047</v>
      </c>
    </row>
    <row r="9" spans="1:16">
      <c r="A9" s="8">
        <v>3.75</v>
      </c>
      <c r="B9" s="8">
        <v>1000</v>
      </c>
      <c r="C9" s="11">
        <v>0.48</v>
      </c>
      <c r="D9" s="9">
        <v>4.3</v>
      </c>
      <c r="E9" s="10">
        <v>35401</v>
      </c>
      <c r="F9" s="12">
        <f t="shared" ref="F9:F18" si="5">(0.2027*A9+1.2055)*1000</f>
        <v>1965.625</v>
      </c>
      <c r="G9" s="12">
        <f t="shared" si="0"/>
        <v>676.82</v>
      </c>
      <c r="H9" s="12">
        <f t="shared" ref="H9:H18" si="6">C9*7.751*157.4</f>
        <v>585.60355200000004</v>
      </c>
      <c r="I9" s="9">
        <f t="shared" ref="I9:I18" si="7">G9/H9</f>
        <v>1.1557648475465532</v>
      </c>
      <c r="K9" s="3">
        <f t="shared" si="1"/>
        <v>0</v>
      </c>
      <c r="L9" s="15">
        <f t="shared" si="2"/>
        <v>1965.625</v>
      </c>
      <c r="M9" s="16">
        <f t="shared" si="3"/>
        <v>632653.23823817458</v>
      </c>
      <c r="N9" s="16">
        <f t="shared" si="4"/>
        <v>482408.52833508328</v>
      </c>
      <c r="O9" s="16">
        <f t="shared" ref="O9:O18" si="8">1000*(D9*1000-228.75)*8/64.353</f>
        <v>506114.71104688209</v>
      </c>
      <c r="P9" s="43">
        <f t="shared" ref="P9:P18" si="9">IF(O9/N9&gt;0.5,O9/N9,"")</f>
        <v>1.0491413010329957</v>
      </c>
    </row>
    <row r="10" spans="1:16">
      <c r="A10" s="8">
        <v>3.75</v>
      </c>
      <c r="B10" s="8">
        <v>1650</v>
      </c>
      <c r="C10" s="11">
        <v>0.48</v>
      </c>
      <c r="D10" s="9">
        <v>4.3</v>
      </c>
      <c r="E10" s="10">
        <v>35401</v>
      </c>
      <c r="F10" s="12">
        <f t="shared" si="5"/>
        <v>1965.625</v>
      </c>
      <c r="G10" s="12">
        <f t="shared" si="0"/>
        <v>676.82</v>
      </c>
      <c r="H10" s="12">
        <f t="shared" si="6"/>
        <v>585.60355200000004</v>
      </c>
      <c r="I10" s="9">
        <f t="shared" si="7"/>
        <v>1.1557648475465532</v>
      </c>
      <c r="K10" s="3">
        <f t="shared" si="1"/>
        <v>650</v>
      </c>
      <c r="L10" s="15">
        <f t="shared" si="2"/>
        <v>1965.625</v>
      </c>
      <c r="M10" s="16">
        <f t="shared" si="3"/>
        <v>632653.23823817458</v>
      </c>
      <c r="N10" s="16">
        <f t="shared" si="4"/>
        <v>482408.52833508328</v>
      </c>
      <c r="O10" s="16">
        <f t="shared" si="8"/>
        <v>506114.71104688209</v>
      </c>
      <c r="P10" s="43">
        <f t="shared" si="9"/>
        <v>1.0491413010329957</v>
      </c>
    </row>
    <row r="11" spans="1:16">
      <c r="A11" s="8">
        <v>3.75</v>
      </c>
      <c r="B11" s="8">
        <v>1700</v>
      </c>
      <c r="C11" s="11">
        <v>0.48</v>
      </c>
      <c r="D11" s="9">
        <v>4.3</v>
      </c>
      <c r="E11" s="10">
        <v>35401</v>
      </c>
      <c r="F11" s="12">
        <f>(0.2027*A11+1.2055)*1000</f>
        <v>1965.625</v>
      </c>
      <c r="G11" s="12">
        <f>D11*157.4</f>
        <v>676.82</v>
      </c>
      <c r="H11" s="12">
        <f>C11*7.751*157.4</f>
        <v>585.60355200000004</v>
      </c>
      <c r="I11" s="9">
        <f>G11/H11</f>
        <v>1.1557648475465532</v>
      </c>
      <c r="K11" s="3">
        <f t="shared" si="1"/>
        <v>50</v>
      </c>
      <c r="L11" s="15">
        <f t="shared" si="2"/>
        <v>1965.625</v>
      </c>
      <c r="M11" s="16">
        <f t="shared" si="3"/>
        <v>632653.23823817458</v>
      </c>
      <c r="N11" s="16">
        <f t="shared" si="4"/>
        <v>482408.52833508328</v>
      </c>
      <c r="O11" s="16">
        <f t="shared" si="8"/>
        <v>506114.71104688209</v>
      </c>
      <c r="P11" s="43">
        <f t="shared" si="9"/>
        <v>1.0491413010329957</v>
      </c>
    </row>
    <row r="12" spans="1:16">
      <c r="A12" s="8">
        <v>0.4</v>
      </c>
      <c r="B12" s="8">
        <v>1700</v>
      </c>
      <c r="C12" s="11"/>
      <c r="D12" s="9">
        <v>3</v>
      </c>
      <c r="E12" s="10">
        <v>35401</v>
      </c>
      <c r="F12" s="12">
        <f t="shared" si="5"/>
        <v>1286.5800000000002</v>
      </c>
      <c r="G12" s="12">
        <f t="shared" si="0"/>
        <v>472.20000000000005</v>
      </c>
      <c r="H12" s="12">
        <f t="shared" si="6"/>
        <v>0</v>
      </c>
      <c r="I12" s="9" t="e">
        <f t="shared" si="7"/>
        <v>#DIV/0!</v>
      </c>
      <c r="K12" s="3">
        <f t="shared" si="1"/>
        <v>0</v>
      </c>
      <c r="L12" s="15">
        <f t="shared" si="2"/>
        <v>1286.5800000000002</v>
      </c>
      <c r="M12" s="16">
        <f t="shared" si="3"/>
        <v>414096.79020793422</v>
      </c>
      <c r="N12" s="16">
        <f t="shared" si="4"/>
        <v>315755.63211973367</v>
      </c>
      <c r="O12" s="16">
        <f t="shared" si="8"/>
        <v>344506.0836324647</v>
      </c>
      <c r="P12" s="43">
        <f t="shared" si="9"/>
        <v>1.0910528541319222</v>
      </c>
    </row>
    <row r="13" spans="1:16">
      <c r="A13" s="8">
        <v>0.4</v>
      </c>
      <c r="B13" s="8">
        <v>2133</v>
      </c>
      <c r="C13" s="11"/>
      <c r="D13" s="9">
        <v>3</v>
      </c>
      <c r="E13" s="10">
        <v>35401</v>
      </c>
      <c r="F13" s="12">
        <f>(0.2027*A13+1.2055)*1000</f>
        <v>1286.5800000000002</v>
      </c>
      <c r="G13" s="12">
        <f>D13*157.4</f>
        <v>472.20000000000005</v>
      </c>
      <c r="H13" s="12">
        <f>C13*7.751*157.4</f>
        <v>0</v>
      </c>
      <c r="I13" s="9" t="e">
        <f>G13/H13</f>
        <v>#DIV/0!</v>
      </c>
      <c r="K13" s="3">
        <f t="shared" si="1"/>
        <v>433</v>
      </c>
      <c r="L13" s="15">
        <f t="shared" si="2"/>
        <v>1286.5800000000002</v>
      </c>
      <c r="M13" s="16">
        <f t="shared" si="3"/>
        <v>414096.79020793422</v>
      </c>
      <c r="N13" s="16">
        <f t="shared" si="4"/>
        <v>315755.63211973367</v>
      </c>
      <c r="O13" s="16">
        <f t="shared" si="8"/>
        <v>344506.0836324647</v>
      </c>
      <c r="P13" s="43">
        <f t="shared" si="9"/>
        <v>1.0910528541319222</v>
      </c>
    </row>
    <row r="14" spans="1:16">
      <c r="A14" s="8">
        <v>3.75</v>
      </c>
      <c r="B14" s="8">
        <v>2133</v>
      </c>
      <c r="C14" s="11">
        <v>0.48</v>
      </c>
      <c r="D14" s="9">
        <v>4.3</v>
      </c>
      <c r="E14" s="10">
        <v>35401</v>
      </c>
      <c r="F14" s="12">
        <f t="shared" si="5"/>
        <v>1965.625</v>
      </c>
      <c r="G14" s="12">
        <f t="shared" si="0"/>
        <v>676.82</v>
      </c>
      <c r="H14" s="12">
        <f t="shared" si="6"/>
        <v>585.60355200000004</v>
      </c>
      <c r="I14" s="9">
        <f t="shared" si="7"/>
        <v>1.1557648475465532</v>
      </c>
      <c r="K14" s="3">
        <f t="shared" si="1"/>
        <v>0</v>
      </c>
      <c r="L14" s="15">
        <f t="shared" si="2"/>
        <v>1965.625</v>
      </c>
      <c r="M14" s="16">
        <f t="shared" si="3"/>
        <v>632653.23823817458</v>
      </c>
      <c r="N14" s="16">
        <f t="shared" si="4"/>
        <v>482408.52833508328</v>
      </c>
      <c r="O14" s="16">
        <f t="shared" si="8"/>
        <v>506114.71104688209</v>
      </c>
      <c r="P14" s="43">
        <f t="shared" si="9"/>
        <v>1.0491413010329957</v>
      </c>
    </row>
    <row r="15" spans="1:16">
      <c r="A15" s="8">
        <v>3.75</v>
      </c>
      <c r="B15" s="8">
        <v>27500</v>
      </c>
      <c r="C15" s="11">
        <v>0.48</v>
      </c>
      <c r="D15" s="9">
        <v>4.3</v>
      </c>
      <c r="E15" s="10">
        <v>35402</v>
      </c>
      <c r="F15" s="12">
        <f t="shared" si="5"/>
        <v>1965.625</v>
      </c>
      <c r="G15" s="12">
        <f t="shared" si="0"/>
        <v>676.82</v>
      </c>
      <c r="H15" s="12">
        <f t="shared" si="6"/>
        <v>585.60355200000004</v>
      </c>
      <c r="I15" s="9">
        <f t="shared" si="7"/>
        <v>1.1557648475465532</v>
      </c>
      <c r="K15" s="3">
        <f t="shared" si="1"/>
        <v>25367</v>
      </c>
      <c r="L15" s="15">
        <f t="shared" si="2"/>
        <v>1965.625</v>
      </c>
      <c r="M15" s="16">
        <f t="shared" si="3"/>
        <v>632653.23823817458</v>
      </c>
      <c r="N15" s="16">
        <f t="shared" si="4"/>
        <v>482408.52833508328</v>
      </c>
      <c r="O15" s="16">
        <f t="shared" si="8"/>
        <v>506114.71104688209</v>
      </c>
      <c r="P15" s="43">
        <f t="shared" si="9"/>
        <v>1.0491413010329957</v>
      </c>
    </row>
    <row r="16" spans="1:16">
      <c r="A16" s="8">
        <v>3.75</v>
      </c>
      <c r="B16" s="8">
        <v>46700</v>
      </c>
      <c r="C16" s="11">
        <v>0.48</v>
      </c>
      <c r="D16" s="9">
        <v>4.3</v>
      </c>
      <c r="E16" s="10">
        <v>35403</v>
      </c>
      <c r="F16" s="12">
        <f>(0.2027*A16+1.2055)*1000</f>
        <v>1965.625</v>
      </c>
      <c r="G16" s="12">
        <f>D16*157.4</f>
        <v>676.82</v>
      </c>
      <c r="H16" s="12">
        <f>C16*7.751*157.4</f>
        <v>585.60355200000004</v>
      </c>
      <c r="I16" s="9">
        <f>G16/H16</f>
        <v>1.1557648475465532</v>
      </c>
      <c r="K16" s="3">
        <f t="shared" si="1"/>
        <v>19200</v>
      </c>
      <c r="L16" s="15">
        <f t="shared" si="2"/>
        <v>1965.625</v>
      </c>
      <c r="M16" s="16">
        <f t="shared" si="3"/>
        <v>632653.23823817458</v>
      </c>
      <c r="N16" s="16">
        <f t="shared" si="4"/>
        <v>482408.52833508328</v>
      </c>
      <c r="O16" s="16">
        <f t="shared" si="8"/>
        <v>506114.71104688209</v>
      </c>
      <c r="P16" s="43">
        <f t="shared" si="9"/>
        <v>1.0491413010329957</v>
      </c>
    </row>
    <row r="17" spans="1:16">
      <c r="A17" s="8">
        <v>4.5</v>
      </c>
      <c r="B17" s="8">
        <v>46700</v>
      </c>
      <c r="C17" s="11">
        <v>0.53</v>
      </c>
      <c r="D17" s="9">
        <v>4.7</v>
      </c>
      <c r="E17" s="10">
        <v>35403</v>
      </c>
      <c r="F17" s="12">
        <f t="shared" si="5"/>
        <v>2117.65</v>
      </c>
      <c r="G17" s="12">
        <f t="shared" si="0"/>
        <v>739.78000000000009</v>
      </c>
      <c r="H17" s="12">
        <f t="shared" si="6"/>
        <v>646.60392200000013</v>
      </c>
      <c r="I17" s="9">
        <f t="shared" si="7"/>
        <v>1.144100700335684</v>
      </c>
      <c r="K17" s="3">
        <f t="shared" si="1"/>
        <v>0</v>
      </c>
      <c r="L17" s="15">
        <f t="shared" si="2"/>
        <v>2117.65</v>
      </c>
      <c r="M17" s="16">
        <f t="shared" si="3"/>
        <v>681583.78630464629</v>
      </c>
      <c r="N17" s="16">
        <f t="shared" si="4"/>
        <v>519718.87823404215</v>
      </c>
      <c r="O17" s="16">
        <f t="shared" si="8"/>
        <v>555840.44255901047</v>
      </c>
      <c r="P17" s="43">
        <f t="shared" si="9"/>
        <v>1.0695021209306581</v>
      </c>
    </row>
    <row r="18" spans="1:16">
      <c r="A18" s="8">
        <v>4.5</v>
      </c>
      <c r="B18" s="8">
        <v>100000</v>
      </c>
      <c r="C18" s="11">
        <v>0.53</v>
      </c>
      <c r="D18" s="8">
        <v>4.7</v>
      </c>
      <c r="E18" s="10">
        <v>35405</v>
      </c>
      <c r="F18" s="12">
        <f t="shared" si="5"/>
        <v>2117.65</v>
      </c>
      <c r="G18" s="12">
        <f t="shared" si="0"/>
        <v>739.78000000000009</v>
      </c>
      <c r="H18" s="12">
        <f t="shared" si="6"/>
        <v>646.60392200000013</v>
      </c>
      <c r="I18" s="9">
        <f t="shared" si="7"/>
        <v>1.144100700335684</v>
      </c>
      <c r="K18" s="3">
        <f>B18-B17</f>
        <v>53300</v>
      </c>
      <c r="L18" s="15">
        <f>F18</f>
        <v>2117.65</v>
      </c>
      <c r="M18" s="16">
        <f>8*F18/($D$3*SQRT($G$2^2-$G$1^2))</f>
        <v>681583.78630464629</v>
      </c>
      <c r="N18" s="16">
        <f t="shared" si="4"/>
        <v>519718.87823404215</v>
      </c>
      <c r="O18" s="16">
        <f t="shared" si="8"/>
        <v>555840.44255901047</v>
      </c>
      <c r="P18" s="43">
        <f t="shared" si="9"/>
        <v>1.0695021209306581</v>
      </c>
    </row>
    <row r="19" spans="1:16">
      <c r="A19" s="8"/>
      <c r="B19" s="4"/>
      <c r="E19" s="3" t="s">
        <v>12</v>
      </c>
      <c r="F19" s="15">
        <f>MAX(F7:F18)</f>
        <v>2117.65</v>
      </c>
      <c r="K19" s="3">
        <f>SUM(K8:K18)</f>
        <v>99000</v>
      </c>
      <c r="O19" s="3" t="s">
        <v>12</v>
      </c>
      <c r="P19" s="43">
        <f>MAX(P7:P18)</f>
        <v>1.0910528541319222</v>
      </c>
    </row>
    <row r="20" spans="1:16">
      <c r="O20" s="3" t="s">
        <v>53</v>
      </c>
      <c r="P20" s="43">
        <f>MIN(P7:P18)</f>
        <v>0.74561672637856047</v>
      </c>
    </row>
    <row r="23" spans="1:16">
      <c r="A23" s="3" t="s">
        <v>5</v>
      </c>
      <c r="B23" s="3" t="s">
        <v>13</v>
      </c>
      <c r="C23" s="3" t="s">
        <v>24</v>
      </c>
      <c r="D23" s="3" t="s">
        <v>14</v>
      </c>
      <c r="J23" s="3"/>
      <c r="K23" s="13"/>
    </row>
    <row r="24" spans="1:16">
      <c r="A24" s="3">
        <v>433</v>
      </c>
      <c r="B24" s="3">
        <v>1286.58</v>
      </c>
      <c r="C24" s="3">
        <v>414096.79020793422</v>
      </c>
      <c r="D24" s="3">
        <v>315755.63211973367</v>
      </c>
      <c r="J24" s="3"/>
      <c r="L24" s="13"/>
    </row>
    <row r="25" spans="1:16">
      <c r="A25" s="3">
        <v>1000</v>
      </c>
      <c r="B25" s="15">
        <v>1610.9</v>
      </c>
      <c r="C25" s="15">
        <v>518481.95941640722</v>
      </c>
      <c r="D25" s="15">
        <v>395351.04523751262</v>
      </c>
    </row>
    <row r="26" spans="1:16">
      <c r="A26" s="3">
        <v>45267</v>
      </c>
      <c r="B26" s="3">
        <v>1965.625</v>
      </c>
      <c r="C26" s="3">
        <v>632653.23823817458</v>
      </c>
      <c r="D26" s="3">
        <v>482408.52833508328</v>
      </c>
    </row>
    <row r="27" spans="1:16">
      <c r="A27" s="3">
        <v>53300</v>
      </c>
      <c r="B27" s="3">
        <v>2117.65</v>
      </c>
      <c r="C27" s="3">
        <v>681583.78630464629</v>
      </c>
      <c r="D27" s="3">
        <v>519718.87823404215</v>
      </c>
    </row>
  </sheetData>
  <phoneticPr fontId="0" type="noConversion"/>
  <pageMargins left="0.75" right="0.75" top="1" bottom="1" header="0.5" footer="0.5"/>
  <pageSetup scale="83" orientation="landscape" horizontalDpi="355" verticalDpi="355" r:id="rId1"/>
  <headerFooter alignWithMargins="0"/>
  <drawing r:id="rId2"/>
  <legacyDrawing r:id="rId3"/>
  <oleObjects>
    <mc:AlternateContent xmlns:mc="http://schemas.openxmlformats.org/markup-compatibility/2006">
      <mc:Choice Requires="x14">
        <oleObject progId="Mathcad" shapeId="6145" r:id="rId4">
          <objectPr defaultSize="0" r:id="rId5">
            <anchor moveWithCells="1">
              <from>
                <xdr:col>8</xdr:col>
                <xdr:colOff>165100</xdr:colOff>
                <xdr:row>0</xdr:row>
                <xdr:rowOff>133350</xdr:rowOff>
              </from>
              <to>
                <xdr:col>9</xdr:col>
                <xdr:colOff>285750</xdr:colOff>
                <xdr:row>3</xdr:row>
                <xdr:rowOff>0</xdr:rowOff>
              </to>
            </anchor>
          </objectPr>
        </oleObject>
      </mc:Choice>
      <mc:Fallback>
        <oleObject progId="Mathcad" shapeId="6145" r:id="rId4"/>
      </mc:Fallback>
    </mc:AlternateContent>
    <mc:AlternateContent xmlns:mc="http://schemas.openxmlformats.org/markup-compatibility/2006">
      <mc:Choice Requires="x14">
        <oleObject progId="Mathcad" shapeId="6146" r:id="rId6">
          <objectPr defaultSize="0" r:id="rId7">
            <anchor moveWithCells="1">
              <from>
                <xdr:col>9</xdr:col>
                <xdr:colOff>539750</xdr:colOff>
                <xdr:row>1</xdr:row>
                <xdr:rowOff>31750</xdr:rowOff>
              </from>
              <to>
                <xdr:col>12</xdr:col>
                <xdr:colOff>50800</xdr:colOff>
                <xdr:row>2</xdr:row>
                <xdr:rowOff>127000</xdr:rowOff>
              </to>
            </anchor>
          </objectPr>
        </oleObject>
      </mc:Choice>
      <mc:Fallback>
        <oleObject progId="Mathcad" shapeId="6146" r:id="rId6"/>
      </mc:Fallback>
    </mc:AlternateContent>
  </oleObjec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P34"/>
  <sheetViews>
    <sheetView topLeftCell="D6" workbookViewId="0">
      <selection activeCell="O6" sqref="O6:P28"/>
    </sheetView>
  </sheetViews>
  <sheetFormatPr defaultColWidth="9" defaultRowHeight="12.5"/>
  <cols>
    <col min="1" max="9" width="9" style="3"/>
    <col min="10" max="10" width="9.36328125" style="13" customWidth="1"/>
    <col min="11" max="16384" width="9" style="3"/>
  </cols>
  <sheetData>
    <row r="1" spans="1:16" s="1" customFormat="1">
      <c r="A1" s="1" t="s">
        <v>29</v>
      </c>
      <c r="C1" s="19" t="s">
        <v>10</v>
      </c>
      <c r="D1" s="1">
        <v>382</v>
      </c>
      <c r="E1" s="1" t="s">
        <v>11</v>
      </c>
      <c r="F1" s="7" t="s">
        <v>20</v>
      </c>
      <c r="G1" s="17">
        <f>D4/(2*D3)</f>
        <v>1485.8075040783035</v>
      </c>
      <c r="H1" s="1" t="s">
        <v>26</v>
      </c>
      <c r="J1" s="13"/>
    </row>
    <row r="2" spans="1:16">
      <c r="C2" s="18" t="s">
        <v>15</v>
      </c>
      <c r="D2" s="3">
        <v>384.9</v>
      </c>
      <c r="E2" s="3" t="s">
        <v>11</v>
      </c>
      <c r="F2" s="18" t="s">
        <v>21</v>
      </c>
      <c r="G2" s="3">
        <f>SQRT(1/(D3*D5))</f>
        <v>8244.4965742557415</v>
      </c>
      <c r="H2" s="3" t="s">
        <v>26</v>
      </c>
    </row>
    <row r="3" spans="1:16">
      <c r="C3" s="18" t="s">
        <v>16</v>
      </c>
      <c r="D3" s="16">
        <v>3.0649999999999999E-6</v>
      </c>
      <c r="E3" s="3" t="s">
        <v>17</v>
      </c>
      <c r="F3" s="18" t="s">
        <v>25</v>
      </c>
      <c r="G3" s="16">
        <v>1.705E-4</v>
      </c>
      <c r="H3" s="3" t="s">
        <v>27</v>
      </c>
    </row>
    <row r="4" spans="1:16">
      <c r="C4" s="18" t="s">
        <v>18</v>
      </c>
      <c r="D4" s="16">
        <v>9.1079999999999998E-3</v>
      </c>
      <c r="E4" s="3" t="s">
        <v>19</v>
      </c>
    </row>
    <row r="5" spans="1:16">
      <c r="C5" s="18" t="s">
        <v>22</v>
      </c>
      <c r="D5" s="16">
        <v>4.7999999999999996E-3</v>
      </c>
      <c r="E5" s="3" t="s">
        <v>23</v>
      </c>
    </row>
    <row r="6" spans="1:16" s="6" customFormat="1" ht="87.5">
      <c r="A6" s="2" t="s">
        <v>0</v>
      </c>
      <c r="B6" s="2" t="s">
        <v>5</v>
      </c>
      <c r="C6" s="2" t="s">
        <v>1</v>
      </c>
      <c r="D6" s="2" t="s">
        <v>2</v>
      </c>
      <c r="E6" s="2" t="s">
        <v>3</v>
      </c>
      <c r="F6" s="2" t="s">
        <v>9</v>
      </c>
      <c r="G6" s="2" t="s">
        <v>7</v>
      </c>
      <c r="H6" s="2" t="s">
        <v>8</v>
      </c>
      <c r="I6" s="2" t="s">
        <v>4</v>
      </c>
      <c r="J6" s="14"/>
      <c r="K6" s="5" t="s">
        <v>5</v>
      </c>
      <c r="L6" s="5" t="s">
        <v>13</v>
      </c>
      <c r="M6" s="5" t="s">
        <v>24</v>
      </c>
      <c r="N6" s="5" t="s">
        <v>14</v>
      </c>
      <c r="O6" s="6" t="s">
        <v>52</v>
      </c>
      <c r="P6" s="6" t="s">
        <v>54</v>
      </c>
    </row>
    <row r="7" spans="1:16">
      <c r="A7" s="2">
        <v>0</v>
      </c>
      <c r="B7" s="8">
        <v>0</v>
      </c>
      <c r="C7" s="5">
        <v>0.34</v>
      </c>
      <c r="D7" s="9">
        <v>2.6</v>
      </c>
      <c r="E7" s="10">
        <v>35775</v>
      </c>
      <c r="F7" s="12">
        <f>(0.2027*A7+1.2055)*1000</f>
        <v>1205.5</v>
      </c>
      <c r="G7" s="12">
        <f>D7*157.4</f>
        <v>409.24</v>
      </c>
      <c r="H7" s="12">
        <f>C7*7.751*157.4</f>
        <v>414.80251600000003</v>
      </c>
      <c r="I7" s="9">
        <f>G7/H7</f>
        <v>0.98658996562113421</v>
      </c>
      <c r="L7" s="15">
        <f>F7</f>
        <v>1205.5</v>
      </c>
      <c r="M7" s="16">
        <f>8*F7/($D$3*SQRT($G$2^2-$G$1^2))</f>
        <v>388000.49790581595</v>
      </c>
      <c r="N7" s="16">
        <f t="shared" ref="N7:N25" si="0">M7*(EXP(-$G$1*$G$3))*SIN(SQRT($G$2^2-$G$1^2)*$G$3)</f>
        <v>295856.77884028893</v>
      </c>
    </row>
    <row r="8" spans="1:16">
      <c r="A8" s="8">
        <v>0</v>
      </c>
      <c r="B8" s="8">
        <v>710</v>
      </c>
      <c r="C8" s="11">
        <v>0.34</v>
      </c>
      <c r="D8" s="9">
        <v>2.6</v>
      </c>
      <c r="E8" s="10">
        <v>35775</v>
      </c>
      <c r="F8" s="12">
        <f t="shared" ref="F8:F24" si="1">(0.2027*A8+1.2055)*1000</f>
        <v>1205.5</v>
      </c>
      <c r="G8" s="12">
        <f t="shared" ref="G8:G24" si="2">D8*157.4</f>
        <v>409.24</v>
      </c>
      <c r="H8" s="12">
        <f t="shared" ref="H8:H24" si="3">C8*7.751*157.4</f>
        <v>414.80251600000003</v>
      </c>
      <c r="I8" s="9">
        <f t="shared" ref="I8:I24" si="4">G8/H8</f>
        <v>0.98658996562113421</v>
      </c>
      <c r="K8" s="3">
        <f>B8-B7</f>
        <v>710</v>
      </c>
      <c r="L8" s="15">
        <f>F8</f>
        <v>1205.5</v>
      </c>
      <c r="M8" s="16">
        <f>8*F8/($D$3*SQRT($G$2^2-$G$1^2))</f>
        <v>388000.49790581595</v>
      </c>
      <c r="N8" s="16">
        <f t="shared" si="0"/>
        <v>295856.77884028893</v>
      </c>
      <c r="O8" s="16">
        <f>1000*(D8*1000-228.75)*8/64.353</f>
        <v>294780.35212033632</v>
      </c>
      <c r="P8" s="43">
        <f>IF(O8/N8&gt;0.5,O8/N8,"")</f>
        <v>0.99636166281478478</v>
      </c>
    </row>
    <row r="9" spans="1:16">
      <c r="A9" s="8">
        <v>0</v>
      </c>
      <c r="B9" s="8">
        <v>1623</v>
      </c>
      <c r="C9" s="11">
        <v>0.34</v>
      </c>
      <c r="D9" s="9">
        <v>2.6</v>
      </c>
      <c r="E9" s="10">
        <v>35775</v>
      </c>
      <c r="F9" s="12">
        <f t="shared" si="1"/>
        <v>1205.5</v>
      </c>
      <c r="G9" s="12">
        <f t="shared" si="2"/>
        <v>409.24</v>
      </c>
      <c r="H9" s="12">
        <f t="shared" si="3"/>
        <v>414.80251600000003</v>
      </c>
      <c r="I9" s="9">
        <f t="shared" si="4"/>
        <v>0.98658996562113421</v>
      </c>
      <c r="K9" s="3">
        <f t="shared" ref="K9:K25" si="5">B9-B8</f>
        <v>913</v>
      </c>
      <c r="L9" s="15">
        <f t="shared" ref="L9:L25" si="6">F9</f>
        <v>1205.5</v>
      </c>
      <c r="M9" s="16">
        <f t="shared" ref="M9:M25" si="7">8*F9/($D$3*SQRT($G$2^2-$G$1^2))</f>
        <v>388000.49790581595</v>
      </c>
      <c r="N9" s="16">
        <f t="shared" si="0"/>
        <v>295856.77884028893</v>
      </c>
      <c r="O9" s="16">
        <f t="shared" ref="O9:O21" si="8">1000*(D9*1000-228.75)*8/64.353</f>
        <v>294780.35212033632</v>
      </c>
      <c r="P9" s="43">
        <f t="shared" ref="P9:P21" si="9">IF(O9/N9&gt;0.5,O9/N9,"")</f>
        <v>0.99636166281478478</v>
      </c>
    </row>
    <row r="10" spans="1:16">
      <c r="A10" s="8">
        <v>2.8</v>
      </c>
      <c r="B10" s="8">
        <v>1623</v>
      </c>
      <c r="C10" s="11">
        <v>0.52</v>
      </c>
      <c r="D10" s="9">
        <v>3.92</v>
      </c>
      <c r="E10" s="10">
        <v>35775</v>
      </c>
      <c r="F10" s="12">
        <f t="shared" si="1"/>
        <v>1773.0600000000002</v>
      </c>
      <c r="G10" s="12">
        <f t="shared" si="2"/>
        <v>617.00800000000004</v>
      </c>
      <c r="H10" s="12">
        <f t="shared" si="3"/>
        <v>634.40384800000004</v>
      </c>
      <c r="I10" s="9">
        <f t="shared" si="4"/>
        <v>0.97257922054722468</v>
      </c>
      <c r="K10" s="3">
        <f t="shared" si="5"/>
        <v>0</v>
      </c>
      <c r="L10" s="15">
        <f t="shared" si="6"/>
        <v>1773.0600000000002</v>
      </c>
      <c r="M10" s="16">
        <f t="shared" si="7"/>
        <v>570674.54402064381</v>
      </c>
      <c r="N10" s="16">
        <f t="shared" si="0"/>
        <v>435148.7517964021</v>
      </c>
      <c r="O10" s="16">
        <f t="shared" si="8"/>
        <v>458875.2661103601</v>
      </c>
      <c r="P10" s="43">
        <f t="shared" si="9"/>
        <v>1.0545250657758043</v>
      </c>
    </row>
    <row r="11" spans="1:16">
      <c r="A11" s="8">
        <v>2.8</v>
      </c>
      <c r="B11" s="8">
        <v>27420</v>
      </c>
      <c r="C11" s="11">
        <v>0.52</v>
      </c>
      <c r="D11" s="9">
        <v>3.92</v>
      </c>
      <c r="E11" s="10">
        <v>35776</v>
      </c>
      <c r="F11" s="12">
        <f t="shared" si="1"/>
        <v>1773.0600000000002</v>
      </c>
      <c r="G11" s="12">
        <f t="shared" si="2"/>
        <v>617.00800000000004</v>
      </c>
      <c r="H11" s="12">
        <f t="shared" si="3"/>
        <v>634.40384800000004</v>
      </c>
      <c r="I11" s="9">
        <f t="shared" si="4"/>
        <v>0.97257922054722468</v>
      </c>
      <c r="K11" s="3">
        <f t="shared" si="5"/>
        <v>25797</v>
      </c>
      <c r="L11" s="15">
        <f t="shared" si="6"/>
        <v>1773.0600000000002</v>
      </c>
      <c r="M11" s="16">
        <f t="shared" si="7"/>
        <v>570674.54402064381</v>
      </c>
      <c r="N11" s="16">
        <f t="shared" si="0"/>
        <v>435148.7517964021</v>
      </c>
      <c r="O11" s="16">
        <f t="shared" si="8"/>
        <v>458875.2661103601</v>
      </c>
      <c r="P11" s="43">
        <f t="shared" si="9"/>
        <v>1.0545250657758043</v>
      </c>
    </row>
    <row r="12" spans="1:16">
      <c r="A12" s="8">
        <v>2.8</v>
      </c>
      <c r="B12" s="8">
        <v>31200</v>
      </c>
      <c r="C12" s="11">
        <v>0.52</v>
      </c>
      <c r="D12" s="9">
        <v>3.92</v>
      </c>
      <c r="E12" s="10">
        <v>37602</v>
      </c>
      <c r="F12" s="12">
        <f t="shared" si="1"/>
        <v>1773.0600000000002</v>
      </c>
      <c r="G12" s="12">
        <f t="shared" si="2"/>
        <v>617.00800000000004</v>
      </c>
      <c r="H12" s="12">
        <f t="shared" si="3"/>
        <v>634.40384800000004</v>
      </c>
      <c r="I12" s="9">
        <f t="shared" si="4"/>
        <v>0.97257922054722468</v>
      </c>
      <c r="K12" s="3">
        <f t="shared" si="5"/>
        <v>3780</v>
      </c>
      <c r="L12" s="15">
        <f t="shared" si="6"/>
        <v>1773.0600000000002</v>
      </c>
      <c r="M12" s="16">
        <f t="shared" si="7"/>
        <v>570674.54402064381</v>
      </c>
      <c r="N12" s="16">
        <f t="shared" si="0"/>
        <v>435148.7517964021</v>
      </c>
      <c r="O12" s="16">
        <f t="shared" si="8"/>
        <v>458875.2661103601</v>
      </c>
      <c r="P12" s="43">
        <f t="shared" si="9"/>
        <v>1.0545250657758043</v>
      </c>
    </row>
    <row r="13" spans="1:16">
      <c r="A13" s="8">
        <v>5.15</v>
      </c>
      <c r="B13" s="8">
        <v>31200</v>
      </c>
      <c r="C13" s="11">
        <v>0.66</v>
      </c>
      <c r="D13" s="9">
        <v>4.96</v>
      </c>
      <c r="E13" s="10">
        <v>35776</v>
      </c>
      <c r="F13" s="12">
        <f t="shared" si="1"/>
        <v>2249.4050000000002</v>
      </c>
      <c r="G13" s="12">
        <f t="shared" si="2"/>
        <v>780.70400000000006</v>
      </c>
      <c r="H13" s="12">
        <f t="shared" si="3"/>
        <v>805.20488399999999</v>
      </c>
      <c r="I13" s="9">
        <f t="shared" si="4"/>
        <v>0.96957186365004722</v>
      </c>
      <c r="K13" s="3">
        <f t="shared" si="5"/>
        <v>0</v>
      </c>
      <c r="L13" s="15">
        <f t="shared" si="6"/>
        <v>2249.4050000000002</v>
      </c>
      <c r="M13" s="16">
        <f t="shared" si="7"/>
        <v>723990.26129558845</v>
      </c>
      <c r="N13" s="16">
        <f t="shared" si="0"/>
        <v>552054.51481313992</v>
      </c>
      <c r="O13" s="16">
        <f t="shared" si="8"/>
        <v>588162.16804189398</v>
      </c>
      <c r="P13" s="43">
        <f t="shared" si="9"/>
        <v>1.0654059558610363</v>
      </c>
    </row>
    <row r="14" spans="1:16">
      <c r="A14" s="8">
        <v>5.15</v>
      </c>
      <c r="B14" s="8">
        <v>33500</v>
      </c>
      <c r="C14" s="11">
        <v>0.66</v>
      </c>
      <c r="D14" s="9">
        <v>4.96</v>
      </c>
      <c r="E14" s="10">
        <v>35779</v>
      </c>
      <c r="F14" s="12">
        <f t="shared" si="1"/>
        <v>2249.4050000000002</v>
      </c>
      <c r="G14" s="12">
        <f t="shared" si="2"/>
        <v>780.70400000000006</v>
      </c>
      <c r="H14" s="12">
        <f t="shared" si="3"/>
        <v>805.20488399999999</v>
      </c>
      <c r="I14" s="9">
        <f t="shared" si="4"/>
        <v>0.96957186365004722</v>
      </c>
      <c r="K14" s="3">
        <f t="shared" si="5"/>
        <v>2300</v>
      </c>
      <c r="L14" s="15">
        <f t="shared" si="6"/>
        <v>2249.4050000000002</v>
      </c>
      <c r="M14" s="16">
        <f t="shared" si="7"/>
        <v>723990.26129558845</v>
      </c>
      <c r="N14" s="16">
        <f t="shared" si="0"/>
        <v>552054.51481313992</v>
      </c>
      <c r="O14" s="16">
        <f t="shared" si="8"/>
        <v>588162.16804189398</v>
      </c>
      <c r="P14" s="43">
        <f t="shared" si="9"/>
        <v>1.0654059558610363</v>
      </c>
    </row>
    <row r="15" spans="1:16">
      <c r="A15" s="8">
        <v>0</v>
      </c>
      <c r="B15" s="8">
        <v>33500</v>
      </c>
      <c r="C15" s="11">
        <v>0.33600000000000002</v>
      </c>
      <c r="D15" s="9">
        <v>2.64</v>
      </c>
      <c r="E15" s="10">
        <v>35779</v>
      </c>
      <c r="F15" s="12">
        <f t="shared" si="1"/>
        <v>1205.5</v>
      </c>
      <c r="G15" s="12">
        <f t="shared" si="2"/>
        <v>415.53600000000006</v>
      </c>
      <c r="H15" s="12">
        <f t="shared" si="3"/>
        <v>409.92248640000008</v>
      </c>
      <c r="I15" s="9">
        <f t="shared" si="4"/>
        <v>1.0136940855557808</v>
      </c>
      <c r="K15" s="3">
        <f t="shared" si="5"/>
        <v>0</v>
      </c>
      <c r="L15" s="15">
        <f t="shared" si="6"/>
        <v>1205.5</v>
      </c>
      <c r="M15" s="16">
        <f t="shared" si="7"/>
        <v>388000.49790581595</v>
      </c>
      <c r="N15" s="16">
        <f t="shared" si="0"/>
        <v>295856.77884028893</v>
      </c>
      <c r="O15" s="16">
        <f t="shared" si="8"/>
        <v>299752.92527154915</v>
      </c>
      <c r="P15" s="43">
        <f t="shared" si="9"/>
        <v>1.0131690287663258</v>
      </c>
    </row>
    <row r="16" spans="1:16">
      <c r="A16" s="8">
        <v>0</v>
      </c>
      <c r="B16" s="8">
        <v>33800</v>
      </c>
      <c r="C16" s="11">
        <v>0.33600000000000002</v>
      </c>
      <c r="D16" s="9">
        <v>2.64</v>
      </c>
      <c r="E16" s="10">
        <v>35779</v>
      </c>
      <c r="F16" s="12">
        <f t="shared" si="1"/>
        <v>1205.5</v>
      </c>
      <c r="G16" s="12">
        <f t="shared" si="2"/>
        <v>415.53600000000006</v>
      </c>
      <c r="H16" s="12">
        <f t="shared" si="3"/>
        <v>409.92248640000008</v>
      </c>
      <c r="I16" s="9">
        <f t="shared" si="4"/>
        <v>1.0136940855557808</v>
      </c>
      <c r="K16" s="3">
        <f t="shared" si="5"/>
        <v>300</v>
      </c>
      <c r="L16" s="15">
        <f t="shared" si="6"/>
        <v>1205.5</v>
      </c>
      <c r="M16" s="16">
        <f t="shared" si="7"/>
        <v>388000.49790581595</v>
      </c>
      <c r="N16" s="16">
        <f t="shared" si="0"/>
        <v>295856.77884028893</v>
      </c>
      <c r="O16" s="16">
        <f t="shared" si="8"/>
        <v>299752.92527154915</v>
      </c>
      <c r="P16" s="43">
        <f t="shared" si="9"/>
        <v>1.0131690287663258</v>
      </c>
    </row>
    <row r="17" spans="1:16">
      <c r="A17" s="8">
        <v>2.8</v>
      </c>
      <c r="B17" s="8">
        <v>33800</v>
      </c>
      <c r="C17" s="11">
        <v>0.52</v>
      </c>
      <c r="D17" s="9">
        <v>3.92</v>
      </c>
      <c r="E17" s="10">
        <v>35779</v>
      </c>
      <c r="F17" s="12">
        <f t="shared" si="1"/>
        <v>1773.0600000000002</v>
      </c>
      <c r="G17" s="12">
        <f t="shared" si="2"/>
        <v>617.00800000000004</v>
      </c>
      <c r="H17" s="12">
        <f t="shared" si="3"/>
        <v>634.40384800000004</v>
      </c>
      <c r="I17" s="9">
        <f t="shared" si="4"/>
        <v>0.97257922054722468</v>
      </c>
      <c r="K17" s="3">
        <f t="shared" si="5"/>
        <v>0</v>
      </c>
      <c r="L17" s="15">
        <f t="shared" si="6"/>
        <v>1773.0600000000002</v>
      </c>
      <c r="M17" s="16">
        <f t="shared" si="7"/>
        <v>570674.54402064381</v>
      </c>
      <c r="N17" s="16">
        <f t="shared" si="0"/>
        <v>435148.7517964021</v>
      </c>
      <c r="O17" s="16">
        <f t="shared" si="8"/>
        <v>458875.2661103601</v>
      </c>
      <c r="P17" s="43">
        <f t="shared" si="9"/>
        <v>1.0545250657758043</v>
      </c>
    </row>
    <row r="18" spans="1:16">
      <c r="A18" s="8">
        <v>2.8</v>
      </c>
      <c r="B18" s="8">
        <v>39300</v>
      </c>
      <c r="C18" s="11">
        <v>0.52</v>
      </c>
      <c r="D18" s="9">
        <v>3.92</v>
      </c>
      <c r="E18" s="10">
        <v>35779</v>
      </c>
      <c r="F18" s="12">
        <f t="shared" si="1"/>
        <v>1773.0600000000002</v>
      </c>
      <c r="G18" s="12">
        <f t="shared" si="2"/>
        <v>617.00800000000004</v>
      </c>
      <c r="H18" s="12">
        <f t="shared" si="3"/>
        <v>634.40384800000004</v>
      </c>
      <c r="I18" s="9">
        <f t="shared" si="4"/>
        <v>0.97257922054722468</v>
      </c>
      <c r="K18" s="3">
        <f t="shared" si="5"/>
        <v>5500</v>
      </c>
      <c r="L18" s="15">
        <f t="shared" si="6"/>
        <v>1773.0600000000002</v>
      </c>
      <c r="M18" s="16">
        <f t="shared" si="7"/>
        <v>570674.54402064381</v>
      </c>
      <c r="N18" s="16">
        <f t="shared" si="0"/>
        <v>435148.7517964021</v>
      </c>
      <c r="O18" s="16">
        <f t="shared" si="8"/>
        <v>458875.2661103601</v>
      </c>
      <c r="P18" s="43">
        <f t="shared" si="9"/>
        <v>1.0545250657758043</v>
      </c>
    </row>
    <row r="19" spans="1:16">
      <c r="A19" s="8">
        <v>5.15</v>
      </c>
      <c r="B19" s="8">
        <v>39300</v>
      </c>
      <c r="C19" s="11">
        <v>0.65600000000000003</v>
      </c>
      <c r="D19" s="9">
        <v>4.96</v>
      </c>
      <c r="E19" s="10">
        <v>35779</v>
      </c>
      <c r="F19" s="12">
        <f t="shared" si="1"/>
        <v>2249.4050000000002</v>
      </c>
      <c r="G19" s="12">
        <f t="shared" si="2"/>
        <v>780.70400000000006</v>
      </c>
      <c r="H19" s="12">
        <f t="shared" si="3"/>
        <v>800.32485440000016</v>
      </c>
      <c r="I19" s="9">
        <f t="shared" si="4"/>
        <v>0.97548388720888879</v>
      </c>
      <c r="K19" s="3">
        <f t="shared" si="5"/>
        <v>0</v>
      </c>
      <c r="L19" s="15">
        <f t="shared" si="6"/>
        <v>2249.4050000000002</v>
      </c>
      <c r="M19" s="16">
        <f t="shared" si="7"/>
        <v>723990.26129558845</v>
      </c>
      <c r="N19" s="16">
        <f t="shared" si="0"/>
        <v>552054.51481313992</v>
      </c>
      <c r="O19" s="16">
        <f t="shared" si="8"/>
        <v>588162.16804189398</v>
      </c>
      <c r="P19" s="43">
        <f t="shared" si="9"/>
        <v>1.0654059558610363</v>
      </c>
    </row>
    <row r="20" spans="1:16">
      <c r="A20" s="8">
        <v>5.15</v>
      </c>
      <c r="B20" s="8">
        <v>40500</v>
      </c>
      <c r="C20" s="11">
        <v>0.65600000000000003</v>
      </c>
      <c r="D20" s="9">
        <v>4.96</v>
      </c>
      <c r="E20" s="10">
        <v>35780</v>
      </c>
      <c r="F20" s="12">
        <f t="shared" si="1"/>
        <v>2249.4050000000002</v>
      </c>
      <c r="G20" s="12">
        <f t="shared" si="2"/>
        <v>780.70400000000006</v>
      </c>
      <c r="H20" s="12">
        <f t="shared" si="3"/>
        <v>800.32485440000016</v>
      </c>
      <c r="I20" s="9">
        <f t="shared" si="4"/>
        <v>0.97548388720888879</v>
      </c>
      <c r="K20" s="3">
        <f t="shared" si="5"/>
        <v>1200</v>
      </c>
      <c r="L20" s="15">
        <f t="shared" si="6"/>
        <v>2249.4050000000002</v>
      </c>
      <c r="M20" s="16">
        <f t="shared" si="7"/>
        <v>723990.26129558845</v>
      </c>
      <c r="N20" s="16">
        <f t="shared" si="0"/>
        <v>552054.51481313992</v>
      </c>
      <c r="O20" s="16">
        <f t="shared" si="8"/>
        <v>588162.16804189398</v>
      </c>
      <c r="P20" s="43">
        <f t="shared" si="9"/>
        <v>1.0654059558610363</v>
      </c>
    </row>
    <row r="21" spans="1:16">
      <c r="A21" s="8">
        <v>2.8</v>
      </c>
      <c r="B21" s="8">
        <v>40500</v>
      </c>
      <c r="C21" s="11">
        <v>0.52</v>
      </c>
      <c r="D21" s="9">
        <v>3.92</v>
      </c>
      <c r="E21" s="10">
        <v>35780</v>
      </c>
      <c r="F21" s="12">
        <f t="shared" si="1"/>
        <v>1773.0600000000002</v>
      </c>
      <c r="G21" s="12">
        <f t="shared" si="2"/>
        <v>617.00800000000004</v>
      </c>
      <c r="H21" s="12">
        <f t="shared" si="3"/>
        <v>634.40384800000004</v>
      </c>
      <c r="I21" s="9">
        <f t="shared" si="4"/>
        <v>0.97257922054722468</v>
      </c>
      <c r="K21" s="3">
        <f t="shared" si="5"/>
        <v>0</v>
      </c>
      <c r="L21" s="15">
        <f t="shared" si="6"/>
        <v>1773.0600000000002</v>
      </c>
      <c r="M21" s="16">
        <f t="shared" si="7"/>
        <v>570674.54402064381</v>
      </c>
      <c r="N21" s="16">
        <f t="shared" si="0"/>
        <v>435148.7517964021</v>
      </c>
      <c r="O21" s="16">
        <f t="shared" si="8"/>
        <v>458875.2661103601</v>
      </c>
      <c r="P21" s="43">
        <f t="shared" si="9"/>
        <v>1.0545250657758043</v>
      </c>
    </row>
    <row r="22" spans="1:16">
      <c r="A22" s="8">
        <v>2.8</v>
      </c>
      <c r="B22" s="8">
        <v>92300</v>
      </c>
      <c r="C22" s="11">
        <v>0.52</v>
      </c>
      <c r="D22" s="9">
        <v>3.92</v>
      </c>
      <c r="E22" s="10">
        <v>35782</v>
      </c>
      <c r="F22" s="12">
        <f t="shared" si="1"/>
        <v>1773.0600000000002</v>
      </c>
      <c r="G22" s="12">
        <f t="shared" si="2"/>
        <v>617.00800000000004</v>
      </c>
      <c r="H22" s="12">
        <f t="shared" si="3"/>
        <v>634.40384800000004</v>
      </c>
      <c r="I22" s="9">
        <f t="shared" si="4"/>
        <v>0.97257922054722468</v>
      </c>
      <c r="K22" s="3">
        <f t="shared" si="5"/>
        <v>51800</v>
      </c>
      <c r="L22" s="15">
        <f t="shared" si="6"/>
        <v>1773.0600000000002</v>
      </c>
      <c r="M22" s="16">
        <f t="shared" si="7"/>
        <v>570674.54402064381</v>
      </c>
      <c r="N22" s="16">
        <f t="shared" si="0"/>
        <v>435148.7517964021</v>
      </c>
      <c r="O22" s="16">
        <f>1000*(D22*1000-228.75)*8/64.353</f>
        <v>458875.2661103601</v>
      </c>
      <c r="P22" s="43">
        <f>IF(O22/N22&gt;0.5,O22/N22,"")</f>
        <v>1.0545250657758043</v>
      </c>
    </row>
    <row r="23" spans="1:16">
      <c r="A23" s="8">
        <v>5.15</v>
      </c>
      <c r="B23" s="8">
        <v>92300</v>
      </c>
      <c r="C23" s="8">
        <v>0.64800000000000002</v>
      </c>
      <c r="D23" s="8">
        <v>4.88</v>
      </c>
      <c r="E23" s="10">
        <v>35782</v>
      </c>
      <c r="F23" s="12">
        <f>(0.2027*A23+1.2055)*1000</f>
        <v>2249.4050000000002</v>
      </c>
      <c r="G23" s="12">
        <f>D23*157.4</f>
        <v>768.11199999999997</v>
      </c>
      <c r="H23" s="12">
        <f>C23*7.751*157.4</f>
        <v>790.56479520000005</v>
      </c>
      <c r="I23" s="9">
        <f>G23/H23</f>
        <v>0.97159904496592231</v>
      </c>
      <c r="K23" s="3">
        <f t="shared" si="5"/>
        <v>0</v>
      </c>
      <c r="L23" s="15">
        <f t="shared" si="6"/>
        <v>2249.4050000000002</v>
      </c>
      <c r="M23" s="16">
        <f t="shared" si="7"/>
        <v>723990.26129558845</v>
      </c>
      <c r="N23" s="16">
        <f t="shared" si="0"/>
        <v>552054.51481313992</v>
      </c>
      <c r="O23" s="16">
        <f>1000*(D23*1000-228.75)*8/64.353</f>
        <v>578217.02173946833</v>
      </c>
      <c r="P23" s="43">
        <f>IF(O23/N23&gt;0.5,O23/N23,"")</f>
        <v>1.0473911655902024</v>
      </c>
    </row>
    <row r="24" spans="1:16">
      <c r="A24" s="8">
        <v>5.15</v>
      </c>
      <c r="B24" s="8">
        <v>187023</v>
      </c>
      <c r="C24" s="8">
        <v>0.64800000000000002</v>
      </c>
      <c r="D24" s="8">
        <v>4.88</v>
      </c>
      <c r="E24" s="10">
        <v>35782</v>
      </c>
      <c r="F24" s="12">
        <f t="shared" si="1"/>
        <v>2249.4050000000002</v>
      </c>
      <c r="G24" s="12">
        <f t="shared" si="2"/>
        <v>768.11199999999997</v>
      </c>
      <c r="H24" s="12">
        <f t="shared" si="3"/>
        <v>790.56479520000005</v>
      </c>
      <c r="I24" s="9">
        <f t="shared" si="4"/>
        <v>0.97159904496592231</v>
      </c>
      <c r="K24" s="3">
        <f t="shared" si="5"/>
        <v>94723</v>
      </c>
      <c r="L24" s="15">
        <f t="shared" si="6"/>
        <v>2249.4050000000002</v>
      </c>
      <c r="M24" s="16">
        <f t="shared" si="7"/>
        <v>723990.26129558845</v>
      </c>
      <c r="N24" s="16">
        <f t="shared" si="0"/>
        <v>552054.51481313992</v>
      </c>
      <c r="O24" s="16">
        <f>1000*(D24*1000-228.75)*8/64.353</f>
        <v>578217.02173946833</v>
      </c>
      <c r="P24" s="43">
        <f>IF(O24/N24&gt;0.5,O24/N24,"")</f>
        <v>1.0473911655902024</v>
      </c>
    </row>
    <row r="25" spans="1:16">
      <c r="A25" s="8">
        <v>5.15</v>
      </c>
      <c r="B25" s="8">
        <v>198950</v>
      </c>
      <c r="C25" s="8">
        <v>0.64800000000000002</v>
      </c>
      <c r="D25" s="8">
        <v>4.88</v>
      </c>
      <c r="E25" s="10">
        <v>35782</v>
      </c>
      <c r="F25" s="12">
        <f>(0.2027*A25+1.2055)*1000</f>
        <v>2249.4050000000002</v>
      </c>
      <c r="G25" s="12">
        <f>D25*157.4</f>
        <v>768.11199999999997</v>
      </c>
      <c r="H25" s="12">
        <f>C25*7.751*157.4</f>
        <v>790.56479520000005</v>
      </c>
      <c r="I25" s="9">
        <f>G25/H25</f>
        <v>0.97159904496592231</v>
      </c>
      <c r="K25" s="3">
        <f t="shared" si="5"/>
        <v>11927</v>
      </c>
      <c r="L25" s="15">
        <f t="shared" si="6"/>
        <v>2249.4050000000002</v>
      </c>
      <c r="M25" s="16">
        <f t="shared" si="7"/>
        <v>723990.26129558845</v>
      </c>
      <c r="N25" s="16">
        <f t="shared" si="0"/>
        <v>552054.51481313992</v>
      </c>
      <c r="O25" s="16">
        <f>1000*(D25*1000-228.75)*8/64.353</f>
        <v>578217.02173946833</v>
      </c>
      <c r="P25" s="43">
        <f>IF(O25/N25&gt;0.5,O25/N25,"")</f>
        <v>1.0473911655902024</v>
      </c>
    </row>
    <row r="26" spans="1:16">
      <c r="A26" s="8"/>
      <c r="B26" s="4"/>
      <c r="E26" s="3" t="s">
        <v>12</v>
      </c>
      <c r="F26" s="15">
        <f>MAX(F7:F25)</f>
        <v>2249.4050000000002</v>
      </c>
      <c r="K26" s="3">
        <f>SUM(K8:K25)</f>
        <v>198950</v>
      </c>
      <c r="O26" s="16"/>
      <c r="P26" s="43"/>
    </row>
    <row r="27" spans="1:16">
      <c r="O27" s="3" t="s">
        <v>12</v>
      </c>
      <c r="P27" s="43">
        <f>MAX(P7:P25)</f>
        <v>1.0654059558610363</v>
      </c>
    </row>
    <row r="28" spans="1:16">
      <c r="O28" s="3" t="s">
        <v>53</v>
      </c>
      <c r="P28" s="43">
        <f>MIN(P7:P25)</f>
        <v>0.99636166281478478</v>
      </c>
    </row>
    <row r="30" spans="1:16">
      <c r="A30" s="3" t="s">
        <v>5</v>
      </c>
      <c r="B30" s="3" t="s">
        <v>13</v>
      </c>
      <c r="C30" s="3" t="s">
        <v>24</v>
      </c>
      <c r="D30" s="3" t="s">
        <v>14</v>
      </c>
      <c r="J30" s="3"/>
      <c r="K30" s="13"/>
    </row>
    <row r="31" spans="1:16">
      <c r="A31" s="3">
        <v>1923</v>
      </c>
      <c r="B31" s="3">
        <v>1205.5</v>
      </c>
      <c r="C31" s="3">
        <v>388000.49790581595</v>
      </c>
      <c r="D31" s="3">
        <v>295856.77884028893</v>
      </c>
    </row>
    <row r="32" spans="1:16">
      <c r="A32" s="3">
        <v>86877</v>
      </c>
      <c r="B32" s="3">
        <v>1773.06</v>
      </c>
      <c r="C32" s="3">
        <v>570674.54402064381</v>
      </c>
      <c r="D32" s="3">
        <v>435148.7517964021</v>
      </c>
    </row>
    <row r="33" spans="1:4">
      <c r="A33" s="3">
        <v>110150</v>
      </c>
      <c r="B33" s="3">
        <v>2249.4050000000002</v>
      </c>
      <c r="C33" s="3">
        <v>723990.26129558845</v>
      </c>
      <c r="D33" s="3">
        <v>552054.51481313992</v>
      </c>
    </row>
    <row r="34" spans="1:4">
      <c r="A34" s="3">
        <f>SUM(A31:A33)</f>
        <v>198950</v>
      </c>
    </row>
  </sheetData>
  <phoneticPr fontId="0" type="noConversion"/>
  <pageMargins left="0.75" right="0.75" top="1" bottom="1" header="0.5" footer="0.5"/>
  <pageSetup scale="83" orientation="landscape" horizontalDpi="355" verticalDpi="355" r:id="rId1"/>
  <headerFooter alignWithMargins="0"/>
  <drawing r:id="rId2"/>
  <legacyDrawing r:id="rId3"/>
  <oleObjects>
    <mc:AlternateContent xmlns:mc="http://schemas.openxmlformats.org/markup-compatibility/2006">
      <mc:Choice Requires="x14">
        <oleObject progId="Mathcad" shapeId="5121" r:id="rId4">
          <objectPr defaultSize="0" r:id="rId5">
            <anchor moveWithCells="1">
              <from>
                <xdr:col>8</xdr:col>
                <xdr:colOff>165100</xdr:colOff>
                <xdr:row>0</xdr:row>
                <xdr:rowOff>133350</xdr:rowOff>
              </from>
              <to>
                <xdr:col>9</xdr:col>
                <xdr:colOff>285750</xdr:colOff>
                <xdr:row>3</xdr:row>
                <xdr:rowOff>0</xdr:rowOff>
              </to>
            </anchor>
          </objectPr>
        </oleObject>
      </mc:Choice>
      <mc:Fallback>
        <oleObject progId="Mathcad" shapeId="5121" r:id="rId4"/>
      </mc:Fallback>
    </mc:AlternateContent>
    <mc:AlternateContent xmlns:mc="http://schemas.openxmlformats.org/markup-compatibility/2006">
      <mc:Choice Requires="x14">
        <oleObject progId="Mathcad" shapeId="5122" r:id="rId6">
          <objectPr defaultSize="0" r:id="rId7">
            <anchor moveWithCells="1">
              <from>
                <xdr:col>9</xdr:col>
                <xdr:colOff>539750</xdr:colOff>
                <xdr:row>1</xdr:row>
                <xdr:rowOff>31750</xdr:rowOff>
              </from>
              <to>
                <xdr:col>12</xdr:col>
                <xdr:colOff>50800</xdr:colOff>
                <xdr:row>2</xdr:row>
                <xdr:rowOff>127000</xdr:rowOff>
              </to>
            </anchor>
          </objectPr>
        </oleObject>
      </mc:Choice>
      <mc:Fallback>
        <oleObject progId="Mathcad" shapeId="5122" r:id="rId6"/>
      </mc:Fallback>
    </mc:AlternateContent>
  </oleObjec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P33"/>
  <sheetViews>
    <sheetView topLeftCell="F5" workbookViewId="0">
      <selection activeCell="O6" sqref="O6:P24"/>
    </sheetView>
  </sheetViews>
  <sheetFormatPr defaultColWidth="9" defaultRowHeight="12.5"/>
  <cols>
    <col min="1" max="9" width="9" style="3"/>
    <col min="10" max="10" width="9.36328125" style="13" customWidth="1"/>
    <col min="11" max="16384" width="9" style="3"/>
  </cols>
  <sheetData>
    <row r="1" spans="1:16" s="1" customFormat="1">
      <c r="A1" s="1" t="s">
        <v>31</v>
      </c>
      <c r="C1" s="19" t="s">
        <v>10</v>
      </c>
      <c r="D1" s="1">
        <v>379</v>
      </c>
      <c r="E1" s="1" t="s">
        <v>11</v>
      </c>
      <c r="F1" s="7" t="s">
        <v>20</v>
      </c>
      <c r="G1" s="17">
        <f>D4/(2*D3)</f>
        <v>1485.8075040783035</v>
      </c>
      <c r="H1" s="1" t="s">
        <v>26</v>
      </c>
      <c r="J1" s="13"/>
    </row>
    <row r="2" spans="1:16">
      <c r="C2" s="18" t="s">
        <v>15</v>
      </c>
      <c r="D2" s="3">
        <v>384.9</v>
      </c>
      <c r="E2" s="3" t="s">
        <v>11</v>
      </c>
      <c r="F2" s="18" t="s">
        <v>21</v>
      </c>
      <c r="G2" s="3">
        <f>SQRT(1/(D3*D5))</f>
        <v>8244.4965742557415</v>
      </c>
      <c r="H2" s="3" t="s">
        <v>26</v>
      </c>
    </row>
    <row r="3" spans="1:16">
      <c r="C3" s="18" t="s">
        <v>16</v>
      </c>
      <c r="D3" s="16">
        <v>3.0649999999999999E-6</v>
      </c>
      <c r="E3" s="3" t="s">
        <v>17</v>
      </c>
      <c r="F3" s="18" t="s">
        <v>25</v>
      </c>
      <c r="G3" s="16">
        <v>1.7110000000000001E-4</v>
      </c>
      <c r="H3" s="3" t="s">
        <v>27</v>
      </c>
    </row>
    <row r="4" spans="1:16">
      <c r="C4" s="18" t="s">
        <v>18</v>
      </c>
      <c r="D4" s="16">
        <v>9.1079999999999998E-3</v>
      </c>
      <c r="E4" s="3" t="s">
        <v>19</v>
      </c>
    </row>
    <row r="5" spans="1:16">
      <c r="C5" s="18" t="s">
        <v>22</v>
      </c>
      <c r="D5" s="16">
        <v>4.7999999999999996E-3</v>
      </c>
      <c r="E5" s="3" t="s">
        <v>23</v>
      </c>
    </row>
    <row r="6" spans="1:16" s="6" customFormat="1" ht="87.5">
      <c r="A6" s="2" t="s">
        <v>0</v>
      </c>
      <c r="B6" s="2" t="s">
        <v>5</v>
      </c>
      <c r="C6" s="2" t="s">
        <v>1</v>
      </c>
      <c r="D6" s="2" t="s">
        <v>2</v>
      </c>
      <c r="E6" s="2" t="s">
        <v>3</v>
      </c>
      <c r="F6" s="2" t="s">
        <v>9</v>
      </c>
      <c r="G6" s="2" t="s">
        <v>7</v>
      </c>
      <c r="H6" s="2" t="s">
        <v>8</v>
      </c>
      <c r="I6" s="2" t="s">
        <v>4</v>
      </c>
      <c r="J6" s="14"/>
      <c r="K6" s="5" t="s">
        <v>5</v>
      </c>
      <c r="L6" s="5" t="s">
        <v>13</v>
      </c>
      <c r="M6" s="5" t="s">
        <v>24</v>
      </c>
      <c r="N6" s="5" t="s">
        <v>14</v>
      </c>
      <c r="O6" s="6" t="s">
        <v>52</v>
      </c>
      <c r="P6" s="6" t="s">
        <v>54</v>
      </c>
    </row>
    <row r="7" spans="1:16">
      <c r="A7" s="2">
        <v>0</v>
      </c>
      <c r="B7" s="8">
        <v>0</v>
      </c>
      <c r="C7" s="5">
        <v>0.33200000000000002</v>
      </c>
      <c r="D7" s="9">
        <v>2.5</v>
      </c>
      <c r="E7" s="10">
        <v>36294</v>
      </c>
      <c r="F7" s="12">
        <f>(0.2027*A7+1.2055)*1000</f>
        <v>1205.5</v>
      </c>
      <c r="G7" s="12">
        <f t="shared" ref="G7:G21" si="0">D7*157.4</f>
        <v>393.5</v>
      </c>
      <c r="H7" s="12">
        <f>C7*7.751*157.4</f>
        <v>405.04245680000002</v>
      </c>
      <c r="I7" s="9">
        <f>G7/H7</f>
        <v>0.97150309404305379</v>
      </c>
    </row>
    <row r="8" spans="1:16">
      <c r="A8" s="8">
        <v>0</v>
      </c>
      <c r="B8" s="8">
        <v>14736</v>
      </c>
      <c r="C8" s="11">
        <v>0.33600000000000002</v>
      </c>
      <c r="D8" s="9">
        <v>2.6</v>
      </c>
      <c r="E8" s="10" t="s">
        <v>32</v>
      </c>
      <c r="F8" s="12">
        <f t="shared" ref="F8:F21" si="1">(0.2027*A8+1.2055)*1000</f>
        <v>1205.5</v>
      </c>
      <c r="G8" s="12">
        <f t="shared" si="0"/>
        <v>409.24</v>
      </c>
      <c r="H8" s="12">
        <f t="shared" ref="H8:H21" si="2">C8*7.751*157.4</f>
        <v>409.92248640000008</v>
      </c>
      <c r="I8" s="9">
        <f t="shared" ref="I8:I21" si="3">G8/H8</f>
        <v>0.99833508425948092</v>
      </c>
      <c r="K8" s="3">
        <f>B8-B7</f>
        <v>14736</v>
      </c>
      <c r="L8" s="15">
        <f>F8</f>
        <v>1205.5</v>
      </c>
      <c r="M8" s="16">
        <f>8*F8/($D$3*SQRT($G$2^2-$G$1^2))</f>
        <v>388000.49790581595</v>
      </c>
      <c r="N8" s="16">
        <f>M8*(EXP(-$G$1*$G$3))*SIN(SQRT($G$2^2-$G$1^2)*$G$3)</f>
        <v>295863.45722298301</v>
      </c>
      <c r="O8" s="16">
        <f>1000*(D8*1000-228.75)*8/64.353</f>
        <v>294780.35212033632</v>
      </c>
      <c r="P8" s="43">
        <f>IF(O8/N8&gt;0.5,O8/N8,"")</f>
        <v>0.99633917242496639</v>
      </c>
    </row>
    <row r="9" spans="1:16">
      <c r="A9" s="8">
        <v>0</v>
      </c>
      <c r="B9" s="8">
        <v>15200</v>
      </c>
      <c r="C9" s="11">
        <v>0.32800000000000001</v>
      </c>
      <c r="D9" s="9">
        <v>2.6</v>
      </c>
      <c r="E9" s="10">
        <v>36295</v>
      </c>
      <c r="F9" s="12">
        <f t="shared" si="1"/>
        <v>1205.5</v>
      </c>
      <c r="G9" s="12">
        <f t="shared" si="0"/>
        <v>409.24</v>
      </c>
      <c r="H9" s="12">
        <f t="shared" si="2"/>
        <v>400.16242720000008</v>
      </c>
      <c r="I9" s="9">
        <f t="shared" si="3"/>
        <v>1.0226847204609317</v>
      </c>
      <c r="K9" s="3">
        <f t="shared" ref="K9:K21" si="4">B9-B8</f>
        <v>464</v>
      </c>
      <c r="L9" s="15">
        <f t="shared" ref="L9:L21" si="5">F9</f>
        <v>1205.5</v>
      </c>
      <c r="M9" s="16">
        <f t="shared" ref="M9:M21" si="6">8*F9/($D$3*SQRT($G$2^2-$G$1^2))</f>
        <v>388000.49790581595</v>
      </c>
      <c r="N9" s="16">
        <f t="shared" ref="N9:N21" si="7">M9*(EXP(-$G$1*$G$3))*SIN(SQRT($G$2^2-$G$1^2)*$G$3)</f>
        <v>295863.45722298301</v>
      </c>
      <c r="O9" s="16">
        <f t="shared" ref="O9:O21" si="8">1000*(D9*1000-228.75)*8/64.353</f>
        <v>294780.35212033632</v>
      </c>
      <c r="P9" s="43">
        <f t="shared" ref="P9:P21" si="9">IF(O9/N9&gt;0.5,O9/N9,"")</f>
        <v>0.99633917242496639</v>
      </c>
    </row>
    <row r="10" spans="1:16">
      <c r="A10" s="8">
        <v>1.5</v>
      </c>
      <c r="B10" s="8">
        <v>15200</v>
      </c>
      <c r="C10" s="11">
        <v>0.42399999999999999</v>
      </c>
      <c r="D10" s="9">
        <v>3.28</v>
      </c>
      <c r="E10" s="10">
        <v>36297</v>
      </c>
      <c r="F10" s="12">
        <f>(0.2027*A10+1.2055)*1000</f>
        <v>1509.55</v>
      </c>
      <c r="G10" s="12">
        <f>D10*157.4</f>
        <v>516.27199999999993</v>
      </c>
      <c r="H10" s="12">
        <f>C10*7.751*157.4</f>
        <v>517.28313760000003</v>
      </c>
      <c r="I10" s="9">
        <f>G10/H10</f>
        <v>0.99804529178219226</v>
      </c>
      <c r="K10" s="3">
        <f t="shared" si="4"/>
        <v>0</v>
      </c>
      <c r="L10" s="15">
        <f t="shared" si="5"/>
        <v>1509.55</v>
      </c>
      <c r="M10" s="16">
        <f t="shared" si="6"/>
        <v>485861.59403875936</v>
      </c>
      <c r="N10" s="16">
        <f t="shared" si="7"/>
        <v>370485.84143588052</v>
      </c>
      <c r="O10" s="16">
        <f t="shared" si="8"/>
        <v>379314.09569095459</v>
      </c>
      <c r="P10" s="43">
        <f t="shared" si="9"/>
        <v>1.0238288573211292</v>
      </c>
    </row>
    <row r="11" spans="1:16">
      <c r="A11" s="8">
        <v>1.5</v>
      </c>
      <c r="B11" s="8">
        <v>24000</v>
      </c>
      <c r="C11" s="11">
        <v>0.42399999999999999</v>
      </c>
      <c r="D11" s="9">
        <v>3.28</v>
      </c>
      <c r="E11" s="10">
        <v>36297</v>
      </c>
      <c r="F11" s="12">
        <f t="shared" si="1"/>
        <v>1509.55</v>
      </c>
      <c r="G11" s="12">
        <f t="shared" si="0"/>
        <v>516.27199999999993</v>
      </c>
      <c r="H11" s="12">
        <f t="shared" si="2"/>
        <v>517.28313760000003</v>
      </c>
      <c r="I11" s="9">
        <f t="shared" si="3"/>
        <v>0.99804529178219226</v>
      </c>
      <c r="K11" s="3">
        <f t="shared" si="4"/>
        <v>8800</v>
      </c>
      <c r="L11" s="15">
        <f t="shared" si="5"/>
        <v>1509.55</v>
      </c>
      <c r="M11" s="16">
        <f t="shared" si="6"/>
        <v>485861.59403875936</v>
      </c>
      <c r="N11" s="16">
        <f t="shared" si="7"/>
        <v>370485.84143588052</v>
      </c>
      <c r="O11" s="16">
        <f t="shared" si="8"/>
        <v>379314.09569095459</v>
      </c>
      <c r="P11" s="43">
        <f t="shared" si="9"/>
        <v>1.0238288573211292</v>
      </c>
    </row>
    <row r="12" spans="1:16">
      <c r="A12" s="8">
        <v>2</v>
      </c>
      <c r="B12" s="8">
        <v>24000</v>
      </c>
      <c r="C12" s="11">
        <v>0.44800000000000001</v>
      </c>
      <c r="D12" s="9">
        <v>3.56</v>
      </c>
      <c r="E12" s="10">
        <v>36297</v>
      </c>
      <c r="F12" s="12">
        <f>(0.2027*A12+1.2055)*1000</f>
        <v>1610.9</v>
      </c>
      <c r="G12" s="12">
        <f>D12*157.4</f>
        <v>560.34400000000005</v>
      </c>
      <c r="H12" s="12">
        <f>C12*7.751*157.4</f>
        <v>546.56331520000003</v>
      </c>
      <c r="I12" s="9">
        <f>G12/H12</f>
        <v>1.0252133365280056</v>
      </c>
      <c r="K12" s="3">
        <f t="shared" si="4"/>
        <v>0</v>
      </c>
      <c r="L12" s="15">
        <f t="shared" si="5"/>
        <v>1610.9</v>
      </c>
      <c r="M12" s="16">
        <f t="shared" si="6"/>
        <v>518481.95941640722</v>
      </c>
      <c r="N12" s="16">
        <f t="shared" si="7"/>
        <v>395359.96950684639</v>
      </c>
      <c r="O12" s="16">
        <f t="shared" si="8"/>
        <v>414122.10774944449</v>
      </c>
      <c r="P12" s="43">
        <f t="shared" si="9"/>
        <v>1.0474558369326088</v>
      </c>
    </row>
    <row r="13" spans="1:16">
      <c r="A13" s="8">
        <v>2</v>
      </c>
      <c r="B13" s="8">
        <v>54800</v>
      </c>
      <c r="C13" s="11">
        <v>0.44800000000000001</v>
      </c>
      <c r="D13" s="9">
        <v>3.56</v>
      </c>
      <c r="E13" s="10">
        <v>36297</v>
      </c>
      <c r="F13" s="12">
        <f t="shared" si="1"/>
        <v>1610.9</v>
      </c>
      <c r="G13" s="12">
        <f t="shared" si="0"/>
        <v>560.34400000000005</v>
      </c>
      <c r="H13" s="12">
        <f t="shared" si="2"/>
        <v>546.56331520000003</v>
      </c>
      <c r="I13" s="9">
        <f t="shared" si="3"/>
        <v>1.0252133365280056</v>
      </c>
      <c r="K13" s="3">
        <f t="shared" si="4"/>
        <v>30800</v>
      </c>
      <c r="L13" s="15">
        <f t="shared" si="5"/>
        <v>1610.9</v>
      </c>
      <c r="M13" s="16">
        <f t="shared" si="6"/>
        <v>518481.95941640722</v>
      </c>
      <c r="N13" s="16">
        <f t="shared" si="7"/>
        <v>395359.96950684639</v>
      </c>
      <c r="O13" s="16">
        <f t="shared" si="8"/>
        <v>414122.10774944449</v>
      </c>
      <c r="P13" s="43">
        <f t="shared" si="9"/>
        <v>1.0474558369326088</v>
      </c>
    </row>
    <row r="14" spans="1:16">
      <c r="A14" s="8">
        <v>2.5</v>
      </c>
      <c r="B14" s="8">
        <v>54800</v>
      </c>
      <c r="C14" s="11">
        <v>0.48</v>
      </c>
      <c r="D14" s="9">
        <v>3.76</v>
      </c>
      <c r="E14" s="10">
        <v>36298</v>
      </c>
      <c r="F14" s="12">
        <f t="shared" si="1"/>
        <v>1712.25</v>
      </c>
      <c r="G14" s="12">
        <f t="shared" si="0"/>
        <v>591.82399999999996</v>
      </c>
      <c r="H14" s="12">
        <f t="shared" si="2"/>
        <v>585.60355200000004</v>
      </c>
      <c r="I14" s="9">
        <f t="shared" si="3"/>
        <v>1.0106222852965208</v>
      </c>
      <c r="K14" s="3">
        <f t="shared" si="4"/>
        <v>0</v>
      </c>
      <c r="L14" s="15">
        <f t="shared" si="5"/>
        <v>1712.25</v>
      </c>
      <c r="M14" s="16">
        <f t="shared" si="6"/>
        <v>551102.32479405496</v>
      </c>
      <c r="N14" s="16">
        <f t="shared" si="7"/>
        <v>420234.09757781215</v>
      </c>
      <c r="O14" s="16">
        <f t="shared" si="8"/>
        <v>438984.97350550874</v>
      </c>
      <c r="P14" s="43">
        <f t="shared" si="9"/>
        <v>1.04462007256378</v>
      </c>
    </row>
    <row r="15" spans="1:16">
      <c r="A15" s="8">
        <v>2.5</v>
      </c>
      <c r="B15" s="8">
        <v>58500</v>
      </c>
      <c r="C15" s="11">
        <v>0.48</v>
      </c>
      <c r="D15" s="9">
        <v>3.76</v>
      </c>
      <c r="E15" s="10">
        <v>36298</v>
      </c>
      <c r="F15" s="12">
        <f t="shared" si="1"/>
        <v>1712.25</v>
      </c>
      <c r="G15" s="12"/>
      <c r="H15" s="12"/>
      <c r="I15" s="9"/>
      <c r="K15" s="3">
        <f t="shared" si="4"/>
        <v>3700</v>
      </c>
      <c r="L15" s="15">
        <f t="shared" si="5"/>
        <v>1712.25</v>
      </c>
      <c r="M15" s="16">
        <f t="shared" si="6"/>
        <v>551102.32479405496</v>
      </c>
      <c r="N15" s="16">
        <f t="shared" si="7"/>
        <v>420234.09757781215</v>
      </c>
      <c r="O15" s="16">
        <f t="shared" si="8"/>
        <v>438984.97350550874</v>
      </c>
      <c r="P15" s="43">
        <f t="shared" si="9"/>
        <v>1.04462007256378</v>
      </c>
    </row>
    <row r="16" spans="1:16">
      <c r="A16" s="8">
        <v>3</v>
      </c>
      <c r="B16" s="8">
        <v>58500</v>
      </c>
      <c r="C16" s="11">
        <v>0.504</v>
      </c>
      <c r="D16" s="9">
        <v>3.92</v>
      </c>
      <c r="E16" s="10">
        <v>36298</v>
      </c>
      <c r="F16" s="12">
        <f>(0.2027*A16+1.2055)*1000</f>
        <v>1813.6000000000001</v>
      </c>
      <c r="G16" s="12">
        <f>D16*157.4</f>
        <v>617.00800000000004</v>
      </c>
      <c r="H16" s="12">
        <f>C16*7.751*157.4</f>
        <v>614.88372960000004</v>
      </c>
      <c r="I16" s="9">
        <f>G16/H16</f>
        <v>1.0034547513582477</v>
      </c>
      <c r="K16" s="3">
        <f t="shared" si="4"/>
        <v>0</v>
      </c>
      <c r="L16" s="15">
        <f t="shared" si="5"/>
        <v>1813.6000000000001</v>
      </c>
      <c r="M16" s="16">
        <f t="shared" si="6"/>
        <v>583722.69017170288</v>
      </c>
      <c r="N16" s="16">
        <f t="shared" si="7"/>
        <v>445108.22564877814</v>
      </c>
      <c r="O16" s="16">
        <f t="shared" si="8"/>
        <v>458875.2661103601</v>
      </c>
      <c r="P16" s="43">
        <f t="shared" si="9"/>
        <v>1.0309296473717497</v>
      </c>
    </row>
    <row r="17" spans="1:16">
      <c r="A17" s="8">
        <v>3</v>
      </c>
      <c r="B17" s="8">
        <v>63800</v>
      </c>
      <c r="C17" s="11">
        <v>0.504</v>
      </c>
      <c r="D17" s="9">
        <v>3.92</v>
      </c>
      <c r="E17" s="10">
        <v>36298</v>
      </c>
      <c r="F17" s="12">
        <f>(0.2027*A17+1.2055)*1000</f>
        <v>1813.6000000000001</v>
      </c>
      <c r="G17" s="12">
        <f>D17*157.4</f>
        <v>617.00800000000004</v>
      </c>
      <c r="H17" s="12">
        <f>C17*7.751*157.4</f>
        <v>614.88372960000004</v>
      </c>
      <c r="I17" s="9">
        <f>G17/H17</f>
        <v>1.0034547513582477</v>
      </c>
      <c r="K17" s="3">
        <f t="shared" si="4"/>
        <v>5300</v>
      </c>
      <c r="L17" s="15">
        <f t="shared" si="5"/>
        <v>1813.6000000000001</v>
      </c>
      <c r="M17" s="16">
        <f t="shared" si="6"/>
        <v>583722.69017170288</v>
      </c>
      <c r="N17" s="16">
        <f t="shared" si="7"/>
        <v>445108.22564877814</v>
      </c>
      <c r="O17" s="16">
        <f t="shared" si="8"/>
        <v>458875.2661103601</v>
      </c>
      <c r="P17" s="43">
        <f t="shared" si="9"/>
        <v>1.0309296473717497</v>
      </c>
    </row>
    <row r="18" spans="1:16">
      <c r="A18" s="8">
        <v>3.5</v>
      </c>
      <c r="B18" s="8">
        <v>63800</v>
      </c>
      <c r="C18" s="11">
        <v>0.52800000000000002</v>
      </c>
      <c r="D18" s="8">
        <v>4.16</v>
      </c>
      <c r="E18" s="10">
        <v>36298</v>
      </c>
      <c r="F18" s="12">
        <f>(0.2027*A18+1.2055)*1000</f>
        <v>1914.9499999999998</v>
      </c>
      <c r="G18" s="12">
        <f>D18*157.4</f>
        <v>654.78399999999999</v>
      </c>
      <c r="H18" s="12">
        <f>C18*7.751*157.4</f>
        <v>644.16390720000015</v>
      </c>
      <c r="I18" s="9">
        <f>G18/H18</f>
        <v>1.0164866312460168</v>
      </c>
      <c r="K18" s="3">
        <f t="shared" si="4"/>
        <v>0</v>
      </c>
      <c r="L18" s="15">
        <f t="shared" si="5"/>
        <v>1914.9499999999998</v>
      </c>
      <c r="M18" s="16">
        <f t="shared" si="6"/>
        <v>616343.05554935057</v>
      </c>
      <c r="N18" s="16">
        <f t="shared" si="7"/>
        <v>469982.35371974384</v>
      </c>
      <c r="O18" s="16">
        <f t="shared" si="8"/>
        <v>488710.70501763711</v>
      </c>
      <c r="P18" s="43">
        <f t="shared" si="9"/>
        <v>1.0398490520966692</v>
      </c>
    </row>
    <row r="19" spans="1:16">
      <c r="A19" s="8">
        <v>3.5</v>
      </c>
      <c r="B19" s="8">
        <v>68400</v>
      </c>
      <c r="C19" s="11">
        <v>0.52800000000000002</v>
      </c>
      <c r="D19" s="8">
        <v>4.16</v>
      </c>
      <c r="E19" s="10">
        <v>36298</v>
      </c>
      <c r="F19" s="12">
        <f t="shared" si="1"/>
        <v>1914.9499999999998</v>
      </c>
      <c r="G19" s="12">
        <f t="shared" si="0"/>
        <v>654.78399999999999</v>
      </c>
      <c r="H19" s="12">
        <f t="shared" si="2"/>
        <v>644.16390720000015</v>
      </c>
      <c r="I19" s="9">
        <f t="shared" si="3"/>
        <v>1.0164866312460168</v>
      </c>
      <c r="K19" s="3">
        <f t="shared" si="4"/>
        <v>4600</v>
      </c>
      <c r="L19" s="15">
        <f t="shared" si="5"/>
        <v>1914.9499999999998</v>
      </c>
      <c r="M19" s="16">
        <f t="shared" si="6"/>
        <v>616343.05554935057</v>
      </c>
      <c r="N19" s="16">
        <f t="shared" si="7"/>
        <v>469982.35371974384</v>
      </c>
      <c r="O19" s="16">
        <f t="shared" si="8"/>
        <v>488710.70501763711</v>
      </c>
      <c r="P19" s="43">
        <f t="shared" si="9"/>
        <v>1.0398490520966692</v>
      </c>
    </row>
    <row r="20" spans="1:16">
      <c r="A20" s="8">
        <v>4.6500000000000004</v>
      </c>
      <c r="B20" s="8">
        <v>68400</v>
      </c>
      <c r="C20" s="8">
        <v>0.6</v>
      </c>
      <c r="D20" s="8">
        <v>4.72</v>
      </c>
      <c r="E20" s="10">
        <v>36298</v>
      </c>
      <c r="F20" s="12">
        <f t="shared" si="1"/>
        <v>2148.0550000000003</v>
      </c>
      <c r="G20" s="12">
        <f t="shared" si="0"/>
        <v>742.928</v>
      </c>
      <c r="H20" s="12">
        <f t="shared" si="2"/>
        <v>732.00444000000005</v>
      </c>
      <c r="I20" s="9">
        <f t="shared" si="3"/>
        <v>1.0149228056594848</v>
      </c>
      <c r="K20" s="3">
        <f t="shared" si="4"/>
        <v>0</v>
      </c>
      <c r="L20" s="15">
        <f t="shared" si="5"/>
        <v>2148.0550000000003</v>
      </c>
      <c r="M20" s="16">
        <f t="shared" si="6"/>
        <v>691369.89591794077</v>
      </c>
      <c r="N20" s="16">
        <f t="shared" si="7"/>
        <v>527192.84828296548</v>
      </c>
      <c r="O20" s="16">
        <f t="shared" si="8"/>
        <v>558326.72913461691</v>
      </c>
      <c r="P20" s="43">
        <f t="shared" si="9"/>
        <v>1.0590559620697673</v>
      </c>
    </row>
    <row r="21" spans="1:16">
      <c r="A21" s="8">
        <v>4.6500000000000004</v>
      </c>
      <c r="B21" s="8">
        <v>154350</v>
      </c>
      <c r="C21" s="8">
        <v>0.6</v>
      </c>
      <c r="D21" s="8">
        <v>4.72</v>
      </c>
      <c r="E21" s="10">
        <v>36299</v>
      </c>
      <c r="F21" s="12">
        <f t="shared" si="1"/>
        <v>2148.0550000000003</v>
      </c>
      <c r="G21" s="12">
        <f t="shared" si="0"/>
        <v>742.928</v>
      </c>
      <c r="H21" s="12">
        <f t="shared" si="2"/>
        <v>732.00444000000005</v>
      </c>
      <c r="I21" s="9">
        <f t="shared" si="3"/>
        <v>1.0149228056594848</v>
      </c>
      <c r="K21" s="3">
        <f t="shared" si="4"/>
        <v>85950</v>
      </c>
      <c r="L21" s="15">
        <f t="shared" si="5"/>
        <v>2148.0550000000003</v>
      </c>
      <c r="M21" s="16">
        <f t="shared" si="6"/>
        <v>691369.89591794077</v>
      </c>
      <c r="N21" s="16">
        <f t="shared" si="7"/>
        <v>527192.84828296548</v>
      </c>
      <c r="O21" s="16">
        <f t="shared" si="8"/>
        <v>558326.72913461691</v>
      </c>
      <c r="P21" s="43">
        <f t="shared" si="9"/>
        <v>1.0590559620697673</v>
      </c>
    </row>
    <row r="22" spans="1:16">
      <c r="A22" s="8"/>
      <c r="B22" s="4"/>
      <c r="E22" s="3" t="s">
        <v>12</v>
      </c>
      <c r="F22" s="15">
        <f>MAX(F7:F21)</f>
        <v>2148.0550000000003</v>
      </c>
      <c r="K22" s="3">
        <f>SUM(K8:K21)</f>
        <v>154350</v>
      </c>
      <c r="O22" s="16"/>
      <c r="P22" s="43"/>
    </row>
    <row r="23" spans="1:16">
      <c r="O23" s="3" t="s">
        <v>12</v>
      </c>
      <c r="P23" s="43">
        <f>MAX(P8:P22)</f>
        <v>1.0590559620697673</v>
      </c>
    </row>
    <row r="24" spans="1:16">
      <c r="O24" s="3" t="s">
        <v>53</v>
      </c>
      <c r="P24" s="43">
        <f>MIN(P8:P23)</f>
        <v>0.99633917242496639</v>
      </c>
    </row>
    <row r="25" spans="1:16">
      <c r="A25" s="3" t="s">
        <v>5</v>
      </c>
      <c r="B25" s="3" t="s">
        <v>13</v>
      </c>
      <c r="C25" s="3" t="s">
        <v>24</v>
      </c>
      <c r="D25" s="3" t="s">
        <v>14</v>
      </c>
    </row>
    <row r="26" spans="1:16">
      <c r="A26" s="15">
        <v>15200</v>
      </c>
      <c r="B26" s="15">
        <v>1205.5</v>
      </c>
      <c r="C26" s="15">
        <v>388000.49790581595</v>
      </c>
      <c r="D26" s="15">
        <v>295863.45722298301</v>
      </c>
    </row>
    <row r="27" spans="1:16">
      <c r="A27" s="15">
        <v>8800</v>
      </c>
      <c r="B27" s="15">
        <v>1509.55</v>
      </c>
      <c r="C27" s="15">
        <v>485861.59403875936</v>
      </c>
      <c r="D27" s="15">
        <v>370485.84143588052</v>
      </c>
    </row>
    <row r="28" spans="1:16">
      <c r="A28" s="15">
        <v>30800</v>
      </c>
      <c r="B28" s="15">
        <v>1610.9</v>
      </c>
      <c r="C28" s="15">
        <v>518481.95941640722</v>
      </c>
      <c r="D28" s="15">
        <v>395359.96950684639</v>
      </c>
    </row>
    <row r="29" spans="1:16">
      <c r="A29" s="15">
        <v>3700</v>
      </c>
      <c r="B29" s="15">
        <v>1712.25</v>
      </c>
      <c r="C29" s="15">
        <v>551102.32479405496</v>
      </c>
      <c r="D29" s="15">
        <v>420234.09757781215</v>
      </c>
    </row>
    <row r="30" spans="1:16">
      <c r="A30" s="15">
        <v>5300</v>
      </c>
      <c r="B30" s="15">
        <v>1813.6</v>
      </c>
      <c r="C30" s="15">
        <v>583722.69017170288</v>
      </c>
      <c r="D30" s="15">
        <v>445108.22564877814</v>
      </c>
    </row>
    <row r="31" spans="1:16">
      <c r="A31" s="15">
        <v>4600</v>
      </c>
      <c r="B31" s="15">
        <v>1914.95</v>
      </c>
      <c r="C31" s="15">
        <v>616343.05554935057</v>
      </c>
      <c r="D31" s="15">
        <v>469982.35371974384</v>
      </c>
    </row>
    <row r="32" spans="1:16">
      <c r="A32" s="15">
        <v>85950</v>
      </c>
      <c r="B32" s="15">
        <v>2148.0549999999998</v>
      </c>
      <c r="C32" s="15">
        <v>691369.89591794077</v>
      </c>
      <c r="D32" s="15">
        <v>527192.84828296548</v>
      </c>
    </row>
    <row r="33" spans="1:10">
      <c r="A33" s="15">
        <f>SUM(A26:A32)</f>
        <v>154350</v>
      </c>
      <c r="I33" s="13"/>
      <c r="J33" s="3"/>
    </row>
  </sheetData>
  <phoneticPr fontId="0" type="noConversion"/>
  <pageMargins left="0.75" right="0.75" top="1" bottom="1" header="0.5" footer="0.5"/>
  <pageSetup scale="83" orientation="landscape" horizontalDpi="355" verticalDpi="355" r:id="rId1"/>
  <headerFooter alignWithMargins="0"/>
  <drawing r:id="rId2"/>
  <legacyDrawing r:id="rId3"/>
  <oleObjects>
    <mc:AlternateContent xmlns:mc="http://schemas.openxmlformats.org/markup-compatibility/2006">
      <mc:Choice Requires="x14">
        <oleObject progId="Mathcad" shapeId="4097" r:id="rId4">
          <objectPr defaultSize="0" r:id="rId5">
            <anchor moveWithCells="1">
              <from>
                <xdr:col>8</xdr:col>
                <xdr:colOff>165100</xdr:colOff>
                <xdr:row>0</xdr:row>
                <xdr:rowOff>133350</xdr:rowOff>
              </from>
              <to>
                <xdr:col>9</xdr:col>
                <xdr:colOff>285750</xdr:colOff>
                <xdr:row>3</xdr:row>
                <xdr:rowOff>0</xdr:rowOff>
              </to>
            </anchor>
          </objectPr>
        </oleObject>
      </mc:Choice>
      <mc:Fallback>
        <oleObject progId="Mathcad" shapeId="4097" r:id="rId4"/>
      </mc:Fallback>
    </mc:AlternateContent>
    <mc:AlternateContent xmlns:mc="http://schemas.openxmlformats.org/markup-compatibility/2006">
      <mc:Choice Requires="x14">
        <oleObject progId="Mathcad" shapeId="4098" r:id="rId6">
          <objectPr defaultSize="0" r:id="rId7">
            <anchor moveWithCells="1">
              <from>
                <xdr:col>9</xdr:col>
                <xdr:colOff>539750</xdr:colOff>
                <xdr:row>1</xdr:row>
                <xdr:rowOff>31750</xdr:rowOff>
              </from>
              <to>
                <xdr:col>12</xdr:col>
                <xdr:colOff>50800</xdr:colOff>
                <xdr:row>2</xdr:row>
                <xdr:rowOff>127000</xdr:rowOff>
              </to>
            </anchor>
          </objectPr>
        </oleObject>
      </mc:Choice>
      <mc:Fallback>
        <oleObject progId="Mathcad" shapeId="4098" r:id="rId6"/>
      </mc:Fallback>
    </mc:AlternateContent>
  </oleObjec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P36"/>
  <sheetViews>
    <sheetView topLeftCell="F4" workbookViewId="0">
      <selection activeCell="P24" sqref="O6:P24"/>
    </sheetView>
  </sheetViews>
  <sheetFormatPr defaultColWidth="9" defaultRowHeight="12.5"/>
  <cols>
    <col min="1" max="9" width="9" style="3"/>
    <col min="10" max="10" width="9.36328125" style="13" customWidth="1"/>
    <col min="11" max="16384" width="9" style="3"/>
  </cols>
  <sheetData>
    <row r="1" spans="1:16" s="1" customFormat="1">
      <c r="A1" s="1" t="s">
        <v>29</v>
      </c>
      <c r="C1" s="19" t="s">
        <v>10</v>
      </c>
      <c r="D1" s="1">
        <v>379</v>
      </c>
      <c r="E1" s="1" t="s">
        <v>11</v>
      </c>
      <c r="F1" s="7" t="s">
        <v>20</v>
      </c>
      <c r="G1" s="17">
        <f>D4/(2*D3)</f>
        <v>1485.8075040783035</v>
      </c>
      <c r="H1" s="1" t="s">
        <v>26</v>
      </c>
      <c r="J1" s="13"/>
    </row>
    <row r="2" spans="1:16">
      <c r="A2" s="3" t="s">
        <v>30</v>
      </c>
      <c r="C2" s="18" t="s">
        <v>15</v>
      </c>
      <c r="D2" s="3">
        <v>384.9</v>
      </c>
      <c r="E2" s="3" t="s">
        <v>11</v>
      </c>
      <c r="F2" s="18" t="s">
        <v>21</v>
      </c>
      <c r="G2" s="3">
        <f>SQRT(1/(D3*D5))</f>
        <v>8244.4965742557415</v>
      </c>
      <c r="H2" s="3" t="s">
        <v>26</v>
      </c>
    </row>
    <row r="3" spans="1:16">
      <c r="C3" s="18" t="s">
        <v>16</v>
      </c>
      <c r="D3" s="16">
        <v>3.0649999999999999E-6</v>
      </c>
      <c r="E3" s="3" t="s">
        <v>17</v>
      </c>
      <c r="F3" s="18" t="s">
        <v>25</v>
      </c>
      <c r="G3" s="16">
        <v>1.7110000000000001E-4</v>
      </c>
      <c r="H3" s="3" t="s">
        <v>27</v>
      </c>
    </row>
    <row r="4" spans="1:16">
      <c r="C4" s="18" t="s">
        <v>18</v>
      </c>
      <c r="D4" s="16">
        <v>9.1079999999999998E-3</v>
      </c>
      <c r="E4" s="3" t="s">
        <v>19</v>
      </c>
    </row>
    <row r="5" spans="1:16">
      <c r="C5" s="18" t="s">
        <v>22</v>
      </c>
      <c r="D5" s="16">
        <v>4.7999999999999996E-3</v>
      </c>
      <c r="E5" s="3" t="s">
        <v>23</v>
      </c>
    </row>
    <row r="6" spans="1:16" s="6" customFormat="1" ht="87.5">
      <c r="A6" s="2" t="s">
        <v>0</v>
      </c>
      <c r="B6" s="2" t="s">
        <v>5</v>
      </c>
      <c r="C6" s="2" t="s">
        <v>1</v>
      </c>
      <c r="D6" s="2" t="s">
        <v>2</v>
      </c>
      <c r="E6" s="2" t="s">
        <v>3</v>
      </c>
      <c r="F6" s="2" t="s">
        <v>9</v>
      </c>
      <c r="G6" s="2" t="s">
        <v>7</v>
      </c>
      <c r="H6" s="2" t="s">
        <v>8</v>
      </c>
      <c r="I6" s="2" t="s">
        <v>4</v>
      </c>
      <c r="J6" s="14"/>
      <c r="K6" s="5" t="s">
        <v>5</v>
      </c>
      <c r="L6" s="5" t="s">
        <v>13</v>
      </c>
      <c r="M6" s="5" t="s">
        <v>24</v>
      </c>
      <c r="N6" s="5" t="s">
        <v>14</v>
      </c>
      <c r="O6" s="6" t="s">
        <v>52</v>
      </c>
      <c r="P6" s="6" t="s">
        <v>54</v>
      </c>
    </row>
    <row r="7" spans="1:16">
      <c r="A7" s="2">
        <v>0</v>
      </c>
      <c r="B7" s="8"/>
      <c r="C7" s="5">
        <v>0.26</v>
      </c>
      <c r="D7" s="9">
        <v>1.92</v>
      </c>
      <c r="E7" s="10">
        <v>37223</v>
      </c>
      <c r="F7" s="12">
        <f>(0.2027*A7+1.2055)*1000</f>
        <v>1205.5</v>
      </c>
      <c r="G7" s="12">
        <f>D7*157.4</f>
        <v>302.20800000000003</v>
      </c>
      <c r="H7" s="12">
        <f>C7*7.751*157.4</f>
        <v>317.20192400000002</v>
      </c>
      <c r="I7" s="9">
        <f>G7/H7</f>
        <v>0.9527306650258528</v>
      </c>
    </row>
    <row r="8" spans="1:16">
      <c r="A8" s="2">
        <v>0</v>
      </c>
      <c r="B8" s="8">
        <v>1300</v>
      </c>
      <c r="C8" s="5">
        <v>0.26</v>
      </c>
      <c r="D8" s="9">
        <v>1.92</v>
      </c>
      <c r="E8" s="10">
        <v>37223</v>
      </c>
      <c r="F8" s="12">
        <f>(0.2027*A8+1.2055)*1000</f>
        <v>1205.5</v>
      </c>
      <c r="G8" s="12">
        <f>D8*157.4</f>
        <v>302.20800000000003</v>
      </c>
      <c r="H8" s="12">
        <f>C8*7.751*157.4</f>
        <v>317.20192400000002</v>
      </c>
      <c r="I8" s="9">
        <f>G8/H8</f>
        <v>0.9527306650258528</v>
      </c>
      <c r="K8" s="3">
        <f>B8-B7</f>
        <v>1300</v>
      </c>
      <c r="L8" s="15">
        <f>F8</f>
        <v>1205.5</v>
      </c>
      <c r="M8" s="16">
        <f>8*F8/($D$3*SQRT($G$2^2-$G$1^2))</f>
        <v>388000.49790581595</v>
      </c>
      <c r="N8" s="16">
        <f>M8*(EXP(-$G$1*$G$3))*SIN(SQRT($G$2^2-$G$1^2)*$G$3)</f>
        <v>295863.45722298301</v>
      </c>
      <c r="O8" s="16">
        <f>1000*(D8*1000-228.75)*8/64.353</f>
        <v>210246.60854971799</v>
      </c>
      <c r="P8" s="43">
        <f>IF(O8/N8&gt;0.5,O8/N8,"")</f>
        <v>0.710620400785967</v>
      </c>
    </row>
    <row r="9" spans="1:16">
      <c r="A9" s="8">
        <v>1</v>
      </c>
      <c r="B9" s="8">
        <v>1300</v>
      </c>
      <c r="C9" s="11">
        <v>0.30399999999999999</v>
      </c>
      <c r="D9" s="9">
        <v>2.2799999999999998</v>
      </c>
      <c r="E9" s="10">
        <v>37223</v>
      </c>
      <c r="F9" s="12">
        <f t="shared" ref="F9:F22" si="0">(0.2027*A9+1.2055)*1000</f>
        <v>1408.1999999999998</v>
      </c>
      <c r="G9" s="12">
        <f t="shared" ref="G9:G22" si="1">D9*157.4</f>
        <v>358.87199999999996</v>
      </c>
      <c r="H9" s="12">
        <f t="shared" ref="H9:H22" si="2">C9*7.751*157.4</f>
        <v>370.88224960000002</v>
      </c>
      <c r="I9" s="9">
        <f t="shared" ref="I9:I22" si="3">G9/H9</f>
        <v>0.96761708166688154</v>
      </c>
      <c r="K9" s="3">
        <f t="shared" ref="K9:K22" si="4">B9-B8</f>
        <v>0</v>
      </c>
      <c r="L9" s="15">
        <f t="shared" ref="L9:L22" si="5">F9</f>
        <v>1408.1999999999998</v>
      </c>
      <c r="M9" s="16">
        <f t="shared" ref="M9:M22" si="6">8*F9/($D$3*SQRT($G$2^2-$G$1^2))</f>
        <v>453241.2286611115</v>
      </c>
      <c r="N9" s="16">
        <f t="shared" ref="N9:N22" si="7">M9*(EXP(-$G$1*$G$3))*SIN(SQRT($G$2^2-$G$1^2)*$G$3)</f>
        <v>345611.71336491464</v>
      </c>
      <c r="O9" s="16">
        <f t="shared" ref="O9:O22" si="8">1000*(D9*1000-228.75)*8/64.353</f>
        <v>254999.76691063357</v>
      </c>
      <c r="P9" s="43">
        <f t="shared" ref="P9:P22" si="9">IF(O9/N9&gt;0.5,O9/N9,"")</f>
        <v>0.73782154090764762</v>
      </c>
    </row>
    <row r="10" spans="1:16">
      <c r="A10" s="8">
        <v>1</v>
      </c>
      <c r="B10" s="8">
        <v>1440</v>
      </c>
      <c r="C10" s="11">
        <v>0.30399999999999999</v>
      </c>
      <c r="D10" s="9">
        <v>2.2400000000000002</v>
      </c>
      <c r="E10" s="10">
        <v>37224</v>
      </c>
      <c r="F10" s="12">
        <f t="shared" si="0"/>
        <v>1408.1999999999998</v>
      </c>
      <c r="G10" s="12">
        <f t="shared" si="1"/>
        <v>352.57600000000002</v>
      </c>
      <c r="H10" s="12">
        <f t="shared" si="2"/>
        <v>370.88224960000002</v>
      </c>
      <c r="I10" s="9">
        <f t="shared" si="3"/>
        <v>0.95064134339202411</v>
      </c>
      <c r="K10" s="3">
        <f t="shared" si="4"/>
        <v>140</v>
      </c>
      <c r="L10" s="15">
        <f t="shared" si="5"/>
        <v>1408.1999999999998</v>
      </c>
      <c r="M10" s="16">
        <f t="shared" si="6"/>
        <v>453241.2286611115</v>
      </c>
      <c r="N10" s="16">
        <f t="shared" si="7"/>
        <v>345611.71336491464</v>
      </c>
      <c r="O10" s="16">
        <f t="shared" si="8"/>
        <v>250027.19375942071</v>
      </c>
      <c r="P10" s="43">
        <f t="shared" si="9"/>
        <v>0.7234337960514351</v>
      </c>
    </row>
    <row r="11" spans="1:16">
      <c r="A11" s="8">
        <v>1</v>
      </c>
      <c r="B11" s="8">
        <v>0</v>
      </c>
      <c r="C11" s="11">
        <v>0.30399999999999999</v>
      </c>
      <c r="D11" s="9">
        <v>2.2400000000000002</v>
      </c>
      <c r="E11" s="10">
        <v>37224</v>
      </c>
      <c r="F11" s="12">
        <f t="shared" si="0"/>
        <v>1408.1999999999998</v>
      </c>
      <c r="G11" s="12">
        <f t="shared" si="1"/>
        <v>352.57600000000002</v>
      </c>
      <c r="H11" s="12">
        <f t="shared" si="2"/>
        <v>370.88224960000002</v>
      </c>
      <c r="I11" s="9">
        <f t="shared" si="3"/>
        <v>0.95064134339202411</v>
      </c>
      <c r="L11" s="15">
        <f t="shared" si="5"/>
        <v>1408.1999999999998</v>
      </c>
      <c r="M11" s="16">
        <f t="shared" si="6"/>
        <v>453241.2286611115</v>
      </c>
      <c r="N11" s="16">
        <f t="shared" si="7"/>
        <v>345611.71336491464</v>
      </c>
      <c r="O11" s="16">
        <f t="shared" si="8"/>
        <v>250027.19375942071</v>
      </c>
      <c r="P11" s="43">
        <f t="shared" si="9"/>
        <v>0.7234337960514351</v>
      </c>
    </row>
    <row r="12" spans="1:16">
      <c r="A12" s="8">
        <v>1</v>
      </c>
      <c r="B12" s="8">
        <v>2600</v>
      </c>
      <c r="C12" s="11">
        <v>0.30399999999999999</v>
      </c>
      <c r="D12" s="9">
        <v>2.2400000000000002</v>
      </c>
      <c r="E12" s="10">
        <v>37224</v>
      </c>
      <c r="F12" s="12">
        <f t="shared" si="0"/>
        <v>1408.1999999999998</v>
      </c>
      <c r="G12" s="12">
        <f t="shared" si="1"/>
        <v>352.57600000000002</v>
      </c>
      <c r="H12" s="12">
        <f t="shared" si="2"/>
        <v>370.88224960000002</v>
      </c>
      <c r="I12" s="9">
        <f t="shared" si="3"/>
        <v>0.95064134339202411</v>
      </c>
      <c r="K12" s="3">
        <f t="shared" si="4"/>
        <v>2600</v>
      </c>
      <c r="L12" s="15">
        <f t="shared" si="5"/>
        <v>1408.1999999999998</v>
      </c>
      <c r="M12" s="16">
        <f t="shared" si="6"/>
        <v>453241.2286611115</v>
      </c>
      <c r="N12" s="16">
        <f t="shared" si="7"/>
        <v>345611.71336491464</v>
      </c>
      <c r="O12" s="16">
        <f t="shared" si="8"/>
        <v>250027.19375942071</v>
      </c>
      <c r="P12" s="43">
        <f t="shared" si="9"/>
        <v>0.7234337960514351</v>
      </c>
    </row>
    <row r="13" spans="1:16">
      <c r="A13" s="8">
        <v>2</v>
      </c>
      <c r="B13" s="8">
        <v>2600</v>
      </c>
      <c r="C13" s="11">
        <v>0.35599999999999998</v>
      </c>
      <c r="D13" s="9">
        <v>2.64</v>
      </c>
      <c r="E13" s="10">
        <v>37224</v>
      </c>
      <c r="F13" s="12">
        <f t="shared" si="0"/>
        <v>1610.9</v>
      </c>
      <c r="G13" s="12">
        <f t="shared" si="1"/>
        <v>415.53600000000006</v>
      </c>
      <c r="H13" s="12">
        <f t="shared" si="2"/>
        <v>434.32263440000003</v>
      </c>
      <c r="I13" s="9">
        <f t="shared" si="3"/>
        <v>0.95674497962568084</v>
      </c>
      <c r="K13" s="3">
        <f t="shared" si="4"/>
        <v>0</v>
      </c>
      <c r="L13" s="15">
        <f t="shared" si="5"/>
        <v>1610.9</v>
      </c>
      <c r="M13" s="16">
        <f t="shared" si="6"/>
        <v>518481.95941640722</v>
      </c>
      <c r="N13" s="16">
        <f t="shared" si="7"/>
        <v>395359.96950684639</v>
      </c>
      <c r="O13" s="16">
        <f t="shared" si="8"/>
        <v>299752.92527154915</v>
      </c>
      <c r="P13" s="43">
        <f t="shared" si="9"/>
        <v>0.75817722680788091</v>
      </c>
    </row>
    <row r="14" spans="1:16">
      <c r="A14" s="8">
        <v>2</v>
      </c>
      <c r="B14" s="8">
        <v>3350</v>
      </c>
      <c r="C14" s="11">
        <v>0.35599999999999998</v>
      </c>
      <c r="D14" s="9">
        <v>2.64</v>
      </c>
      <c r="E14" s="10">
        <v>37224</v>
      </c>
      <c r="F14" s="12">
        <f t="shared" si="0"/>
        <v>1610.9</v>
      </c>
      <c r="G14" s="12">
        <f t="shared" si="1"/>
        <v>415.53600000000006</v>
      </c>
      <c r="H14" s="12">
        <f t="shared" si="2"/>
        <v>434.32263440000003</v>
      </c>
      <c r="I14" s="9">
        <f t="shared" si="3"/>
        <v>0.95674497962568084</v>
      </c>
      <c r="K14" s="3">
        <f t="shared" si="4"/>
        <v>750</v>
      </c>
      <c r="L14" s="15">
        <f t="shared" si="5"/>
        <v>1610.9</v>
      </c>
      <c r="M14" s="16">
        <f t="shared" si="6"/>
        <v>518481.95941640722</v>
      </c>
      <c r="N14" s="16">
        <f t="shared" si="7"/>
        <v>395359.96950684639</v>
      </c>
      <c r="O14" s="16">
        <f t="shared" si="8"/>
        <v>299752.92527154915</v>
      </c>
      <c r="P14" s="43">
        <f t="shared" si="9"/>
        <v>0.75817722680788091</v>
      </c>
    </row>
    <row r="15" spans="1:16">
      <c r="A15" s="8">
        <v>3</v>
      </c>
      <c r="B15" s="8">
        <v>3350</v>
      </c>
      <c r="C15" s="11">
        <v>0.4</v>
      </c>
      <c r="D15" s="9">
        <v>2.96</v>
      </c>
      <c r="E15" s="10">
        <v>37224</v>
      </c>
      <c r="F15" s="12">
        <f t="shared" si="0"/>
        <v>1813.6000000000001</v>
      </c>
      <c r="G15" s="12">
        <f t="shared" si="1"/>
        <v>465.904</v>
      </c>
      <c r="H15" s="12">
        <f t="shared" si="2"/>
        <v>488.00296000000009</v>
      </c>
      <c r="I15" s="9">
        <f t="shared" si="3"/>
        <v>0.95471552057798981</v>
      </c>
      <c r="K15" s="3">
        <f t="shared" si="4"/>
        <v>0</v>
      </c>
      <c r="L15" s="15">
        <f t="shared" si="5"/>
        <v>1813.6000000000001</v>
      </c>
      <c r="M15" s="16">
        <f t="shared" si="6"/>
        <v>583722.69017170288</v>
      </c>
      <c r="N15" s="16">
        <f t="shared" si="7"/>
        <v>445108.22564877814</v>
      </c>
      <c r="O15" s="16">
        <f t="shared" si="8"/>
        <v>339533.51048125187</v>
      </c>
      <c r="P15" s="43">
        <f t="shared" si="9"/>
        <v>0.76281113427269664</v>
      </c>
    </row>
    <row r="16" spans="1:16">
      <c r="A16" s="8">
        <v>3</v>
      </c>
      <c r="B16" s="8">
        <v>4780</v>
      </c>
      <c r="C16" s="11">
        <v>0.4</v>
      </c>
      <c r="D16" s="9">
        <v>2.96</v>
      </c>
      <c r="E16" s="10">
        <v>37224</v>
      </c>
      <c r="F16" s="12">
        <f t="shared" si="0"/>
        <v>1813.6000000000001</v>
      </c>
      <c r="G16" s="12">
        <f t="shared" si="1"/>
        <v>465.904</v>
      </c>
      <c r="H16" s="12">
        <f t="shared" si="2"/>
        <v>488.00296000000009</v>
      </c>
      <c r="I16" s="9">
        <f t="shared" si="3"/>
        <v>0.95471552057798981</v>
      </c>
      <c r="K16" s="3">
        <f t="shared" si="4"/>
        <v>1430</v>
      </c>
      <c r="L16" s="15">
        <f t="shared" si="5"/>
        <v>1813.6000000000001</v>
      </c>
      <c r="M16" s="16">
        <f t="shared" si="6"/>
        <v>583722.69017170288</v>
      </c>
      <c r="N16" s="16">
        <f t="shared" si="7"/>
        <v>445108.22564877814</v>
      </c>
      <c r="O16" s="16">
        <f t="shared" si="8"/>
        <v>339533.51048125187</v>
      </c>
      <c r="P16" s="43">
        <f t="shared" si="9"/>
        <v>0.76281113427269664</v>
      </c>
    </row>
    <row r="17" spans="1:16">
      <c r="A17" s="8">
        <v>3.5</v>
      </c>
      <c r="B17" s="8">
        <v>4780</v>
      </c>
      <c r="C17" s="11">
        <v>0.42399999999999999</v>
      </c>
      <c r="D17" s="9">
        <v>3.12</v>
      </c>
      <c r="E17" s="10">
        <v>37224</v>
      </c>
      <c r="F17" s="12">
        <f t="shared" si="0"/>
        <v>1914.9499999999998</v>
      </c>
      <c r="G17" s="12">
        <f t="shared" si="1"/>
        <v>491.08800000000002</v>
      </c>
      <c r="H17" s="12">
        <f t="shared" si="2"/>
        <v>517.28313760000003</v>
      </c>
      <c r="I17" s="9">
        <f t="shared" si="3"/>
        <v>0.94936015559769527</v>
      </c>
      <c r="K17" s="3">
        <f t="shared" si="4"/>
        <v>0</v>
      </c>
      <c r="L17" s="15">
        <f t="shared" si="5"/>
        <v>1914.9499999999998</v>
      </c>
      <c r="M17" s="16">
        <f t="shared" si="6"/>
        <v>616343.05554935057</v>
      </c>
      <c r="N17" s="16">
        <f t="shared" si="7"/>
        <v>469982.35371974384</v>
      </c>
      <c r="O17" s="16">
        <f t="shared" si="8"/>
        <v>359423.80308610323</v>
      </c>
      <c r="P17" s="43">
        <f t="shared" si="9"/>
        <v>0.7647602090618747</v>
      </c>
    </row>
    <row r="18" spans="1:16">
      <c r="A18" s="8">
        <v>3.5</v>
      </c>
      <c r="B18" s="8">
        <v>9010</v>
      </c>
      <c r="C18" s="11">
        <v>0.42399999999999999</v>
      </c>
      <c r="D18" s="9">
        <v>3.12</v>
      </c>
      <c r="E18" s="10">
        <v>37224</v>
      </c>
      <c r="F18" s="12">
        <f t="shared" si="0"/>
        <v>1914.9499999999998</v>
      </c>
      <c r="G18" s="12">
        <f t="shared" si="1"/>
        <v>491.08800000000002</v>
      </c>
      <c r="H18" s="12">
        <f t="shared" si="2"/>
        <v>517.28313760000003</v>
      </c>
      <c r="I18" s="9">
        <f t="shared" si="3"/>
        <v>0.94936015559769527</v>
      </c>
      <c r="K18" s="3">
        <f t="shared" si="4"/>
        <v>4230</v>
      </c>
      <c r="L18" s="15">
        <f t="shared" si="5"/>
        <v>1914.9499999999998</v>
      </c>
      <c r="M18" s="16">
        <f t="shared" si="6"/>
        <v>616343.05554935057</v>
      </c>
      <c r="N18" s="16">
        <f t="shared" si="7"/>
        <v>469982.35371974384</v>
      </c>
      <c r="O18" s="16">
        <f t="shared" si="8"/>
        <v>359423.80308610323</v>
      </c>
      <c r="P18" s="43">
        <f t="shared" si="9"/>
        <v>0.7647602090618747</v>
      </c>
    </row>
    <row r="19" spans="1:16">
      <c r="A19" s="8">
        <v>4</v>
      </c>
      <c r="B19" s="8">
        <v>9010</v>
      </c>
      <c r="C19" s="11">
        <v>0.44</v>
      </c>
      <c r="D19" s="8">
        <v>3.28</v>
      </c>
      <c r="E19" s="10">
        <v>37224</v>
      </c>
      <c r="F19" s="12">
        <f t="shared" si="0"/>
        <v>2016.3000000000002</v>
      </c>
      <c r="G19" s="12">
        <f t="shared" si="1"/>
        <v>516.27199999999993</v>
      </c>
      <c r="H19" s="12">
        <f t="shared" si="2"/>
        <v>536.80325600000003</v>
      </c>
      <c r="I19" s="9">
        <f t="shared" si="3"/>
        <v>0.96175273571738529</v>
      </c>
      <c r="K19" s="3">
        <f t="shared" si="4"/>
        <v>0</v>
      </c>
      <c r="L19" s="15">
        <f t="shared" si="5"/>
        <v>2016.3000000000002</v>
      </c>
      <c r="M19" s="16">
        <f t="shared" si="6"/>
        <v>648963.42092699849</v>
      </c>
      <c r="N19" s="16">
        <f t="shared" si="7"/>
        <v>494856.48179070977</v>
      </c>
      <c r="O19" s="16">
        <f t="shared" si="8"/>
        <v>379314.09569095459</v>
      </c>
      <c r="P19" s="43">
        <f t="shared" si="9"/>
        <v>0.76651334204687316</v>
      </c>
    </row>
    <row r="20" spans="1:16">
      <c r="A20" s="8">
        <v>4</v>
      </c>
      <c r="B20" s="8">
        <v>9600</v>
      </c>
      <c r="C20" s="11">
        <v>0.44</v>
      </c>
      <c r="D20" s="8">
        <v>3.28</v>
      </c>
      <c r="E20" s="10">
        <v>37224</v>
      </c>
      <c r="F20" s="12">
        <f t="shared" si="0"/>
        <v>2016.3000000000002</v>
      </c>
      <c r="G20" s="12">
        <f t="shared" si="1"/>
        <v>516.27199999999993</v>
      </c>
      <c r="H20" s="12">
        <f t="shared" si="2"/>
        <v>536.80325600000003</v>
      </c>
      <c r="I20" s="9">
        <f t="shared" si="3"/>
        <v>0.96175273571738529</v>
      </c>
      <c r="K20" s="3">
        <f t="shared" si="4"/>
        <v>590</v>
      </c>
      <c r="L20" s="15">
        <f t="shared" si="5"/>
        <v>2016.3000000000002</v>
      </c>
      <c r="M20" s="16">
        <f t="shared" si="6"/>
        <v>648963.42092699849</v>
      </c>
      <c r="N20" s="16">
        <f t="shared" si="7"/>
        <v>494856.48179070977</v>
      </c>
      <c r="O20" s="16">
        <f t="shared" si="8"/>
        <v>379314.09569095459</v>
      </c>
      <c r="P20" s="43">
        <f t="shared" si="9"/>
        <v>0.76651334204687316</v>
      </c>
    </row>
    <row r="21" spans="1:16">
      <c r="A21" s="8">
        <v>4.2</v>
      </c>
      <c r="B21" s="8">
        <v>9600</v>
      </c>
      <c r="C21" s="8">
        <v>0.44800000000000001</v>
      </c>
      <c r="D21" s="8">
        <v>3.32</v>
      </c>
      <c r="E21" s="10">
        <v>37224</v>
      </c>
      <c r="F21" s="12">
        <f t="shared" si="0"/>
        <v>2056.84</v>
      </c>
      <c r="G21" s="12">
        <f t="shared" si="1"/>
        <v>522.56799999999998</v>
      </c>
      <c r="H21" s="12">
        <f t="shared" si="2"/>
        <v>546.56331520000003</v>
      </c>
      <c r="I21" s="9">
        <f t="shared" si="3"/>
        <v>0.95609783069465681</v>
      </c>
      <c r="K21" s="3">
        <f t="shared" si="4"/>
        <v>0</v>
      </c>
      <c r="L21" s="15">
        <f t="shared" si="5"/>
        <v>2056.84</v>
      </c>
      <c r="M21" s="16">
        <f t="shared" si="6"/>
        <v>662011.56707805768</v>
      </c>
      <c r="N21" s="16">
        <f t="shared" si="7"/>
        <v>504806.13301909616</v>
      </c>
      <c r="O21" s="16">
        <f t="shared" si="8"/>
        <v>384286.66884216748</v>
      </c>
      <c r="P21" s="43">
        <f t="shared" si="9"/>
        <v>0.76125594303671107</v>
      </c>
    </row>
    <row r="22" spans="1:16">
      <c r="A22" s="8">
        <v>4.2</v>
      </c>
      <c r="B22" s="8">
        <v>11924</v>
      </c>
      <c r="C22" s="8">
        <v>0.44800000000000001</v>
      </c>
      <c r="D22" s="8">
        <v>3.32</v>
      </c>
      <c r="E22" s="10">
        <v>37224</v>
      </c>
      <c r="F22" s="12">
        <f t="shared" si="0"/>
        <v>2056.84</v>
      </c>
      <c r="G22" s="12">
        <f t="shared" si="1"/>
        <v>522.56799999999998</v>
      </c>
      <c r="H22" s="12">
        <f t="shared" si="2"/>
        <v>546.56331520000003</v>
      </c>
      <c r="I22" s="9">
        <f t="shared" si="3"/>
        <v>0.95609783069465681</v>
      </c>
      <c r="K22" s="3">
        <f t="shared" si="4"/>
        <v>2324</v>
      </c>
      <c r="L22" s="15">
        <f t="shared" si="5"/>
        <v>2056.84</v>
      </c>
      <c r="M22" s="16">
        <f t="shared" si="6"/>
        <v>662011.56707805768</v>
      </c>
      <c r="N22" s="16">
        <f t="shared" si="7"/>
        <v>504806.13301909616</v>
      </c>
      <c r="O22" s="16">
        <f t="shared" si="8"/>
        <v>384286.66884216748</v>
      </c>
      <c r="P22" s="43">
        <f t="shared" si="9"/>
        <v>0.76125594303671107</v>
      </c>
    </row>
    <row r="23" spans="1:16">
      <c r="A23" s="8"/>
      <c r="B23" s="4"/>
      <c r="E23" s="3" t="s">
        <v>12</v>
      </c>
      <c r="F23" s="15">
        <f>MAX(F7:F22)</f>
        <v>2056.84</v>
      </c>
      <c r="K23" s="3">
        <f>SUM(K8:K22)</f>
        <v>13364</v>
      </c>
      <c r="O23" s="3" t="s">
        <v>12</v>
      </c>
      <c r="P23" s="43">
        <f>MAX(P8:P22)</f>
        <v>0.76651334204687316</v>
      </c>
    </row>
    <row r="24" spans="1:16">
      <c r="O24" s="3" t="s">
        <v>53</v>
      </c>
      <c r="P24" s="43">
        <f>MIN(P8:P23)</f>
        <v>0.710620400785967</v>
      </c>
    </row>
    <row r="27" spans="1:16" ht="37.5">
      <c r="A27" s="5" t="s">
        <v>5</v>
      </c>
      <c r="B27" s="5" t="s">
        <v>13</v>
      </c>
      <c r="C27" s="5" t="s">
        <v>24</v>
      </c>
      <c r="D27" s="5" t="s">
        <v>14</v>
      </c>
      <c r="E27" s="5"/>
      <c r="J27" s="3"/>
      <c r="K27" s="13"/>
    </row>
    <row r="29" spans="1:16">
      <c r="A29" s="3">
        <v>1300</v>
      </c>
      <c r="B29" s="15">
        <v>1205.5</v>
      </c>
      <c r="C29" s="16">
        <v>388000.49790581595</v>
      </c>
      <c r="D29" s="16">
        <v>295863.45722298301</v>
      </c>
    </row>
    <row r="30" spans="1:16">
      <c r="A30" s="3">
        <v>2740</v>
      </c>
      <c r="B30" s="15">
        <v>1408.2</v>
      </c>
      <c r="C30" s="16">
        <v>453241.2286611115</v>
      </c>
      <c r="D30" s="16">
        <v>345611.71336491464</v>
      </c>
    </row>
    <row r="31" spans="1:16">
      <c r="A31" s="3">
        <v>750</v>
      </c>
      <c r="B31" s="15">
        <v>1610.9</v>
      </c>
      <c r="C31" s="16">
        <v>518481.95941640722</v>
      </c>
      <c r="D31" s="16">
        <v>395359.96950684639</v>
      </c>
    </row>
    <row r="32" spans="1:16">
      <c r="A32" s="3">
        <v>1430</v>
      </c>
      <c r="B32" s="3">
        <v>1813.6</v>
      </c>
      <c r="C32" s="3">
        <v>583722.69017170288</v>
      </c>
      <c r="D32" s="3">
        <v>445108.22564877814</v>
      </c>
    </row>
    <row r="33" spans="1:10">
      <c r="A33" s="3">
        <v>4230</v>
      </c>
      <c r="B33" s="3">
        <v>1914.95</v>
      </c>
      <c r="C33" s="3">
        <v>616343.05554935057</v>
      </c>
      <c r="D33" s="3">
        <v>469982.35371974384</v>
      </c>
    </row>
    <row r="34" spans="1:10">
      <c r="A34" s="3">
        <v>590</v>
      </c>
      <c r="B34" s="3">
        <v>2016.3</v>
      </c>
      <c r="C34" s="3">
        <v>648963.42092699849</v>
      </c>
      <c r="D34" s="3">
        <v>494856.48179070977</v>
      </c>
    </row>
    <row r="35" spans="1:10">
      <c r="A35" s="3">
        <v>2324</v>
      </c>
      <c r="B35" s="3">
        <v>2056.84</v>
      </c>
      <c r="C35" s="3">
        <v>662011.56707805768</v>
      </c>
      <c r="D35" s="3">
        <v>504806.13301909616</v>
      </c>
    </row>
    <row r="36" spans="1:10">
      <c r="A36" s="3">
        <f>SUM(A29:A35)</f>
        <v>13364</v>
      </c>
      <c r="I36" s="13"/>
      <c r="J36" s="3"/>
    </row>
  </sheetData>
  <phoneticPr fontId="0" type="noConversion"/>
  <pageMargins left="0.75" right="0.75" top="1" bottom="1" header="0.5" footer="0.5"/>
  <pageSetup scale="78" orientation="landscape" horizontalDpi="355" verticalDpi="355" r:id="rId1"/>
  <headerFooter alignWithMargins="0"/>
  <drawing r:id="rId2"/>
  <legacyDrawing r:id="rId3"/>
  <oleObjects>
    <mc:AlternateContent xmlns:mc="http://schemas.openxmlformats.org/markup-compatibility/2006">
      <mc:Choice Requires="x14">
        <oleObject progId="Mathcad" shapeId="3073" r:id="rId4">
          <objectPr defaultSize="0" r:id="rId5">
            <anchor moveWithCells="1">
              <from>
                <xdr:col>8</xdr:col>
                <xdr:colOff>165100</xdr:colOff>
                <xdr:row>0</xdr:row>
                <xdr:rowOff>133350</xdr:rowOff>
              </from>
              <to>
                <xdr:col>9</xdr:col>
                <xdr:colOff>285750</xdr:colOff>
                <xdr:row>3</xdr:row>
                <xdr:rowOff>0</xdr:rowOff>
              </to>
            </anchor>
          </objectPr>
        </oleObject>
      </mc:Choice>
      <mc:Fallback>
        <oleObject progId="Mathcad" shapeId="3073" r:id="rId4"/>
      </mc:Fallback>
    </mc:AlternateContent>
    <mc:AlternateContent xmlns:mc="http://schemas.openxmlformats.org/markup-compatibility/2006">
      <mc:Choice Requires="x14">
        <oleObject progId="Mathcad" shapeId="3074" r:id="rId6">
          <objectPr defaultSize="0" r:id="rId7">
            <anchor moveWithCells="1">
              <from>
                <xdr:col>9</xdr:col>
                <xdr:colOff>539750</xdr:colOff>
                <xdr:row>1</xdr:row>
                <xdr:rowOff>31750</xdr:rowOff>
              </from>
              <to>
                <xdr:col>12</xdr:col>
                <xdr:colOff>50800</xdr:colOff>
                <xdr:row>2</xdr:row>
                <xdr:rowOff>127000</xdr:rowOff>
              </to>
            </anchor>
          </objectPr>
        </oleObject>
      </mc:Choice>
      <mc:Fallback>
        <oleObject progId="Mathcad" shapeId="3074" r:id="rId6"/>
      </mc:Fallback>
    </mc:AlternateContent>
    <mc:AlternateContent xmlns:mc="http://schemas.openxmlformats.org/markup-compatibility/2006">
      <mc:Choice Requires="x14">
        <oleObject progId="Mathcad" shapeId="3075" r:id="rId8">
          <objectPr defaultSize="0" r:id="rId5">
            <anchor moveWithCells="1">
              <from>
                <xdr:col>8</xdr:col>
                <xdr:colOff>165100</xdr:colOff>
                <xdr:row>0</xdr:row>
                <xdr:rowOff>133350</xdr:rowOff>
              </from>
              <to>
                <xdr:col>9</xdr:col>
                <xdr:colOff>285750</xdr:colOff>
                <xdr:row>3</xdr:row>
                <xdr:rowOff>0</xdr:rowOff>
              </to>
            </anchor>
          </objectPr>
        </oleObject>
      </mc:Choice>
      <mc:Fallback>
        <oleObject progId="Mathcad" shapeId="3075" r:id="rId8"/>
      </mc:Fallback>
    </mc:AlternateContent>
    <mc:AlternateContent xmlns:mc="http://schemas.openxmlformats.org/markup-compatibility/2006">
      <mc:Choice Requires="x14">
        <oleObject progId="Mathcad" shapeId="3076" r:id="rId9">
          <objectPr defaultSize="0" r:id="rId7">
            <anchor moveWithCells="1">
              <from>
                <xdr:col>9</xdr:col>
                <xdr:colOff>539750</xdr:colOff>
                <xdr:row>1</xdr:row>
                <xdr:rowOff>31750</xdr:rowOff>
              </from>
              <to>
                <xdr:col>12</xdr:col>
                <xdr:colOff>50800</xdr:colOff>
                <xdr:row>2</xdr:row>
                <xdr:rowOff>127000</xdr:rowOff>
              </to>
            </anchor>
          </objectPr>
        </oleObject>
      </mc:Choice>
      <mc:Fallback>
        <oleObject progId="Mathcad" shapeId="3076" r:id="rId9"/>
      </mc:Fallback>
    </mc:AlternateContent>
  </oleObjec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P96"/>
  <sheetViews>
    <sheetView topLeftCell="E52" workbookViewId="0">
      <selection activeCell="O76" sqref="O76"/>
    </sheetView>
  </sheetViews>
  <sheetFormatPr defaultColWidth="9" defaultRowHeight="12.5"/>
  <cols>
    <col min="1" max="9" width="9" style="3"/>
    <col min="10" max="10" width="9.36328125" style="13" customWidth="1"/>
    <col min="11" max="16384" width="9" style="3"/>
  </cols>
  <sheetData>
    <row r="1" spans="1:16" s="1" customFormat="1">
      <c r="A1" s="1" t="s">
        <v>28</v>
      </c>
      <c r="C1" s="19" t="s">
        <v>10</v>
      </c>
      <c r="D1" s="1">
        <v>377.5</v>
      </c>
      <c r="E1" s="1" t="s">
        <v>11</v>
      </c>
      <c r="F1" s="7" t="s">
        <v>20</v>
      </c>
      <c r="G1" s="17">
        <f>D4/(2*D3)</f>
        <v>1485.8075040783035</v>
      </c>
      <c r="H1" s="1" t="s">
        <v>26</v>
      </c>
      <c r="J1" s="13"/>
    </row>
    <row r="2" spans="1:16">
      <c r="C2" s="18" t="s">
        <v>15</v>
      </c>
      <c r="D2" s="3">
        <v>385</v>
      </c>
      <c r="E2" s="3" t="s">
        <v>11</v>
      </c>
      <c r="F2" s="18" t="s">
        <v>21</v>
      </c>
      <c r="G2" s="3">
        <f>SQRT(1/(D3*D5))</f>
        <v>8244.4965742557415</v>
      </c>
      <c r="H2" s="3" t="s">
        <v>26</v>
      </c>
    </row>
    <row r="3" spans="1:16">
      <c r="C3" s="18" t="s">
        <v>16</v>
      </c>
      <c r="D3" s="16">
        <v>3.0649999999999999E-6</v>
      </c>
      <c r="E3" s="3" t="s">
        <v>17</v>
      </c>
      <c r="F3" s="18" t="s">
        <v>25</v>
      </c>
      <c r="G3" s="16">
        <v>1.7110000000000001E-4</v>
      </c>
      <c r="H3" s="3" t="s">
        <v>27</v>
      </c>
    </row>
    <row r="4" spans="1:16">
      <c r="C4" s="18" t="s">
        <v>18</v>
      </c>
      <c r="D4" s="16">
        <v>9.1079999999999998E-3</v>
      </c>
      <c r="E4" s="3" t="s">
        <v>19</v>
      </c>
    </row>
    <row r="5" spans="1:16">
      <c r="C5" s="18" t="s">
        <v>22</v>
      </c>
      <c r="D5" s="16">
        <v>4.7999999999999996E-3</v>
      </c>
      <c r="E5" s="3" t="s">
        <v>23</v>
      </c>
    </row>
    <row r="6" spans="1:16" s="6" customFormat="1" ht="87.5">
      <c r="A6" s="2" t="s">
        <v>0</v>
      </c>
      <c r="B6" s="2" t="s">
        <v>5</v>
      </c>
      <c r="C6" s="2" t="s">
        <v>1</v>
      </c>
      <c r="D6" s="2" t="s">
        <v>2</v>
      </c>
      <c r="E6" s="2" t="s">
        <v>3</v>
      </c>
      <c r="F6" s="2" t="s">
        <v>9</v>
      </c>
      <c r="G6" s="2" t="s">
        <v>7</v>
      </c>
      <c r="H6" s="2" t="s">
        <v>8</v>
      </c>
      <c r="I6" s="2" t="s">
        <v>4</v>
      </c>
      <c r="J6" s="14"/>
      <c r="K6" s="5" t="s">
        <v>5</v>
      </c>
      <c r="L6" s="5" t="s">
        <v>13</v>
      </c>
      <c r="M6" s="5" t="s">
        <v>24</v>
      </c>
      <c r="N6" s="5" t="s">
        <v>14</v>
      </c>
      <c r="O6" s="6" t="s">
        <v>52</v>
      </c>
      <c r="P6" s="6" t="s">
        <v>54</v>
      </c>
    </row>
    <row r="7" spans="1:16">
      <c r="A7" s="2">
        <v>0</v>
      </c>
      <c r="B7" s="8"/>
      <c r="C7" s="5">
        <v>0.29199999999999998</v>
      </c>
      <c r="D7" s="9">
        <v>2.2400000000000002</v>
      </c>
      <c r="E7" s="10">
        <v>37326</v>
      </c>
      <c r="F7" s="12">
        <f>(0.2027*A7+1.2055)*1000</f>
        <v>1205.5</v>
      </c>
      <c r="G7" s="12">
        <f>D7*157.4</f>
        <v>352.57600000000002</v>
      </c>
      <c r="H7" s="12">
        <f>C7*7.751*157.4</f>
        <v>356.24216079999997</v>
      </c>
      <c r="I7" s="9">
        <f>G7/H7</f>
        <v>0.98970879586018967</v>
      </c>
    </row>
    <row r="8" spans="1:16">
      <c r="A8" s="2">
        <v>0</v>
      </c>
      <c r="B8" s="8">
        <v>1100</v>
      </c>
      <c r="C8" s="5">
        <v>0.29199999999999998</v>
      </c>
      <c r="D8" s="9">
        <v>2.2400000000000002</v>
      </c>
      <c r="E8" s="10">
        <v>37326</v>
      </c>
      <c r="F8" s="12">
        <f>(0.2027*A8+1.2055)*1000</f>
        <v>1205.5</v>
      </c>
      <c r="G8" s="12">
        <f>D8*157.4</f>
        <v>352.57600000000002</v>
      </c>
      <c r="H8" s="12">
        <f>C8*7.751*157.4</f>
        <v>356.24216079999997</v>
      </c>
      <c r="I8" s="9">
        <f>G8/H8</f>
        <v>0.98970879586018967</v>
      </c>
      <c r="K8" s="3">
        <f>B8-B7</f>
        <v>1100</v>
      </c>
      <c r="L8" s="15">
        <f>F8</f>
        <v>1205.5</v>
      </c>
      <c r="M8" s="16">
        <f>8*F8/($D$3*SQRT($G$2^2-$G$1^2))</f>
        <v>388000.49790581595</v>
      </c>
      <c r="N8" s="16">
        <f>M8*(EXP(-$G$1*$G$3))*SIN(SQRT($G$2^2-$G$1^2)*$G$3)</f>
        <v>295863.45722298301</v>
      </c>
      <c r="O8" s="16">
        <f>1000*(D8*1000-228.75)*8/64.353</f>
        <v>250027.19375942071</v>
      </c>
      <c r="P8" s="43">
        <f>IF(O8/N8&gt;0.5,O8/N8,"")</f>
        <v>0.84507629332196665</v>
      </c>
    </row>
    <row r="9" spans="1:16">
      <c r="A9" s="8">
        <v>1</v>
      </c>
      <c r="B9" s="8">
        <v>1100</v>
      </c>
      <c r="C9" s="11">
        <v>0.34399999999999997</v>
      </c>
      <c r="D9" s="9">
        <v>2.64</v>
      </c>
      <c r="E9" s="10">
        <v>37326</v>
      </c>
      <c r="F9" s="12">
        <f>(0.2027*A9+1.2055)*1000</f>
        <v>1408.1999999999998</v>
      </c>
      <c r="G9" s="12">
        <f>D9*157.4</f>
        <v>415.53600000000006</v>
      </c>
      <c r="H9" s="12">
        <f>C9*7.751*157.4</f>
        <v>419.68254560000003</v>
      </c>
      <c r="I9" s="9">
        <f>G9/H9</f>
        <v>0.99011980449634418</v>
      </c>
      <c r="K9" s="3">
        <f>B9-B8</f>
        <v>0</v>
      </c>
      <c r="L9" s="15">
        <f>F9</f>
        <v>1408.1999999999998</v>
      </c>
      <c r="M9" s="16">
        <f>8*F9/($D$3*SQRT($G$2^2-$G$1^2))</f>
        <v>453241.2286611115</v>
      </c>
      <c r="N9" s="16">
        <f>M9*(EXP(-$G$1*$G$3))*SIN(SQRT($G$2^2-$G$1^2)*$G$3)</f>
        <v>345611.71336491464</v>
      </c>
      <c r="O9" s="16">
        <f t="shared" ref="O9:O72" si="0">1000*(D9*1000-228.75)*8/64.353</f>
        <v>299752.92527154915</v>
      </c>
      <c r="P9" s="43">
        <f t="shared" ref="P9:P72" si="1">IF(O9/N9&gt;0.5,O9/N9,"")</f>
        <v>0.86731124461356024</v>
      </c>
    </row>
    <row r="10" spans="1:16">
      <c r="A10" s="8">
        <v>1</v>
      </c>
      <c r="B10" s="8">
        <v>1850</v>
      </c>
      <c r="C10" s="11">
        <v>0.34399999999999997</v>
      </c>
      <c r="D10" s="9">
        <v>2.64</v>
      </c>
      <c r="E10" s="10">
        <v>37326</v>
      </c>
      <c r="F10" s="12">
        <f t="shared" ref="F10:F73" si="2">(0.2027*A10+1.2055)*1000</f>
        <v>1408.1999999999998</v>
      </c>
      <c r="G10" s="12">
        <f t="shared" ref="G10:G73" si="3">D10*157.4</f>
        <v>415.53600000000006</v>
      </c>
      <c r="H10" s="12">
        <f t="shared" ref="H10:H73" si="4">C10*7.751*157.4</f>
        <v>419.68254560000003</v>
      </c>
      <c r="I10" s="9">
        <f t="shared" ref="I10:I73" si="5">G10/H10</f>
        <v>0.99011980449634418</v>
      </c>
      <c r="K10" s="3">
        <f t="shared" ref="K10:K73" si="6">B10-B9</f>
        <v>750</v>
      </c>
      <c r="L10" s="15">
        <f t="shared" ref="L10:L73" si="7">F10</f>
        <v>1408.1999999999998</v>
      </c>
      <c r="M10" s="16">
        <f t="shared" ref="M10:M73" si="8">8*F10/($D$3*SQRT($G$2^2-$G$1^2))</f>
        <v>453241.2286611115</v>
      </c>
      <c r="N10" s="16">
        <f t="shared" ref="N10:N73" si="9">M10*(EXP(-$G$1*$G$3))*SIN(SQRT($G$2^2-$G$1^2)*$G$3)</f>
        <v>345611.71336491464</v>
      </c>
      <c r="O10" s="16">
        <f t="shared" si="0"/>
        <v>299752.92527154915</v>
      </c>
      <c r="P10" s="43">
        <f t="shared" si="1"/>
        <v>0.86731124461356024</v>
      </c>
    </row>
    <row r="11" spans="1:16">
      <c r="A11" s="8">
        <v>2</v>
      </c>
      <c r="B11" s="8">
        <v>1850</v>
      </c>
      <c r="C11" s="11">
        <v>0.4</v>
      </c>
      <c r="D11" s="9">
        <v>3.04</v>
      </c>
      <c r="E11" s="10">
        <v>37326</v>
      </c>
      <c r="F11" s="12">
        <f t="shared" si="2"/>
        <v>1610.9</v>
      </c>
      <c r="G11" s="12">
        <f t="shared" si="3"/>
        <v>478.49600000000004</v>
      </c>
      <c r="H11" s="12">
        <f t="shared" si="4"/>
        <v>488.00296000000009</v>
      </c>
      <c r="I11" s="9">
        <f t="shared" si="5"/>
        <v>0.98051864275577338</v>
      </c>
      <c r="K11" s="3">
        <f t="shared" si="6"/>
        <v>0</v>
      </c>
      <c r="L11" s="15">
        <f t="shared" si="7"/>
        <v>1610.9</v>
      </c>
      <c r="M11" s="16">
        <f t="shared" si="8"/>
        <v>518481.95941640722</v>
      </c>
      <c r="N11" s="16">
        <f t="shared" si="9"/>
        <v>395359.96950684639</v>
      </c>
      <c r="O11" s="16">
        <f t="shared" si="0"/>
        <v>349478.65678367758</v>
      </c>
      <c r="P11" s="43">
        <f t="shared" si="1"/>
        <v>0.88395053555776271</v>
      </c>
    </row>
    <row r="12" spans="1:16">
      <c r="A12" s="8">
        <v>2</v>
      </c>
      <c r="B12" s="8">
        <v>2100</v>
      </c>
      <c r="C12" s="11">
        <v>0.4</v>
      </c>
      <c r="D12" s="9">
        <v>3.04</v>
      </c>
      <c r="E12" s="10">
        <v>37326</v>
      </c>
      <c r="F12" s="12">
        <f t="shared" si="2"/>
        <v>1610.9</v>
      </c>
      <c r="G12" s="12">
        <f t="shared" si="3"/>
        <v>478.49600000000004</v>
      </c>
      <c r="H12" s="12">
        <f t="shared" si="4"/>
        <v>488.00296000000009</v>
      </c>
      <c r="I12" s="9">
        <f t="shared" si="5"/>
        <v>0.98051864275577338</v>
      </c>
      <c r="K12" s="3">
        <f t="shared" si="6"/>
        <v>250</v>
      </c>
      <c r="L12" s="15">
        <f t="shared" si="7"/>
        <v>1610.9</v>
      </c>
      <c r="M12" s="16">
        <f t="shared" si="8"/>
        <v>518481.95941640722</v>
      </c>
      <c r="N12" s="16">
        <f t="shared" si="9"/>
        <v>395359.96950684639</v>
      </c>
      <c r="O12" s="16">
        <f t="shared" si="0"/>
        <v>349478.65678367758</v>
      </c>
      <c r="P12" s="43">
        <f t="shared" si="1"/>
        <v>0.88395053555776271</v>
      </c>
    </row>
    <row r="13" spans="1:16">
      <c r="A13" s="8">
        <v>4</v>
      </c>
      <c r="B13" s="8">
        <v>2100</v>
      </c>
      <c r="C13" s="11">
        <v>0.504</v>
      </c>
      <c r="D13" s="9">
        <v>3.8</v>
      </c>
      <c r="E13" s="10">
        <v>37326</v>
      </c>
      <c r="F13" s="12">
        <f t="shared" si="2"/>
        <v>2016.3000000000002</v>
      </c>
      <c r="G13" s="12">
        <f t="shared" si="3"/>
        <v>598.12</v>
      </c>
      <c r="H13" s="12">
        <f t="shared" si="4"/>
        <v>614.88372960000004</v>
      </c>
      <c r="I13" s="9">
        <f t="shared" si="5"/>
        <v>0.9727367487656482</v>
      </c>
      <c r="K13" s="3">
        <f t="shared" si="6"/>
        <v>0</v>
      </c>
      <c r="L13" s="15">
        <f t="shared" si="7"/>
        <v>2016.3000000000002</v>
      </c>
      <c r="M13" s="16">
        <f t="shared" si="8"/>
        <v>648963.42092699849</v>
      </c>
      <c r="N13" s="16">
        <f t="shared" si="9"/>
        <v>494856.48179070977</v>
      </c>
      <c r="O13" s="16">
        <f t="shared" si="0"/>
        <v>443957.54665672156</v>
      </c>
      <c r="P13" s="43">
        <f t="shared" si="1"/>
        <v>0.89714404679554149</v>
      </c>
    </row>
    <row r="14" spans="1:16">
      <c r="A14" s="8">
        <v>4</v>
      </c>
      <c r="B14" s="8">
        <v>2100</v>
      </c>
      <c r="C14" s="11">
        <v>0.504</v>
      </c>
      <c r="D14" s="9">
        <v>3.8</v>
      </c>
      <c r="E14" s="10">
        <v>37326</v>
      </c>
      <c r="F14" s="12">
        <f t="shared" si="2"/>
        <v>2016.3000000000002</v>
      </c>
      <c r="G14" s="12">
        <f t="shared" si="3"/>
        <v>598.12</v>
      </c>
      <c r="H14" s="12">
        <f t="shared" si="4"/>
        <v>614.88372960000004</v>
      </c>
      <c r="I14" s="9">
        <f t="shared" si="5"/>
        <v>0.9727367487656482</v>
      </c>
      <c r="K14" s="3">
        <f t="shared" si="6"/>
        <v>0</v>
      </c>
      <c r="L14" s="15">
        <f t="shared" si="7"/>
        <v>2016.3000000000002</v>
      </c>
      <c r="M14" s="16">
        <f t="shared" si="8"/>
        <v>648963.42092699849</v>
      </c>
      <c r="N14" s="16">
        <f t="shared" si="9"/>
        <v>494856.48179070977</v>
      </c>
      <c r="O14" s="16">
        <f t="shared" si="0"/>
        <v>443957.54665672156</v>
      </c>
      <c r="P14" s="43">
        <f t="shared" si="1"/>
        <v>0.89714404679554149</v>
      </c>
    </row>
    <row r="15" spans="1:16">
      <c r="A15" s="8">
        <v>4</v>
      </c>
      <c r="B15" s="8">
        <v>2570</v>
      </c>
      <c r="C15" s="11">
        <v>0.504</v>
      </c>
      <c r="D15" s="9">
        <v>3.8</v>
      </c>
      <c r="E15" s="10">
        <v>37326</v>
      </c>
      <c r="F15" s="12">
        <f t="shared" si="2"/>
        <v>2016.3000000000002</v>
      </c>
      <c r="G15" s="12">
        <f t="shared" si="3"/>
        <v>598.12</v>
      </c>
      <c r="H15" s="12">
        <f t="shared" si="4"/>
        <v>614.88372960000004</v>
      </c>
      <c r="I15" s="9">
        <f t="shared" si="5"/>
        <v>0.9727367487656482</v>
      </c>
      <c r="K15" s="3">
        <f t="shared" si="6"/>
        <v>470</v>
      </c>
      <c r="L15" s="15">
        <f t="shared" si="7"/>
        <v>2016.3000000000002</v>
      </c>
      <c r="M15" s="16">
        <f t="shared" si="8"/>
        <v>648963.42092699849</v>
      </c>
      <c r="N15" s="16">
        <f t="shared" si="9"/>
        <v>494856.48179070977</v>
      </c>
      <c r="O15" s="16">
        <f t="shared" si="0"/>
        <v>443957.54665672156</v>
      </c>
      <c r="P15" s="43">
        <f t="shared" si="1"/>
        <v>0.89714404679554149</v>
      </c>
    </row>
    <row r="16" spans="1:16">
      <c r="A16" s="8">
        <v>4.5</v>
      </c>
      <c r="B16" s="8">
        <v>2570</v>
      </c>
      <c r="C16" s="11">
        <v>0.52</v>
      </c>
      <c r="D16" s="9">
        <v>4.04</v>
      </c>
      <c r="E16" s="10">
        <v>37326</v>
      </c>
      <c r="F16" s="12">
        <f t="shared" si="2"/>
        <v>2117.65</v>
      </c>
      <c r="G16" s="12">
        <f t="shared" si="3"/>
        <v>635.89600000000007</v>
      </c>
      <c r="H16" s="12">
        <f t="shared" si="4"/>
        <v>634.40384800000004</v>
      </c>
      <c r="I16" s="9">
        <f t="shared" si="5"/>
        <v>1.0023520538292827</v>
      </c>
      <c r="K16" s="3">
        <f t="shared" si="6"/>
        <v>0</v>
      </c>
      <c r="L16" s="15">
        <f t="shared" si="7"/>
        <v>2117.65</v>
      </c>
      <c r="M16" s="16">
        <f t="shared" si="8"/>
        <v>681583.78630464629</v>
      </c>
      <c r="N16" s="16">
        <f t="shared" si="9"/>
        <v>519730.60986167559</v>
      </c>
      <c r="O16" s="16">
        <f t="shared" si="0"/>
        <v>473792.98556399863</v>
      </c>
      <c r="P16" s="43">
        <f t="shared" si="1"/>
        <v>0.91161262502914142</v>
      </c>
    </row>
    <row r="17" spans="1:16">
      <c r="A17" s="8">
        <v>4.5</v>
      </c>
      <c r="B17" s="8">
        <v>3195</v>
      </c>
      <c r="C17" s="11">
        <v>0.58399999999999996</v>
      </c>
      <c r="D17" s="9">
        <v>4.04</v>
      </c>
      <c r="E17" s="10">
        <v>37326</v>
      </c>
      <c r="F17" s="12">
        <f t="shared" si="2"/>
        <v>2117.65</v>
      </c>
      <c r="G17" s="12">
        <f t="shared" si="3"/>
        <v>635.89600000000007</v>
      </c>
      <c r="H17" s="12">
        <f t="shared" si="4"/>
        <v>712.48432159999993</v>
      </c>
      <c r="I17" s="9">
        <f t="shared" si="5"/>
        <v>0.89250525340963538</v>
      </c>
      <c r="K17" s="3">
        <f t="shared" si="6"/>
        <v>625</v>
      </c>
      <c r="L17" s="15">
        <f t="shared" si="7"/>
        <v>2117.65</v>
      </c>
      <c r="M17" s="16">
        <f t="shared" si="8"/>
        <v>681583.78630464629</v>
      </c>
      <c r="N17" s="16">
        <f t="shared" si="9"/>
        <v>519730.60986167559</v>
      </c>
      <c r="O17" s="16">
        <f t="shared" si="0"/>
        <v>473792.98556399863</v>
      </c>
      <c r="P17" s="43">
        <f t="shared" si="1"/>
        <v>0.91161262502914142</v>
      </c>
    </row>
    <row r="18" spans="1:16">
      <c r="A18" s="8">
        <v>5.8</v>
      </c>
      <c r="B18" s="8">
        <v>3195</v>
      </c>
      <c r="C18" s="11">
        <v>0.58399999999999996</v>
      </c>
      <c r="D18" s="9">
        <v>4.5199999999999996</v>
      </c>
      <c r="E18" s="10">
        <v>37326</v>
      </c>
      <c r="F18" s="12">
        <f t="shared" si="2"/>
        <v>2381.16</v>
      </c>
      <c r="G18" s="12">
        <f t="shared" si="3"/>
        <v>711.44799999999998</v>
      </c>
      <c r="H18" s="12">
        <f t="shared" si="4"/>
        <v>712.48432159999993</v>
      </c>
      <c r="I18" s="9">
        <f t="shared" si="5"/>
        <v>0.99854548153751266</v>
      </c>
      <c r="K18" s="3">
        <f t="shared" si="6"/>
        <v>0</v>
      </c>
      <c r="L18" s="15">
        <f t="shared" si="7"/>
        <v>2381.16</v>
      </c>
      <c r="M18" s="16">
        <f t="shared" si="8"/>
        <v>766396.7362865305</v>
      </c>
      <c r="N18" s="16">
        <f t="shared" si="9"/>
        <v>584403.34284618672</v>
      </c>
      <c r="O18" s="16">
        <f t="shared" si="0"/>
        <v>533463.86337855272</v>
      </c>
      <c r="P18" s="43">
        <f t="shared" si="1"/>
        <v>0.91283506487223998</v>
      </c>
    </row>
    <row r="19" spans="1:16">
      <c r="A19" s="8">
        <v>5.8</v>
      </c>
      <c r="B19" s="8">
        <v>3240</v>
      </c>
      <c r="C19" s="11">
        <v>0.58399999999999996</v>
      </c>
      <c r="D19" s="9">
        <v>4.5199999999999996</v>
      </c>
      <c r="E19" s="10">
        <v>37326</v>
      </c>
      <c r="F19" s="12">
        <f t="shared" si="2"/>
        <v>2381.16</v>
      </c>
      <c r="G19" s="12">
        <f t="shared" si="3"/>
        <v>711.44799999999998</v>
      </c>
      <c r="H19" s="12">
        <f t="shared" si="4"/>
        <v>712.48432159999993</v>
      </c>
      <c r="I19" s="9">
        <f t="shared" si="5"/>
        <v>0.99854548153751266</v>
      </c>
      <c r="K19" s="3">
        <f t="shared" si="6"/>
        <v>45</v>
      </c>
      <c r="L19" s="15">
        <f t="shared" si="7"/>
        <v>2381.16</v>
      </c>
      <c r="M19" s="16">
        <f t="shared" si="8"/>
        <v>766396.7362865305</v>
      </c>
      <c r="N19" s="16">
        <f t="shared" si="9"/>
        <v>584403.34284618672</v>
      </c>
      <c r="O19" s="16">
        <f t="shared" si="0"/>
        <v>533463.86337855272</v>
      </c>
      <c r="P19" s="43">
        <f t="shared" si="1"/>
        <v>0.91283506487223998</v>
      </c>
    </row>
    <row r="20" spans="1:16">
      <c r="A20" s="8">
        <v>0</v>
      </c>
      <c r="B20" s="8">
        <v>3240</v>
      </c>
      <c r="C20" s="11">
        <v>0.29599999999999999</v>
      </c>
      <c r="D20" s="9">
        <v>2.2000000000000002</v>
      </c>
      <c r="E20" s="10">
        <v>37327</v>
      </c>
      <c r="F20" s="12">
        <f t="shared" si="2"/>
        <v>1205.5</v>
      </c>
      <c r="G20" s="12">
        <f t="shared" si="3"/>
        <v>346.28000000000003</v>
      </c>
      <c r="H20" s="12">
        <f t="shared" si="4"/>
        <v>361.12219040000002</v>
      </c>
      <c r="I20" s="9">
        <f t="shared" si="5"/>
        <v>0.95889981066087382</v>
      </c>
      <c r="K20" s="3">
        <f t="shared" si="6"/>
        <v>0</v>
      </c>
      <c r="L20" s="15">
        <f t="shared" si="7"/>
        <v>1205.5</v>
      </c>
      <c r="M20" s="16">
        <f t="shared" si="8"/>
        <v>388000.49790581595</v>
      </c>
      <c r="N20" s="16">
        <f t="shared" si="9"/>
        <v>295863.45722298301</v>
      </c>
      <c r="O20" s="16">
        <f t="shared" si="0"/>
        <v>245054.62060820789</v>
      </c>
      <c r="P20" s="43">
        <f t="shared" si="1"/>
        <v>0.82826930675496668</v>
      </c>
    </row>
    <row r="21" spans="1:16">
      <c r="A21" s="8">
        <v>0</v>
      </c>
      <c r="B21" s="8">
        <v>3885</v>
      </c>
      <c r="C21" s="11">
        <v>0.29599999999999999</v>
      </c>
      <c r="D21" s="9">
        <v>2.2000000000000002</v>
      </c>
      <c r="E21" s="10">
        <v>37327</v>
      </c>
      <c r="F21" s="12">
        <f t="shared" si="2"/>
        <v>1205.5</v>
      </c>
      <c r="G21" s="12">
        <f t="shared" si="3"/>
        <v>346.28000000000003</v>
      </c>
      <c r="H21" s="12">
        <f t="shared" si="4"/>
        <v>361.12219040000002</v>
      </c>
      <c r="I21" s="9">
        <f t="shared" si="5"/>
        <v>0.95889981066087382</v>
      </c>
      <c r="K21" s="3">
        <f t="shared" si="6"/>
        <v>645</v>
      </c>
      <c r="L21" s="15">
        <f t="shared" si="7"/>
        <v>1205.5</v>
      </c>
      <c r="M21" s="16">
        <f t="shared" si="8"/>
        <v>388000.49790581595</v>
      </c>
      <c r="N21" s="16">
        <f t="shared" si="9"/>
        <v>295863.45722298301</v>
      </c>
      <c r="O21" s="16">
        <f t="shared" si="0"/>
        <v>245054.62060820789</v>
      </c>
      <c r="P21" s="43">
        <f t="shared" si="1"/>
        <v>0.82826930675496668</v>
      </c>
    </row>
    <row r="22" spans="1:16">
      <c r="A22" s="8">
        <v>1</v>
      </c>
      <c r="B22" s="8">
        <v>3885</v>
      </c>
      <c r="C22" s="11">
        <v>0.33600000000000002</v>
      </c>
      <c r="D22" s="9">
        <v>2.68</v>
      </c>
      <c r="E22" s="10">
        <v>37327</v>
      </c>
      <c r="F22" s="12">
        <f t="shared" si="2"/>
        <v>1408.1999999999998</v>
      </c>
      <c r="G22" s="12">
        <f t="shared" si="3"/>
        <v>421.83200000000005</v>
      </c>
      <c r="H22" s="12">
        <f t="shared" si="4"/>
        <v>409.92248640000008</v>
      </c>
      <c r="I22" s="9">
        <f t="shared" si="5"/>
        <v>1.0290530868520804</v>
      </c>
      <c r="K22" s="3">
        <f t="shared" si="6"/>
        <v>0</v>
      </c>
      <c r="L22" s="15">
        <f t="shared" si="7"/>
        <v>1408.1999999999998</v>
      </c>
      <c r="M22" s="16">
        <f t="shared" si="8"/>
        <v>453241.2286611115</v>
      </c>
      <c r="N22" s="16">
        <f t="shared" si="9"/>
        <v>345611.71336491464</v>
      </c>
      <c r="O22" s="16">
        <f t="shared" si="0"/>
        <v>304725.49842276197</v>
      </c>
      <c r="P22" s="43">
        <f t="shared" si="1"/>
        <v>0.88169898946977265</v>
      </c>
    </row>
    <row r="23" spans="1:16">
      <c r="A23" s="8">
        <v>1</v>
      </c>
      <c r="B23" s="8">
        <v>4250</v>
      </c>
      <c r="C23" s="11">
        <v>0.33600000000000002</v>
      </c>
      <c r="D23" s="9">
        <v>2.68</v>
      </c>
      <c r="E23" s="10">
        <v>37327</v>
      </c>
      <c r="F23" s="12">
        <f t="shared" si="2"/>
        <v>1408.1999999999998</v>
      </c>
      <c r="G23" s="12">
        <f t="shared" si="3"/>
        <v>421.83200000000005</v>
      </c>
      <c r="H23" s="12">
        <f t="shared" si="4"/>
        <v>409.92248640000008</v>
      </c>
      <c r="I23" s="9">
        <f t="shared" si="5"/>
        <v>1.0290530868520804</v>
      </c>
      <c r="K23" s="3">
        <f t="shared" si="6"/>
        <v>365</v>
      </c>
      <c r="L23" s="15">
        <f t="shared" si="7"/>
        <v>1408.1999999999998</v>
      </c>
      <c r="M23" s="16">
        <f t="shared" si="8"/>
        <v>453241.2286611115</v>
      </c>
      <c r="N23" s="16">
        <f t="shared" si="9"/>
        <v>345611.71336491464</v>
      </c>
      <c r="O23" s="16">
        <f t="shared" si="0"/>
        <v>304725.49842276197</v>
      </c>
      <c r="P23" s="43">
        <f t="shared" si="1"/>
        <v>0.88169898946977265</v>
      </c>
    </row>
    <row r="24" spans="1:16">
      <c r="A24" s="8">
        <v>2</v>
      </c>
      <c r="B24" s="8">
        <v>4250</v>
      </c>
      <c r="C24" s="11">
        <v>0.40799999999999997</v>
      </c>
      <c r="D24" s="8">
        <v>3.08</v>
      </c>
      <c r="E24" s="10">
        <v>37327</v>
      </c>
      <c r="F24" s="12">
        <f t="shared" si="2"/>
        <v>1610.9</v>
      </c>
      <c r="G24" s="12">
        <f t="shared" si="3"/>
        <v>484.79200000000003</v>
      </c>
      <c r="H24" s="12">
        <f t="shared" si="4"/>
        <v>497.76301920000003</v>
      </c>
      <c r="I24" s="9">
        <f t="shared" si="5"/>
        <v>0.97394137631829925</v>
      </c>
      <c r="K24" s="3">
        <f t="shared" si="6"/>
        <v>0</v>
      </c>
      <c r="L24" s="15">
        <f t="shared" si="7"/>
        <v>1610.9</v>
      </c>
      <c r="M24" s="16">
        <f t="shared" si="8"/>
        <v>518481.95941640722</v>
      </c>
      <c r="N24" s="16">
        <f t="shared" si="9"/>
        <v>395359.96950684639</v>
      </c>
      <c r="O24" s="16">
        <f t="shared" si="0"/>
        <v>354451.22993489041</v>
      </c>
      <c r="P24" s="43">
        <f t="shared" si="1"/>
        <v>0.89652786643275073</v>
      </c>
    </row>
    <row r="25" spans="1:16">
      <c r="A25" s="8">
        <v>3</v>
      </c>
      <c r="B25" s="8">
        <v>4550</v>
      </c>
      <c r="C25" s="8">
        <v>0.45600000000000002</v>
      </c>
      <c r="D25" s="8">
        <v>3.44</v>
      </c>
      <c r="E25" s="10">
        <v>37327</v>
      </c>
      <c r="F25" s="12">
        <f t="shared" si="2"/>
        <v>1813.6000000000001</v>
      </c>
      <c r="G25" s="12">
        <f t="shared" si="3"/>
        <v>541.45600000000002</v>
      </c>
      <c r="H25" s="12">
        <f t="shared" si="4"/>
        <v>556.32337440000015</v>
      </c>
      <c r="I25" s="9">
        <f t="shared" si="5"/>
        <v>0.97327566109183394</v>
      </c>
      <c r="K25" s="3">
        <f t="shared" si="6"/>
        <v>300</v>
      </c>
      <c r="L25" s="15">
        <f t="shared" si="7"/>
        <v>1813.6000000000001</v>
      </c>
      <c r="M25" s="16">
        <f t="shared" si="8"/>
        <v>583722.69017170288</v>
      </c>
      <c r="N25" s="16">
        <f t="shared" si="9"/>
        <v>445108.22564877814</v>
      </c>
      <c r="O25" s="16">
        <f t="shared" si="0"/>
        <v>399204.38829580595</v>
      </c>
      <c r="P25" s="43">
        <f t="shared" si="1"/>
        <v>0.8968703908222232</v>
      </c>
    </row>
    <row r="26" spans="1:16">
      <c r="A26" s="8">
        <v>3</v>
      </c>
      <c r="B26" s="8">
        <v>4790</v>
      </c>
      <c r="C26" s="8">
        <v>0.45600000000000002</v>
      </c>
      <c r="D26" s="8">
        <v>3.44</v>
      </c>
      <c r="E26" s="10">
        <v>37327</v>
      </c>
      <c r="F26" s="12">
        <f t="shared" si="2"/>
        <v>1813.6000000000001</v>
      </c>
      <c r="G26" s="12">
        <f t="shared" si="3"/>
        <v>541.45600000000002</v>
      </c>
      <c r="H26" s="12">
        <f t="shared" si="4"/>
        <v>556.32337440000015</v>
      </c>
      <c r="I26" s="9">
        <f t="shared" si="5"/>
        <v>0.97327566109183394</v>
      </c>
      <c r="K26" s="3">
        <f t="shared" si="6"/>
        <v>240</v>
      </c>
      <c r="L26" s="15">
        <f t="shared" si="7"/>
        <v>1813.6000000000001</v>
      </c>
      <c r="M26" s="16">
        <f t="shared" si="8"/>
        <v>583722.69017170288</v>
      </c>
      <c r="N26" s="16">
        <f t="shared" si="9"/>
        <v>445108.22564877814</v>
      </c>
      <c r="O26" s="16">
        <f t="shared" si="0"/>
        <v>399204.38829580595</v>
      </c>
      <c r="P26" s="43">
        <f t="shared" si="1"/>
        <v>0.8968703908222232</v>
      </c>
    </row>
    <row r="27" spans="1:16">
      <c r="A27" s="8">
        <v>4</v>
      </c>
      <c r="B27" s="8">
        <v>4790</v>
      </c>
      <c r="C27" s="8">
        <v>0.504</v>
      </c>
      <c r="D27" s="8">
        <v>3.88</v>
      </c>
      <c r="E27" s="10">
        <v>37327</v>
      </c>
      <c r="F27" s="12">
        <f t="shared" si="2"/>
        <v>2016.3000000000002</v>
      </c>
      <c r="G27" s="12">
        <f t="shared" si="3"/>
        <v>610.71199999999999</v>
      </c>
      <c r="H27" s="12">
        <f t="shared" si="4"/>
        <v>614.88372960000004</v>
      </c>
      <c r="I27" s="9">
        <f t="shared" si="5"/>
        <v>0.99321541716071449</v>
      </c>
      <c r="K27" s="3">
        <f t="shared" si="6"/>
        <v>0</v>
      </c>
      <c r="L27" s="15">
        <f t="shared" si="7"/>
        <v>2016.3000000000002</v>
      </c>
      <c r="M27" s="16">
        <f t="shared" si="8"/>
        <v>648963.42092699849</v>
      </c>
      <c r="N27" s="16">
        <f t="shared" si="9"/>
        <v>494856.48179070977</v>
      </c>
      <c r="O27" s="16">
        <f t="shared" si="0"/>
        <v>453902.69295914721</v>
      </c>
      <c r="P27" s="43">
        <f t="shared" si="1"/>
        <v>0.91724107829533652</v>
      </c>
    </row>
    <row r="28" spans="1:16">
      <c r="A28" s="8">
        <v>4</v>
      </c>
      <c r="B28" s="8">
        <v>5200</v>
      </c>
      <c r="C28" s="8">
        <v>0.504</v>
      </c>
      <c r="D28" s="8">
        <v>3.88</v>
      </c>
      <c r="E28" s="10">
        <v>37327</v>
      </c>
      <c r="F28" s="12">
        <f t="shared" si="2"/>
        <v>2016.3000000000002</v>
      </c>
      <c r="G28" s="12">
        <f t="shared" si="3"/>
        <v>610.71199999999999</v>
      </c>
      <c r="H28" s="12">
        <f t="shared" si="4"/>
        <v>614.88372960000004</v>
      </c>
      <c r="I28" s="9">
        <f t="shared" si="5"/>
        <v>0.99321541716071449</v>
      </c>
      <c r="K28" s="3">
        <f t="shared" si="6"/>
        <v>410</v>
      </c>
      <c r="L28" s="15">
        <f t="shared" si="7"/>
        <v>2016.3000000000002</v>
      </c>
      <c r="M28" s="16">
        <f t="shared" si="8"/>
        <v>648963.42092699849</v>
      </c>
      <c r="N28" s="16">
        <f t="shared" si="9"/>
        <v>494856.48179070977</v>
      </c>
      <c r="O28" s="16">
        <f t="shared" si="0"/>
        <v>453902.69295914721</v>
      </c>
      <c r="P28" s="43">
        <f t="shared" si="1"/>
        <v>0.91724107829533652</v>
      </c>
    </row>
    <row r="29" spans="1:16">
      <c r="A29" s="8">
        <v>5</v>
      </c>
      <c r="B29" s="8">
        <v>5200</v>
      </c>
      <c r="C29" s="8">
        <v>0.56000000000000005</v>
      </c>
      <c r="D29" s="8">
        <v>4.24</v>
      </c>
      <c r="E29" s="10">
        <v>37327</v>
      </c>
      <c r="F29" s="12">
        <f t="shared" si="2"/>
        <v>2219.0000000000005</v>
      </c>
      <c r="G29" s="12">
        <f t="shared" si="3"/>
        <v>667.37600000000009</v>
      </c>
      <c r="H29" s="12">
        <f t="shared" si="4"/>
        <v>683.20414400000016</v>
      </c>
      <c r="I29" s="9">
        <f t="shared" si="5"/>
        <v>0.97683248244466148</v>
      </c>
      <c r="K29" s="3">
        <f t="shared" si="6"/>
        <v>0</v>
      </c>
      <c r="L29" s="15">
        <f t="shared" si="7"/>
        <v>2219.0000000000005</v>
      </c>
      <c r="M29" s="16">
        <f t="shared" si="8"/>
        <v>714204.15168229421</v>
      </c>
      <c r="N29" s="16">
        <f t="shared" si="9"/>
        <v>544604.73793264152</v>
      </c>
      <c r="O29" s="16">
        <f t="shared" si="0"/>
        <v>498655.85132006282</v>
      </c>
      <c r="P29" s="43">
        <f t="shared" si="1"/>
        <v>0.91562892605928481</v>
      </c>
    </row>
    <row r="30" spans="1:16">
      <c r="A30" s="8">
        <v>5</v>
      </c>
      <c r="B30" s="8">
        <v>5600</v>
      </c>
      <c r="C30" s="8">
        <v>0.56000000000000005</v>
      </c>
      <c r="D30" s="8">
        <v>4.24</v>
      </c>
      <c r="E30" s="10">
        <v>37327</v>
      </c>
      <c r="F30" s="12">
        <f t="shared" si="2"/>
        <v>2219.0000000000005</v>
      </c>
      <c r="G30" s="12">
        <f t="shared" si="3"/>
        <v>667.37600000000009</v>
      </c>
      <c r="H30" s="12">
        <f t="shared" si="4"/>
        <v>683.20414400000016</v>
      </c>
      <c r="I30" s="9">
        <f t="shared" si="5"/>
        <v>0.97683248244466148</v>
      </c>
      <c r="K30" s="3">
        <f t="shared" si="6"/>
        <v>400</v>
      </c>
      <c r="L30" s="15">
        <f t="shared" si="7"/>
        <v>2219.0000000000005</v>
      </c>
      <c r="M30" s="16">
        <f t="shared" si="8"/>
        <v>714204.15168229421</v>
      </c>
      <c r="N30" s="16">
        <f t="shared" si="9"/>
        <v>544604.73793264152</v>
      </c>
      <c r="O30" s="16">
        <f t="shared" si="0"/>
        <v>498655.85132006282</v>
      </c>
      <c r="P30" s="43">
        <f t="shared" si="1"/>
        <v>0.91562892605928481</v>
      </c>
    </row>
    <row r="31" spans="1:16">
      <c r="A31" s="8">
        <v>5.7</v>
      </c>
      <c r="B31" s="8">
        <v>5600</v>
      </c>
      <c r="C31" s="8">
        <v>0.59199999999999997</v>
      </c>
      <c r="D31" s="8">
        <v>4.4800000000000004</v>
      </c>
      <c r="E31" s="10">
        <v>37327</v>
      </c>
      <c r="F31" s="12">
        <f t="shared" si="2"/>
        <v>2360.89</v>
      </c>
      <c r="G31" s="12">
        <f t="shared" si="3"/>
        <v>705.15200000000004</v>
      </c>
      <c r="H31" s="12">
        <f t="shared" si="4"/>
        <v>722.24438080000004</v>
      </c>
      <c r="I31" s="9">
        <f t="shared" si="5"/>
        <v>0.97633435267288959</v>
      </c>
      <c r="K31" s="3">
        <f t="shared" si="6"/>
        <v>0</v>
      </c>
      <c r="L31" s="15">
        <f t="shared" si="7"/>
        <v>2360.89</v>
      </c>
      <c r="M31" s="16">
        <f t="shared" si="8"/>
        <v>759872.66321100097</v>
      </c>
      <c r="N31" s="16">
        <f t="shared" si="9"/>
        <v>579428.51723199361</v>
      </c>
      <c r="O31" s="16">
        <f t="shared" si="0"/>
        <v>528491.29022733984</v>
      </c>
      <c r="P31" s="43">
        <f t="shared" si="1"/>
        <v>0.91209057633547685</v>
      </c>
    </row>
    <row r="32" spans="1:16">
      <c r="A32" s="8">
        <v>5.7</v>
      </c>
      <c r="B32" s="8">
        <v>5950</v>
      </c>
      <c r="C32" s="8">
        <v>0.59199999999999997</v>
      </c>
      <c r="D32" s="8">
        <v>4.4800000000000004</v>
      </c>
      <c r="E32" s="10">
        <v>37327</v>
      </c>
      <c r="F32" s="12">
        <f t="shared" si="2"/>
        <v>2360.89</v>
      </c>
      <c r="G32" s="12">
        <f t="shared" si="3"/>
        <v>705.15200000000004</v>
      </c>
      <c r="H32" s="12">
        <f t="shared" si="4"/>
        <v>722.24438080000004</v>
      </c>
      <c r="I32" s="9">
        <f t="shared" si="5"/>
        <v>0.97633435267288959</v>
      </c>
      <c r="K32" s="3">
        <f t="shared" si="6"/>
        <v>350</v>
      </c>
      <c r="L32" s="15">
        <f t="shared" si="7"/>
        <v>2360.89</v>
      </c>
      <c r="M32" s="16">
        <f t="shared" si="8"/>
        <v>759872.66321100097</v>
      </c>
      <c r="N32" s="16">
        <f t="shared" si="9"/>
        <v>579428.51723199361</v>
      </c>
      <c r="O32" s="16">
        <f t="shared" si="0"/>
        <v>528491.29022733984</v>
      </c>
      <c r="P32" s="43">
        <f t="shared" si="1"/>
        <v>0.91209057633547685</v>
      </c>
    </row>
    <row r="33" spans="1:16">
      <c r="A33" s="8">
        <v>5.5</v>
      </c>
      <c r="B33" s="8">
        <v>5950</v>
      </c>
      <c r="C33" s="8">
        <v>0.58399999999999996</v>
      </c>
      <c r="D33" s="8">
        <v>4.4000000000000004</v>
      </c>
      <c r="E33" s="10">
        <v>37327</v>
      </c>
      <c r="F33" s="12">
        <f t="shared" si="2"/>
        <v>2320.35</v>
      </c>
      <c r="G33" s="12">
        <f t="shared" si="3"/>
        <v>692.56000000000006</v>
      </c>
      <c r="H33" s="12">
        <f t="shared" si="4"/>
        <v>712.48432159999993</v>
      </c>
      <c r="I33" s="9">
        <f t="shared" si="5"/>
        <v>0.97203542450554348</v>
      </c>
      <c r="K33" s="3">
        <f t="shared" si="6"/>
        <v>0</v>
      </c>
      <c r="L33" s="15">
        <f t="shared" si="7"/>
        <v>2320.35</v>
      </c>
      <c r="M33" s="16">
        <f t="shared" si="8"/>
        <v>746824.51705994189</v>
      </c>
      <c r="N33" s="16">
        <f t="shared" si="9"/>
        <v>569478.86600360728</v>
      </c>
      <c r="O33" s="16">
        <f t="shared" si="0"/>
        <v>518546.14392491418</v>
      </c>
      <c r="P33" s="43">
        <f t="shared" si="1"/>
        <v>0.91056257726275225</v>
      </c>
    </row>
    <row r="34" spans="1:16">
      <c r="A34" s="8">
        <v>5.5</v>
      </c>
      <c r="B34" s="8">
        <v>16046</v>
      </c>
      <c r="C34" s="8">
        <v>0.57599999999999996</v>
      </c>
      <c r="D34" s="8">
        <v>4.4000000000000004</v>
      </c>
      <c r="E34" s="10">
        <v>37327</v>
      </c>
      <c r="F34" s="12">
        <f t="shared" si="2"/>
        <v>2320.35</v>
      </c>
      <c r="G34" s="12">
        <f t="shared" si="3"/>
        <v>692.56000000000006</v>
      </c>
      <c r="H34" s="12">
        <f t="shared" si="4"/>
        <v>702.72426240000004</v>
      </c>
      <c r="I34" s="9">
        <f t="shared" si="5"/>
        <v>0.98553591651256467</v>
      </c>
      <c r="K34" s="3">
        <f t="shared" si="6"/>
        <v>10096</v>
      </c>
      <c r="L34" s="15">
        <f t="shared" si="7"/>
        <v>2320.35</v>
      </c>
      <c r="M34" s="16">
        <f t="shared" si="8"/>
        <v>746824.51705994189</v>
      </c>
      <c r="N34" s="16">
        <f t="shared" si="9"/>
        <v>569478.86600360728</v>
      </c>
      <c r="O34" s="16">
        <f t="shared" si="0"/>
        <v>518546.14392491418</v>
      </c>
      <c r="P34" s="43">
        <f t="shared" si="1"/>
        <v>0.91056257726275225</v>
      </c>
    </row>
    <row r="35" spans="1:16">
      <c r="A35" s="8">
        <v>0</v>
      </c>
      <c r="B35" s="8">
        <v>16046</v>
      </c>
      <c r="C35" s="8"/>
      <c r="D35" s="8"/>
      <c r="E35" s="10">
        <v>37328</v>
      </c>
      <c r="F35" s="12">
        <f t="shared" si="2"/>
        <v>1205.5</v>
      </c>
      <c r="G35" s="12">
        <f t="shared" si="3"/>
        <v>0</v>
      </c>
      <c r="H35" s="12">
        <f t="shared" si="4"/>
        <v>0</v>
      </c>
      <c r="I35" s="9" t="e">
        <f t="shared" si="5"/>
        <v>#DIV/0!</v>
      </c>
      <c r="K35" s="3">
        <f t="shared" si="6"/>
        <v>0</v>
      </c>
      <c r="L35" s="15">
        <f t="shared" si="7"/>
        <v>1205.5</v>
      </c>
      <c r="M35" s="16">
        <f t="shared" si="8"/>
        <v>388000.49790581595</v>
      </c>
      <c r="N35" s="16">
        <f t="shared" si="9"/>
        <v>295863.45722298301</v>
      </c>
      <c r="O35" s="16">
        <f t="shared" si="0"/>
        <v>-28436.902708498441</v>
      </c>
      <c r="P35" s="43" t="str">
        <f t="shared" si="1"/>
        <v/>
      </c>
    </row>
    <row r="36" spans="1:16">
      <c r="A36" s="8">
        <v>0</v>
      </c>
      <c r="B36" s="8">
        <v>16276</v>
      </c>
      <c r="C36" s="8"/>
      <c r="D36" s="8"/>
      <c r="E36" s="10">
        <v>37328</v>
      </c>
      <c r="F36" s="12">
        <f t="shared" si="2"/>
        <v>1205.5</v>
      </c>
      <c r="G36" s="12">
        <f t="shared" si="3"/>
        <v>0</v>
      </c>
      <c r="H36" s="12">
        <f t="shared" si="4"/>
        <v>0</v>
      </c>
      <c r="I36" s="9" t="e">
        <f t="shared" si="5"/>
        <v>#DIV/0!</v>
      </c>
      <c r="K36" s="3">
        <f t="shared" si="6"/>
        <v>230</v>
      </c>
      <c r="L36" s="15">
        <f t="shared" si="7"/>
        <v>1205.5</v>
      </c>
      <c r="M36" s="16">
        <f t="shared" si="8"/>
        <v>388000.49790581595</v>
      </c>
      <c r="N36" s="16">
        <f t="shared" si="9"/>
        <v>295863.45722298301</v>
      </c>
      <c r="O36" s="16">
        <f t="shared" si="0"/>
        <v>-28436.902708498441</v>
      </c>
      <c r="P36" s="43" t="str">
        <f t="shared" si="1"/>
        <v/>
      </c>
    </row>
    <row r="37" spans="1:16">
      <c r="A37" s="8">
        <v>1</v>
      </c>
      <c r="B37" s="8">
        <v>16276</v>
      </c>
      <c r="C37" s="8"/>
      <c r="D37" s="8"/>
      <c r="E37" s="10">
        <v>37328</v>
      </c>
      <c r="F37" s="12">
        <f t="shared" si="2"/>
        <v>1408.1999999999998</v>
      </c>
      <c r="G37" s="12">
        <f t="shared" si="3"/>
        <v>0</v>
      </c>
      <c r="H37" s="12">
        <f t="shared" si="4"/>
        <v>0</v>
      </c>
      <c r="I37" s="9" t="e">
        <f t="shared" si="5"/>
        <v>#DIV/0!</v>
      </c>
      <c r="K37" s="3">
        <f t="shared" si="6"/>
        <v>0</v>
      </c>
      <c r="L37" s="15">
        <f t="shared" si="7"/>
        <v>1408.1999999999998</v>
      </c>
      <c r="M37" s="16">
        <f t="shared" si="8"/>
        <v>453241.2286611115</v>
      </c>
      <c r="N37" s="16">
        <f t="shared" si="9"/>
        <v>345611.71336491464</v>
      </c>
      <c r="O37" s="16">
        <f t="shared" si="0"/>
        <v>-28436.902708498441</v>
      </c>
      <c r="P37" s="43" t="str">
        <f t="shared" si="1"/>
        <v/>
      </c>
    </row>
    <row r="38" spans="1:16">
      <c r="A38" s="8">
        <v>1</v>
      </c>
      <c r="B38" s="8">
        <v>16490</v>
      </c>
      <c r="C38" s="8"/>
      <c r="D38" s="8"/>
      <c r="E38" s="10">
        <v>37328</v>
      </c>
      <c r="F38" s="12">
        <f t="shared" si="2"/>
        <v>1408.1999999999998</v>
      </c>
      <c r="G38" s="12">
        <f t="shared" si="3"/>
        <v>0</v>
      </c>
      <c r="H38" s="12">
        <f t="shared" si="4"/>
        <v>0</v>
      </c>
      <c r="I38" s="9" t="e">
        <f t="shared" si="5"/>
        <v>#DIV/0!</v>
      </c>
      <c r="K38" s="3">
        <f t="shared" si="6"/>
        <v>214</v>
      </c>
      <c r="L38" s="15">
        <f t="shared" si="7"/>
        <v>1408.1999999999998</v>
      </c>
      <c r="M38" s="16">
        <f t="shared" si="8"/>
        <v>453241.2286611115</v>
      </c>
      <c r="N38" s="16">
        <f t="shared" si="9"/>
        <v>345611.71336491464</v>
      </c>
      <c r="O38" s="16">
        <f t="shared" si="0"/>
        <v>-28436.902708498441</v>
      </c>
      <c r="P38" s="43" t="str">
        <f t="shared" si="1"/>
        <v/>
      </c>
    </row>
    <row r="39" spans="1:16">
      <c r="A39" s="8">
        <v>2</v>
      </c>
      <c r="B39" s="8">
        <v>16490</v>
      </c>
      <c r="C39" s="8"/>
      <c r="D39" s="8"/>
      <c r="E39" s="10">
        <v>37328</v>
      </c>
      <c r="F39" s="12">
        <f t="shared" si="2"/>
        <v>1610.9</v>
      </c>
      <c r="G39" s="12">
        <f t="shared" si="3"/>
        <v>0</v>
      </c>
      <c r="H39" s="12">
        <f t="shared" si="4"/>
        <v>0</v>
      </c>
      <c r="I39" s="9" t="e">
        <f t="shared" si="5"/>
        <v>#DIV/0!</v>
      </c>
      <c r="K39" s="3">
        <f t="shared" si="6"/>
        <v>0</v>
      </c>
      <c r="L39" s="15">
        <f t="shared" si="7"/>
        <v>1610.9</v>
      </c>
      <c r="M39" s="16">
        <f t="shared" si="8"/>
        <v>518481.95941640722</v>
      </c>
      <c r="N39" s="16">
        <f t="shared" si="9"/>
        <v>395359.96950684639</v>
      </c>
      <c r="O39" s="16">
        <f t="shared" si="0"/>
        <v>-28436.902708498441</v>
      </c>
      <c r="P39" s="43" t="str">
        <f t="shared" si="1"/>
        <v/>
      </c>
    </row>
    <row r="40" spans="1:16">
      <c r="A40" s="8">
        <v>2</v>
      </c>
      <c r="B40" s="8">
        <v>16688</v>
      </c>
      <c r="C40" s="8"/>
      <c r="D40" s="8"/>
      <c r="E40" s="10">
        <v>37328</v>
      </c>
      <c r="F40" s="12">
        <f t="shared" si="2"/>
        <v>1610.9</v>
      </c>
      <c r="G40" s="12">
        <f t="shared" si="3"/>
        <v>0</v>
      </c>
      <c r="H40" s="12">
        <f t="shared" si="4"/>
        <v>0</v>
      </c>
      <c r="I40" s="9" t="e">
        <f t="shared" si="5"/>
        <v>#DIV/0!</v>
      </c>
      <c r="K40" s="3">
        <f t="shared" si="6"/>
        <v>198</v>
      </c>
      <c r="L40" s="15">
        <f t="shared" si="7"/>
        <v>1610.9</v>
      </c>
      <c r="M40" s="16">
        <f t="shared" si="8"/>
        <v>518481.95941640722</v>
      </c>
      <c r="N40" s="16">
        <f t="shared" si="9"/>
        <v>395359.96950684639</v>
      </c>
      <c r="O40" s="16">
        <f t="shared" si="0"/>
        <v>-28436.902708498441</v>
      </c>
      <c r="P40" s="43" t="str">
        <f t="shared" si="1"/>
        <v/>
      </c>
    </row>
    <row r="41" spans="1:16">
      <c r="A41" s="8">
        <v>3</v>
      </c>
      <c r="B41" s="8">
        <v>16688</v>
      </c>
      <c r="C41" s="8"/>
      <c r="D41" s="8"/>
      <c r="E41" s="10">
        <v>37328</v>
      </c>
      <c r="F41" s="12">
        <f t="shared" si="2"/>
        <v>1813.6000000000001</v>
      </c>
      <c r="G41" s="12">
        <f t="shared" si="3"/>
        <v>0</v>
      </c>
      <c r="H41" s="12">
        <f t="shared" si="4"/>
        <v>0</v>
      </c>
      <c r="I41" s="9" t="e">
        <f t="shared" si="5"/>
        <v>#DIV/0!</v>
      </c>
      <c r="K41" s="3">
        <f t="shared" si="6"/>
        <v>0</v>
      </c>
      <c r="L41" s="15">
        <f t="shared" si="7"/>
        <v>1813.6000000000001</v>
      </c>
      <c r="M41" s="16">
        <f t="shared" si="8"/>
        <v>583722.69017170288</v>
      </c>
      <c r="N41" s="16">
        <f t="shared" si="9"/>
        <v>445108.22564877814</v>
      </c>
      <c r="O41" s="16">
        <f t="shared" si="0"/>
        <v>-28436.902708498441</v>
      </c>
      <c r="P41" s="43" t="str">
        <f t="shared" si="1"/>
        <v/>
      </c>
    </row>
    <row r="42" spans="1:16">
      <c r="A42" s="8">
        <v>4</v>
      </c>
      <c r="B42" s="8">
        <v>16688</v>
      </c>
      <c r="C42" s="8">
        <v>0.50800000000000001</v>
      </c>
      <c r="D42" s="8">
        <v>3.84</v>
      </c>
      <c r="E42" s="10">
        <v>37328</v>
      </c>
      <c r="F42" s="12">
        <f t="shared" si="2"/>
        <v>2016.3000000000002</v>
      </c>
      <c r="G42" s="12">
        <f t="shared" si="3"/>
        <v>604.41600000000005</v>
      </c>
      <c r="H42" s="12">
        <f t="shared" si="4"/>
        <v>619.7637592000001</v>
      </c>
      <c r="I42" s="9">
        <f t="shared" si="5"/>
        <v>0.97523611380599096</v>
      </c>
      <c r="K42" s="3">
        <f t="shared" si="6"/>
        <v>0</v>
      </c>
      <c r="L42" s="15">
        <f t="shared" si="7"/>
        <v>2016.3000000000002</v>
      </c>
      <c r="M42" s="16">
        <f t="shared" si="8"/>
        <v>648963.42092699849</v>
      </c>
      <c r="N42" s="16">
        <f t="shared" si="9"/>
        <v>494856.48179070977</v>
      </c>
      <c r="O42" s="16">
        <f t="shared" si="0"/>
        <v>448930.11980793439</v>
      </c>
      <c r="P42" s="43">
        <f t="shared" si="1"/>
        <v>0.90719256254543901</v>
      </c>
    </row>
    <row r="43" spans="1:16">
      <c r="A43" s="8">
        <v>4</v>
      </c>
      <c r="B43" s="8">
        <v>16907</v>
      </c>
      <c r="C43" s="8">
        <v>0.50800000000000001</v>
      </c>
      <c r="D43" s="8">
        <v>3.84</v>
      </c>
      <c r="E43" s="10">
        <v>37328</v>
      </c>
      <c r="F43" s="12">
        <f t="shared" si="2"/>
        <v>2016.3000000000002</v>
      </c>
      <c r="G43" s="12">
        <f t="shared" si="3"/>
        <v>604.41600000000005</v>
      </c>
      <c r="H43" s="12">
        <f t="shared" si="4"/>
        <v>619.7637592000001</v>
      </c>
      <c r="I43" s="9">
        <f t="shared" si="5"/>
        <v>0.97523611380599096</v>
      </c>
      <c r="K43" s="3">
        <f t="shared" si="6"/>
        <v>219</v>
      </c>
      <c r="L43" s="15">
        <f t="shared" si="7"/>
        <v>2016.3000000000002</v>
      </c>
      <c r="M43" s="16">
        <f t="shared" si="8"/>
        <v>648963.42092699849</v>
      </c>
      <c r="N43" s="16">
        <f t="shared" si="9"/>
        <v>494856.48179070977</v>
      </c>
      <c r="O43" s="16">
        <f t="shared" si="0"/>
        <v>448930.11980793439</v>
      </c>
      <c r="P43" s="43">
        <f t="shared" si="1"/>
        <v>0.90719256254543901</v>
      </c>
    </row>
    <row r="44" spans="1:16">
      <c r="A44" s="8">
        <v>5</v>
      </c>
      <c r="B44" s="8">
        <v>17177</v>
      </c>
      <c r="C44" s="8">
        <v>0.55200000000000005</v>
      </c>
      <c r="D44" s="8">
        <v>4.16</v>
      </c>
      <c r="E44" s="10">
        <v>37328</v>
      </c>
      <c r="F44" s="12">
        <f t="shared" si="2"/>
        <v>2219.0000000000005</v>
      </c>
      <c r="G44" s="12">
        <f t="shared" si="3"/>
        <v>654.78399999999999</v>
      </c>
      <c r="H44" s="12">
        <f t="shared" si="4"/>
        <v>673.44408480000004</v>
      </c>
      <c r="I44" s="9">
        <f t="shared" si="5"/>
        <v>0.97229156032227715</v>
      </c>
      <c r="K44" s="3">
        <f t="shared" si="6"/>
        <v>270</v>
      </c>
      <c r="L44" s="15">
        <f t="shared" si="7"/>
        <v>2219.0000000000005</v>
      </c>
      <c r="M44" s="16">
        <f t="shared" si="8"/>
        <v>714204.15168229421</v>
      </c>
      <c r="N44" s="16">
        <f t="shared" si="9"/>
        <v>544604.73793264152</v>
      </c>
      <c r="O44" s="16">
        <f t="shared" si="0"/>
        <v>488710.70501763711</v>
      </c>
      <c r="P44" s="43">
        <f t="shared" si="1"/>
        <v>0.8973677072160956</v>
      </c>
    </row>
    <row r="45" spans="1:16">
      <c r="A45" s="8">
        <v>5</v>
      </c>
      <c r="B45" s="8">
        <v>17177</v>
      </c>
      <c r="C45" s="8">
        <v>0.55200000000000005</v>
      </c>
      <c r="D45" s="8">
        <v>4.16</v>
      </c>
      <c r="E45" s="10">
        <v>37328</v>
      </c>
      <c r="F45" s="12">
        <f t="shared" si="2"/>
        <v>2219.0000000000005</v>
      </c>
      <c r="G45" s="12">
        <f t="shared" si="3"/>
        <v>654.78399999999999</v>
      </c>
      <c r="H45" s="12">
        <f t="shared" si="4"/>
        <v>673.44408480000004</v>
      </c>
      <c r="I45" s="9">
        <f t="shared" si="5"/>
        <v>0.97229156032227715</v>
      </c>
      <c r="K45" s="3">
        <f t="shared" si="6"/>
        <v>0</v>
      </c>
      <c r="L45" s="15">
        <f t="shared" si="7"/>
        <v>2219.0000000000005</v>
      </c>
      <c r="M45" s="16">
        <f t="shared" si="8"/>
        <v>714204.15168229421</v>
      </c>
      <c r="N45" s="16">
        <f t="shared" si="9"/>
        <v>544604.73793264152</v>
      </c>
      <c r="O45" s="16">
        <f t="shared" si="0"/>
        <v>488710.70501763711</v>
      </c>
      <c r="P45" s="43">
        <f t="shared" si="1"/>
        <v>0.8973677072160956</v>
      </c>
    </row>
    <row r="46" spans="1:16">
      <c r="A46" s="8">
        <v>5.5</v>
      </c>
      <c r="B46" s="8">
        <v>17177</v>
      </c>
      <c r="C46" s="8">
        <v>0.57599999999999996</v>
      </c>
      <c r="D46" s="8">
        <v>4.28</v>
      </c>
      <c r="E46" s="10">
        <v>37328</v>
      </c>
      <c r="F46" s="12">
        <f t="shared" si="2"/>
        <v>2320.35</v>
      </c>
      <c r="G46" s="12">
        <f t="shared" si="3"/>
        <v>673.67200000000003</v>
      </c>
      <c r="H46" s="12">
        <f t="shared" si="4"/>
        <v>702.72426240000004</v>
      </c>
      <c r="I46" s="9">
        <f t="shared" si="5"/>
        <v>0.9586576642440402</v>
      </c>
      <c r="K46" s="3">
        <f t="shared" si="6"/>
        <v>0</v>
      </c>
      <c r="L46" s="15">
        <f t="shared" si="7"/>
        <v>2320.35</v>
      </c>
      <c r="M46" s="16">
        <f t="shared" si="8"/>
        <v>746824.51705994189</v>
      </c>
      <c r="N46" s="16">
        <f t="shared" si="9"/>
        <v>569478.86600360728</v>
      </c>
      <c r="O46" s="16">
        <f t="shared" si="0"/>
        <v>503628.42447127565</v>
      </c>
      <c r="P46" s="43">
        <f t="shared" si="1"/>
        <v>0.88436718996361396</v>
      </c>
    </row>
    <row r="47" spans="1:16">
      <c r="A47" s="8">
        <v>5.5</v>
      </c>
      <c r="B47" s="8">
        <v>28747</v>
      </c>
      <c r="C47" s="8">
        <v>0.57199999999999995</v>
      </c>
      <c r="D47" s="8">
        <v>4.28</v>
      </c>
      <c r="E47" s="10">
        <v>37328</v>
      </c>
      <c r="F47" s="12">
        <f t="shared" si="2"/>
        <v>2320.35</v>
      </c>
      <c r="G47" s="12">
        <f t="shared" si="3"/>
        <v>673.67200000000003</v>
      </c>
      <c r="H47" s="12">
        <f t="shared" si="4"/>
        <v>697.84423279999999</v>
      </c>
      <c r="I47" s="9">
        <f t="shared" si="5"/>
        <v>0.96536156399399853</v>
      </c>
      <c r="K47" s="3">
        <f t="shared" si="6"/>
        <v>11570</v>
      </c>
      <c r="L47" s="15">
        <f t="shared" si="7"/>
        <v>2320.35</v>
      </c>
      <c r="M47" s="16">
        <f t="shared" si="8"/>
        <v>746824.51705994189</v>
      </c>
      <c r="N47" s="16">
        <f t="shared" si="9"/>
        <v>569478.86600360728</v>
      </c>
      <c r="O47" s="16">
        <f t="shared" si="0"/>
        <v>503628.42447127565</v>
      </c>
      <c r="P47" s="43">
        <f t="shared" si="1"/>
        <v>0.88436718996361396</v>
      </c>
    </row>
    <row r="48" spans="1:16">
      <c r="A48" s="8">
        <v>0</v>
      </c>
      <c r="B48" s="8">
        <v>28747</v>
      </c>
      <c r="C48" s="8">
        <v>0.29199999999999998</v>
      </c>
      <c r="D48" s="8">
        <v>2.2799999999999998</v>
      </c>
      <c r="E48" s="10">
        <v>37329</v>
      </c>
      <c r="F48" s="12">
        <f t="shared" si="2"/>
        <v>1205.5</v>
      </c>
      <c r="G48" s="12">
        <f t="shared" si="3"/>
        <v>358.87199999999996</v>
      </c>
      <c r="H48" s="12">
        <f t="shared" si="4"/>
        <v>356.24216079999997</v>
      </c>
      <c r="I48" s="9">
        <f t="shared" si="5"/>
        <v>1.0073821672148358</v>
      </c>
      <c r="K48" s="3">
        <f t="shared" si="6"/>
        <v>0</v>
      </c>
      <c r="L48" s="15">
        <f t="shared" si="7"/>
        <v>1205.5</v>
      </c>
      <c r="M48" s="16">
        <f t="shared" si="8"/>
        <v>388000.49790581595</v>
      </c>
      <c r="N48" s="16">
        <f t="shared" si="9"/>
        <v>295863.45722298301</v>
      </c>
      <c r="O48" s="16">
        <f t="shared" si="0"/>
        <v>254999.76691063357</v>
      </c>
      <c r="P48" s="43">
        <f t="shared" si="1"/>
        <v>0.86188327988896662</v>
      </c>
    </row>
    <row r="49" spans="1:16">
      <c r="A49" s="8">
        <v>0</v>
      </c>
      <c r="B49" s="8">
        <v>28970</v>
      </c>
      <c r="C49" s="8">
        <v>0.29199999999999998</v>
      </c>
      <c r="D49" s="8">
        <v>2.2799999999999998</v>
      </c>
      <c r="E49" s="10">
        <v>37329</v>
      </c>
      <c r="F49" s="12">
        <f t="shared" si="2"/>
        <v>1205.5</v>
      </c>
      <c r="G49" s="12">
        <f t="shared" si="3"/>
        <v>358.87199999999996</v>
      </c>
      <c r="H49" s="12">
        <f t="shared" si="4"/>
        <v>356.24216079999997</v>
      </c>
      <c r="I49" s="9">
        <f t="shared" si="5"/>
        <v>1.0073821672148358</v>
      </c>
      <c r="K49" s="3">
        <f t="shared" si="6"/>
        <v>223</v>
      </c>
      <c r="L49" s="15">
        <f t="shared" si="7"/>
        <v>1205.5</v>
      </c>
      <c r="M49" s="16">
        <f t="shared" si="8"/>
        <v>388000.49790581595</v>
      </c>
      <c r="N49" s="16">
        <f t="shared" si="9"/>
        <v>295863.45722298301</v>
      </c>
      <c r="O49" s="16">
        <f t="shared" si="0"/>
        <v>254999.76691063357</v>
      </c>
      <c r="P49" s="43">
        <f t="shared" si="1"/>
        <v>0.86188327988896662</v>
      </c>
    </row>
    <row r="50" spans="1:16">
      <c r="A50" s="8">
        <v>5.5</v>
      </c>
      <c r="B50" s="8">
        <v>28970</v>
      </c>
      <c r="C50" s="8">
        <v>0.57999999999999996</v>
      </c>
      <c r="D50" s="8">
        <v>4.32</v>
      </c>
      <c r="E50" s="10">
        <v>37329</v>
      </c>
      <c r="F50" s="12">
        <f t="shared" si="2"/>
        <v>2320.35</v>
      </c>
      <c r="G50" s="12">
        <f t="shared" si="3"/>
        <v>679.96800000000007</v>
      </c>
      <c r="H50" s="12">
        <f t="shared" si="4"/>
        <v>707.60429199999999</v>
      </c>
      <c r="I50" s="9">
        <f t="shared" si="5"/>
        <v>0.96094386041400681</v>
      </c>
      <c r="K50" s="3">
        <f t="shared" si="6"/>
        <v>0</v>
      </c>
      <c r="L50" s="15">
        <f t="shared" si="7"/>
        <v>2320.35</v>
      </c>
      <c r="M50" s="16">
        <f t="shared" si="8"/>
        <v>746824.51705994189</v>
      </c>
      <c r="N50" s="16">
        <f t="shared" si="9"/>
        <v>569478.86600360728</v>
      </c>
      <c r="O50" s="16">
        <f t="shared" si="0"/>
        <v>508600.99762248853</v>
      </c>
      <c r="P50" s="43">
        <f t="shared" si="1"/>
        <v>0.89309898572999347</v>
      </c>
    </row>
    <row r="51" spans="1:16">
      <c r="A51" s="8">
        <v>5.5</v>
      </c>
      <c r="B51" s="8">
        <v>42000</v>
      </c>
      <c r="C51" s="8">
        <v>0.57199999999999995</v>
      </c>
      <c r="D51" s="8">
        <v>4.28</v>
      </c>
      <c r="E51" s="10">
        <v>37329</v>
      </c>
      <c r="F51" s="12">
        <f t="shared" si="2"/>
        <v>2320.35</v>
      </c>
      <c r="G51" s="12">
        <f t="shared" si="3"/>
        <v>673.67200000000003</v>
      </c>
      <c r="H51" s="12">
        <f t="shared" si="4"/>
        <v>697.84423279999999</v>
      </c>
      <c r="I51" s="9">
        <f t="shared" si="5"/>
        <v>0.96536156399399853</v>
      </c>
      <c r="K51" s="3">
        <f t="shared" si="6"/>
        <v>13030</v>
      </c>
      <c r="L51" s="15">
        <f t="shared" si="7"/>
        <v>2320.35</v>
      </c>
      <c r="M51" s="16">
        <f t="shared" si="8"/>
        <v>746824.51705994189</v>
      </c>
      <c r="N51" s="16">
        <f t="shared" si="9"/>
        <v>569478.86600360728</v>
      </c>
      <c r="O51" s="16">
        <f t="shared" si="0"/>
        <v>503628.42447127565</v>
      </c>
      <c r="P51" s="43">
        <f t="shared" si="1"/>
        <v>0.88436718996361396</v>
      </c>
    </row>
    <row r="52" spans="1:16">
      <c r="A52" s="8">
        <v>5.65</v>
      </c>
      <c r="B52" s="8">
        <v>42000</v>
      </c>
      <c r="C52" s="8">
        <v>0.57999999999999996</v>
      </c>
      <c r="D52" s="8">
        <v>4.4000000000000004</v>
      </c>
      <c r="E52" s="10">
        <v>37330</v>
      </c>
      <c r="F52" s="12">
        <f t="shared" si="2"/>
        <v>2350.7550000000001</v>
      </c>
      <c r="G52" s="12">
        <f t="shared" si="3"/>
        <v>692.56000000000006</v>
      </c>
      <c r="H52" s="12">
        <f t="shared" si="4"/>
        <v>707.60429199999999</v>
      </c>
      <c r="I52" s="9">
        <f t="shared" si="5"/>
        <v>0.97873911708834016</v>
      </c>
      <c r="K52" s="3">
        <f t="shared" si="6"/>
        <v>0</v>
      </c>
      <c r="L52" s="15">
        <f t="shared" si="7"/>
        <v>2350.7550000000001</v>
      </c>
      <c r="M52" s="16">
        <f t="shared" si="8"/>
        <v>756610.62667323626</v>
      </c>
      <c r="N52" s="16">
        <f t="shared" si="9"/>
        <v>576941.104424897</v>
      </c>
      <c r="O52" s="16">
        <f t="shared" si="0"/>
        <v>518546.14392491418</v>
      </c>
      <c r="P52" s="43">
        <f t="shared" si="1"/>
        <v>0.89878523119237319</v>
      </c>
    </row>
    <row r="53" spans="1:16">
      <c r="A53" s="8">
        <v>5.65</v>
      </c>
      <c r="B53" s="8">
        <v>51700</v>
      </c>
      <c r="C53" s="8">
        <v>0.57999999999999996</v>
      </c>
      <c r="D53" s="8">
        <v>4.4000000000000004</v>
      </c>
      <c r="E53" s="10">
        <v>37330</v>
      </c>
      <c r="F53" s="12">
        <f t="shared" si="2"/>
        <v>2350.7550000000001</v>
      </c>
      <c r="G53" s="12">
        <f t="shared" si="3"/>
        <v>692.56000000000006</v>
      </c>
      <c r="H53" s="12">
        <f t="shared" si="4"/>
        <v>707.60429199999999</v>
      </c>
      <c r="I53" s="9">
        <f t="shared" si="5"/>
        <v>0.97873911708834016</v>
      </c>
      <c r="K53" s="3">
        <f t="shared" si="6"/>
        <v>9700</v>
      </c>
      <c r="L53" s="15">
        <f t="shared" si="7"/>
        <v>2350.7550000000001</v>
      </c>
      <c r="M53" s="16">
        <f t="shared" si="8"/>
        <v>756610.62667323626</v>
      </c>
      <c r="N53" s="16">
        <f t="shared" si="9"/>
        <v>576941.104424897</v>
      </c>
      <c r="O53" s="16">
        <f t="shared" si="0"/>
        <v>518546.14392491418</v>
      </c>
      <c r="P53" s="43">
        <f t="shared" si="1"/>
        <v>0.89878523119237319</v>
      </c>
    </row>
    <row r="54" spans="1:16">
      <c r="A54" s="8">
        <v>5.69</v>
      </c>
      <c r="B54" s="8">
        <v>51700</v>
      </c>
      <c r="C54" s="8">
        <v>0.57999999999999996</v>
      </c>
      <c r="D54" s="8">
        <v>4.4000000000000004</v>
      </c>
      <c r="E54" s="10">
        <v>37330</v>
      </c>
      <c r="F54" s="12">
        <f t="shared" si="2"/>
        <v>2358.8630000000003</v>
      </c>
      <c r="G54" s="12">
        <f t="shared" si="3"/>
        <v>692.56000000000006</v>
      </c>
      <c r="H54" s="12">
        <f t="shared" si="4"/>
        <v>707.60429199999999</v>
      </c>
      <c r="I54" s="9">
        <f t="shared" si="5"/>
        <v>0.97873911708834016</v>
      </c>
      <c r="K54" s="3">
        <f t="shared" si="6"/>
        <v>0</v>
      </c>
      <c r="L54" s="15">
        <f t="shared" si="7"/>
        <v>2358.8630000000003</v>
      </c>
      <c r="M54" s="16">
        <f t="shared" si="8"/>
        <v>759220.25590344821</v>
      </c>
      <c r="N54" s="16">
        <f t="shared" si="9"/>
        <v>578931.03467057436</v>
      </c>
      <c r="O54" s="16">
        <f t="shared" si="0"/>
        <v>518546.14392491418</v>
      </c>
      <c r="P54" s="43">
        <f t="shared" si="1"/>
        <v>0.89569588236011455</v>
      </c>
    </row>
    <row r="55" spans="1:16">
      <c r="A55" s="8">
        <v>5.69</v>
      </c>
      <c r="B55" s="8">
        <v>53387</v>
      </c>
      <c r="C55" s="8">
        <v>0.57999999999999996</v>
      </c>
      <c r="D55" s="8">
        <v>4.4000000000000004</v>
      </c>
      <c r="E55" s="10">
        <v>37330</v>
      </c>
      <c r="F55" s="12">
        <f t="shared" si="2"/>
        <v>2358.8630000000003</v>
      </c>
      <c r="G55" s="12">
        <f t="shared" si="3"/>
        <v>692.56000000000006</v>
      </c>
      <c r="H55" s="12">
        <f t="shared" si="4"/>
        <v>707.60429199999999</v>
      </c>
      <c r="I55" s="9">
        <f t="shared" si="5"/>
        <v>0.97873911708834016</v>
      </c>
      <c r="K55" s="3">
        <f t="shared" si="6"/>
        <v>1687</v>
      </c>
      <c r="L55" s="15">
        <f t="shared" si="7"/>
        <v>2358.8630000000003</v>
      </c>
      <c r="M55" s="16">
        <f t="shared" si="8"/>
        <v>759220.25590344821</v>
      </c>
      <c r="N55" s="16">
        <f t="shared" si="9"/>
        <v>578931.03467057436</v>
      </c>
      <c r="O55" s="16">
        <f t="shared" si="0"/>
        <v>518546.14392491418</v>
      </c>
      <c r="P55" s="43">
        <f t="shared" si="1"/>
        <v>0.89569588236011455</v>
      </c>
    </row>
    <row r="56" spans="1:16">
      <c r="A56" s="8">
        <v>5.65</v>
      </c>
      <c r="B56" s="8">
        <v>53387</v>
      </c>
      <c r="C56" s="8">
        <v>0.57999999999999996</v>
      </c>
      <c r="D56" s="8">
        <v>4.4000000000000004</v>
      </c>
      <c r="E56" s="10">
        <v>37330</v>
      </c>
      <c r="F56" s="12">
        <f t="shared" si="2"/>
        <v>2350.7550000000001</v>
      </c>
      <c r="G56" s="12">
        <f t="shared" si="3"/>
        <v>692.56000000000006</v>
      </c>
      <c r="H56" s="12">
        <f t="shared" si="4"/>
        <v>707.60429199999999</v>
      </c>
      <c r="I56" s="9">
        <f t="shared" si="5"/>
        <v>0.97873911708834016</v>
      </c>
      <c r="K56" s="3">
        <f t="shared" si="6"/>
        <v>0</v>
      </c>
      <c r="L56" s="15">
        <f t="shared" si="7"/>
        <v>2350.7550000000001</v>
      </c>
      <c r="M56" s="16">
        <f t="shared" si="8"/>
        <v>756610.62667323626</v>
      </c>
      <c r="N56" s="16">
        <f t="shared" si="9"/>
        <v>576941.104424897</v>
      </c>
      <c r="O56" s="16">
        <f t="shared" si="0"/>
        <v>518546.14392491418</v>
      </c>
      <c r="P56" s="43">
        <f t="shared" si="1"/>
        <v>0.89878523119237319</v>
      </c>
    </row>
    <row r="57" spans="1:16">
      <c r="A57" s="8">
        <v>5.65</v>
      </c>
      <c r="B57" s="8">
        <v>53552</v>
      </c>
      <c r="C57" s="8">
        <v>0.57999999999999996</v>
      </c>
      <c r="D57" s="8">
        <v>4.4000000000000004</v>
      </c>
      <c r="E57" s="10">
        <v>37330</v>
      </c>
      <c r="F57" s="12">
        <f t="shared" si="2"/>
        <v>2350.7550000000001</v>
      </c>
      <c r="G57" s="12">
        <f t="shared" si="3"/>
        <v>692.56000000000006</v>
      </c>
      <c r="H57" s="12">
        <f t="shared" si="4"/>
        <v>707.60429199999999</v>
      </c>
      <c r="I57" s="9">
        <f t="shared" si="5"/>
        <v>0.97873911708834016</v>
      </c>
      <c r="K57" s="3">
        <f t="shared" si="6"/>
        <v>165</v>
      </c>
      <c r="L57" s="15">
        <f t="shared" si="7"/>
        <v>2350.7550000000001</v>
      </c>
      <c r="M57" s="16">
        <f t="shared" si="8"/>
        <v>756610.62667323626</v>
      </c>
      <c r="N57" s="16">
        <f t="shared" si="9"/>
        <v>576941.104424897</v>
      </c>
      <c r="O57" s="16">
        <f t="shared" si="0"/>
        <v>518546.14392491418</v>
      </c>
      <c r="P57" s="43">
        <f t="shared" si="1"/>
        <v>0.89878523119237319</v>
      </c>
    </row>
    <row r="58" spans="1:16">
      <c r="A58" s="8">
        <v>0</v>
      </c>
      <c r="B58" s="8">
        <v>53552</v>
      </c>
      <c r="C58" s="8">
        <v>0.29599999999999999</v>
      </c>
      <c r="D58" s="8">
        <v>2.2400000000000002</v>
      </c>
      <c r="E58" s="10">
        <v>37335</v>
      </c>
      <c r="F58" s="12">
        <f t="shared" si="2"/>
        <v>1205.5</v>
      </c>
      <c r="G58" s="12">
        <f t="shared" si="3"/>
        <v>352.57600000000002</v>
      </c>
      <c r="H58" s="12">
        <f t="shared" si="4"/>
        <v>361.12219040000002</v>
      </c>
      <c r="I58" s="9">
        <f t="shared" si="5"/>
        <v>0.97633435267288959</v>
      </c>
      <c r="K58" s="3">
        <f t="shared" si="6"/>
        <v>0</v>
      </c>
      <c r="L58" s="15">
        <f t="shared" si="7"/>
        <v>1205.5</v>
      </c>
      <c r="M58" s="16">
        <f t="shared" si="8"/>
        <v>388000.49790581595</v>
      </c>
      <c r="N58" s="16">
        <f t="shared" si="9"/>
        <v>295863.45722298301</v>
      </c>
      <c r="O58" s="16">
        <f t="shared" si="0"/>
        <v>250027.19375942071</v>
      </c>
      <c r="P58" s="43">
        <f t="shared" si="1"/>
        <v>0.84507629332196665</v>
      </c>
    </row>
    <row r="59" spans="1:16">
      <c r="A59" s="8">
        <v>0</v>
      </c>
      <c r="B59" s="8">
        <v>53824</v>
      </c>
      <c r="C59" s="8">
        <v>0.29599999999999999</v>
      </c>
      <c r="D59" s="8">
        <v>2.2400000000000002</v>
      </c>
      <c r="E59" s="10">
        <v>37335</v>
      </c>
      <c r="F59" s="12">
        <f t="shared" si="2"/>
        <v>1205.5</v>
      </c>
      <c r="G59" s="12">
        <f t="shared" si="3"/>
        <v>352.57600000000002</v>
      </c>
      <c r="H59" s="12">
        <f t="shared" si="4"/>
        <v>361.12219040000002</v>
      </c>
      <c r="I59" s="9">
        <f t="shared" si="5"/>
        <v>0.97633435267288959</v>
      </c>
      <c r="K59" s="3">
        <f t="shared" si="6"/>
        <v>272</v>
      </c>
      <c r="L59" s="15">
        <f t="shared" si="7"/>
        <v>1205.5</v>
      </c>
      <c r="M59" s="16">
        <f t="shared" si="8"/>
        <v>388000.49790581595</v>
      </c>
      <c r="N59" s="16">
        <f t="shared" si="9"/>
        <v>295863.45722298301</v>
      </c>
      <c r="O59" s="16">
        <f t="shared" si="0"/>
        <v>250027.19375942071</v>
      </c>
      <c r="P59" s="43">
        <f t="shared" si="1"/>
        <v>0.84507629332196665</v>
      </c>
    </row>
    <row r="60" spans="1:16">
      <c r="A60" s="8">
        <v>1</v>
      </c>
      <c r="B60" s="8">
        <v>53960</v>
      </c>
      <c r="C60" s="8">
        <v>0.35199999999999998</v>
      </c>
      <c r="D60" s="8">
        <v>2.64</v>
      </c>
      <c r="E60" s="10">
        <v>37335</v>
      </c>
      <c r="F60" s="12">
        <f t="shared" si="2"/>
        <v>1408.1999999999998</v>
      </c>
      <c r="G60" s="12">
        <f t="shared" si="3"/>
        <v>415.53600000000006</v>
      </c>
      <c r="H60" s="12">
        <f t="shared" si="4"/>
        <v>429.44260480000003</v>
      </c>
      <c r="I60" s="9">
        <f t="shared" si="5"/>
        <v>0.96761708166688176</v>
      </c>
      <c r="K60" s="3">
        <f t="shared" si="6"/>
        <v>136</v>
      </c>
      <c r="L60" s="15">
        <f t="shared" si="7"/>
        <v>1408.1999999999998</v>
      </c>
      <c r="M60" s="16">
        <f t="shared" si="8"/>
        <v>453241.2286611115</v>
      </c>
      <c r="N60" s="16">
        <f t="shared" si="9"/>
        <v>345611.71336491464</v>
      </c>
      <c r="O60" s="16">
        <f t="shared" si="0"/>
        <v>299752.92527154915</v>
      </c>
      <c r="P60" s="43">
        <f t="shared" si="1"/>
        <v>0.86731124461356024</v>
      </c>
    </row>
    <row r="61" spans="1:16">
      <c r="A61" s="8">
        <v>1</v>
      </c>
      <c r="B61" s="8">
        <v>54121</v>
      </c>
      <c r="C61" s="8">
        <v>0.35199999999999998</v>
      </c>
      <c r="D61" s="8">
        <v>2.64</v>
      </c>
      <c r="E61" s="10">
        <v>37335</v>
      </c>
      <c r="F61" s="12">
        <f t="shared" si="2"/>
        <v>1408.1999999999998</v>
      </c>
      <c r="G61" s="12">
        <f t="shared" si="3"/>
        <v>415.53600000000006</v>
      </c>
      <c r="H61" s="12">
        <f t="shared" si="4"/>
        <v>429.44260480000003</v>
      </c>
      <c r="I61" s="9">
        <f t="shared" si="5"/>
        <v>0.96761708166688176</v>
      </c>
      <c r="K61" s="3">
        <f t="shared" si="6"/>
        <v>161</v>
      </c>
      <c r="L61" s="15">
        <f t="shared" si="7"/>
        <v>1408.1999999999998</v>
      </c>
      <c r="M61" s="16">
        <f t="shared" si="8"/>
        <v>453241.2286611115</v>
      </c>
      <c r="N61" s="16">
        <f t="shared" si="9"/>
        <v>345611.71336491464</v>
      </c>
      <c r="O61" s="16">
        <f t="shared" si="0"/>
        <v>299752.92527154915</v>
      </c>
      <c r="P61" s="43">
        <f t="shared" si="1"/>
        <v>0.86731124461356024</v>
      </c>
    </row>
    <row r="62" spans="1:16">
      <c r="A62" s="8">
        <v>2</v>
      </c>
      <c r="B62" s="8">
        <v>54121</v>
      </c>
      <c r="C62" s="8">
        <v>0.40400000000000003</v>
      </c>
      <c r="D62" s="8">
        <v>3.08</v>
      </c>
      <c r="E62" s="10">
        <v>37335</v>
      </c>
      <c r="F62" s="12">
        <f t="shared" si="2"/>
        <v>1610.9</v>
      </c>
      <c r="G62" s="12">
        <f t="shared" si="3"/>
        <v>484.79200000000003</v>
      </c>
      <c r="H62" s="12">
        <f t="shared" si="4"/>
        <v>492.88298960000009</v>
      </c>
      <c r="I62" s="9">
        <f t="shared" si="5"/>
        <v>0.98358436024224272</v>
      </c>
      <c r="K62" s="3">
        <f t="shared" si="6"/>
        <v>0</v>
      </c>
      <c r="L62" s="15">
        <f t="shared" si="7"/>
        <v>1610.9</v>
      </c>
      <c r="M62" s="16">
        <f t="shared" si="8"/>
        <v>518481.95941640722</v>
      </c>
      <c r="N62" s="16">
        <f t="shared" si="9"/>
        <v>395359.96950684639</v>
      </c>
      <c r="O62" s="16">
        <f t="shared" si="0"/>
        <v>354451.22993489041</v>
      </c>
      <c r="P62" s="43">
        <f t="shared" si="1"/>
        <v>0.89652786643275073</v>
      </c>
    </row>
    <row r="63" spans="1:16">
      <c r="A63" s="8">
        <v>2</v>
      </c>
      <c r="B63" s="8">
        <v>54242</v>
      </c>
      <c r="C63" s="8">
        <v>0.40400000000000003</v>
      </c>
      <c r="D63" s="8">
        <v>3.08</v>
      </c>
      <c r="E63" s="10">
        <v>37335</v>
      </c>
      <c r="F63" s="12">
        <f t="shared" si="2"/>
        <v>1610.9</v>
      </c>
      <c r="G63" s="12">
        <f t="shared" si="3"/>
        <v>484.79200000000003</v>
      </c>
      <c r="H63" s="12">
        <f t="shared" si="4"/>
        <v>492.88298960000009</v>
      </c>
      <c r="I63" s="9">
        <f t="shared" si="5"/>
        <v>0.98358436024224272</v>
      </c>
      <c r="K63" s="3">
        <f t="shared" si="6"/>
        <v>121</v>
      </c>
      <c r="L63" s="15">
        <f t="shared" si="7"/>
        <v>1610.9</v>
      </c>
      <c r="M63" s="16">
        <f t="shared" si="8"/>
        <v>518481.95941640722</v>
      </c>
      <c r="N63" s="16">
        <f t="shared" si="9"/>
        <v>395359.96950684639</v>
      </c>
      <c r="O63" s="16">
        <f t="shared" si="0"/>
        <v>354451.22993489041</v>
      </c>
      <c r="P63" s="43">
        <f t="shared" si="1"/>
        <v>0.89652786643275073</v>
      </c>
    </row>
    <row r="64" spans="1:16">
      <c r="A64" s="8">
        <v>3</v>
      </c>
      <c r="B64" s="8">
        <v>54242</v>
      </c>
      <c r="C64" s="8">
        <v>0.45600000000000002</v>
      </c>
      <c r="D64" s="8">
        <v>3.52</v>
      </c>
      <c r="E64" s="10">
        <v>37335</v>
      </c>
      <c r="F64" s="12">
        <f t="shared" si="2"/>
        <v>1813.6000000000001</v>
      </c>
      <c r="G64" s="12">
        <f t="shared" si="3"/>
        <v>554.048</v>
      </c>
      <c r="H64" s="12">
        <f t="shared" si="4"/>
        <v>556.32337440000015</v>
      </c>
      <c r="I64" s="9">
        <f t="shared" si="5"/>
        <v>0.995909978791644</v>
      </c>
      <c r="K64" s="3">
        <f t="shared" si="6"/>
        <v>0</v>
      </c>
      <c r="L64" s="15">
        <f t="shared" si="7"/>
        <v>1813.6000000000001</v>
      </c>
      <c r="M64" s="16">
        <f t="shared" si="8"/>
        <v>583722.69017170288</v>
      </c>
      <c r="N64" s="16">
        <f t="shared" si="9"/>
        <v>445108.22564877814</v>
      </c>
      <c r="O64" s="16">
        <f t="shared" si="0"/>
        <v>409149.53459823166</v>
      </c>
      <c r="P64" s="43">
        <f t="shared" si="1"/>
        <v>0.91921360024714438</v>
      </c>
    </row>
    <row r="65" spans="1:16">
      <c r="A65" s="8">
        <v>3</v>
      </c>
      <c r="B65" s="8">
        <v>54342</v>
      </c>
      <c r="C65" s="8">
        <v>0.45600000000000002</v>
      </c>
      <c r="D65" s="8">
        <v>3.52</v>
      </c>
      <c r="E65" s="10">
        <v>37335</v>
      </c>
      <c r="F65" s="12">
        <f t="shared" si="2"/>
        <v>1813.6000000000001</v>
      </c>
      <c r="G65" s="12">
        <f t="shared" si="3"/>
        <v>554.048</v>
      </c>
      <c r="H65" s="12">
        <f t="shared" si="4"/>
        <v>556.32337440000015</v>
      </c>
      <c r="I65" s="9">
        <f t="shared" si="5"/>
        <v>0.995909978791644</v>
      </c>
      <c r="K65" s="3">
        <f t="shared" si="6"/>
        <v>100</v>
      </c>
      <c r="L65" s="15">
        <f t="shared" si="7"/>
        <v>1813.6000000000001</v>
      </c>
      <c r="M65" s="16">
        <f t="shared" si="8"/>
        <v>583722.69017170288</v>
      </c>
      <c r="N65" s="16">
        <f t="shared" si="9"/>
        <v>445108.22564877814</v>
      </c>
      <c r="O65" s="16">
        <f t="shared" si="0"/>
        <v>409149.53459823166</v>
      </c>
      <c r="P65" s="43">
        <f t="shared" si="1"/>
        <v>0.91921360024714438</v>
      </c>
    </row>
    <row r="66" spans="1:16">
      <c r="A66" s="8">
        <v>4</v>
      </c>
      <c r="B66" s="8">
        <v>54342</v>
      </c>
      <c r="C66" s="8">
        <v>0.504</v>
      </c>
      <c r="D66" s="8">
        <v>3.8</v>
      </c>
      <c r="E66" s="10">
        <v>37335</v>
      </c>
      <c r="F66" s="12">
        <f t="shared" si="2"/>
        <v>2016.3000000000002</v>
      </c>
      <c r="G66" s="12">
        <f t="shared" si="3"/>
        <v>598.12</v>
      </c>
      <c r="H66" s="12">
        <f t="shared" si="4"/>
        <v>614.88372960000004</v>
      </c>
      <c r="I66" s="9">
        <f t="shared" si="5"/>
        <v>0.9727367487656482</v>
      </c>
      <c r="K66" s="3">
        <f t="shared" si="6"/>
        <v>0</v>
      </c>
      <c r="L66" s="15">
        <f t="shared" si="7"/>
        <v>2016.3000000000002</v>
      </c>
      <c r="M66" s="16">
        <f t="shared" si="8"/>
        <v>648963.42092699849</v>
      </c>
      <c r="N66" s="16">
        <f t="shared" si="9"/>
        <v>494856.48179070977</v>
      </c>
      <c r="O66" s="16">
        <f t="shared" si="0"/>
        <v>443957.54665672156</v>
      </c>
      <c r="P66" s="43">
        <f t="shared" si="1"/>
        <v>0.89714404679554149</v>
      </c>
    </row>
    <row r="67" spans="1:16">
      <c r="A67" s="8">
        <v>4</v>
      </c>
      <c r="B67" s="8">
        <v>54481</v>
      </c>
      <c r="C67" s="8">
        <v>0.504</v>
      </c>
      <c r="D67" s="8">
        <v>3.8</v>
      </c>
      <c r="E67" s="10">
        <v>37335</v>
      </c>
      <c r="F67" s="12">
        <f t="shared" si="2"/>
        <v>2016.3000000000002</v>
      </c>
      <c r="G67" s="12">
        <f t="shared" si="3"/>
        <v>598.12</v>
      </c>
      <c r="H67" s="12">
        <f t="shared" si="4"/>
        <v>614.88372960000004</v>
      </c>
      <c r="I67" s="9">
        <f t="shared" si="5"/>
        <v>0.9727367487656482</v>
      </c>
      <c r="K67" s="3">
        <f t="shared" si="6"/>
        <v>139</v>
      </c>
      <c r="L67" s="15">
        <f t="shared" si="7"/>
        <v>2016.3000000000002</v>
      </c>
      <c r="M67" s="16">
        <f t="shared" si="8"/>
        <v>648963.42092699849</v>
      </c>
      <c r="N67" s="16">
        <f t="shared" si="9"/>
        <v>494856.48179070977</v>
      </c>
      <c r="O67" s="16">
        <f t="shared" si="0"/>
        <v>443957.54665672156</v>
      </c>
      <c r="P67" s="43">
        <f t="shared" si="1"/>
        <v>0.89714404679554149</v>
      </c>
    </row>
    <row r="68" spans="1:16">
      <c r="A68" s="8">
        <v>5</v>
      </c>
      <c r="B68" s="8">
        <v>54481</v>
      </c>
      <c r="C68" s="8">
        <v>0.55600000000000005</v>
      </c>
      <c r="D68" s="8">
        <v>4.28</v>
      </c>
      <c r="E68" s="10">
        <v>37335</v>
      </c>
      <c r="F68" s="12">
        <f t="shared" si="2"/>
        <v>2219.0000000000005</v>
      </c>
      <c r="G68" s="12">
        <f t="shared" si="3"/>
        <v>673.67200000000003</v>
      </c>
      <c r="H68" s="12">
        <f t="shared" si="4"/>
        <v>678.3241144000001</v>
      </c>
      <c r="I68" s="9">
        <f t="shared" si="5"/>
        <v>0.993141752885912</v>
      </c>
      <c r="K68" s="3">
        <f t="shared" si="6"/>
        <v>0</v>
      </c>
      <c r="L68" s="15">
        <f t="shared" si="7"/>
        <v>2219.0000000000005</v>
      </c>
      <c r="M68" s="16">
        <f t="shared" si="8"/>
        <v>714204.15168229421</v>
      </c>
      <c r="N68" s="16">
        <f t="shared" si="9"/>
        <v>544604.73793264152</v>
      </c>
      <c r="O68" s="16">
        <f t="shared" si="0"/>
        <v>503628.42447127565</v>
      </c>
      <c r="P68" s="43">
        <f t="shared" si="1"/>
        <v>0.92475953548087941</v>
      </c>
    </row>
    <row r="69" spans="1:16">
      <c r="A69" s="8">
        <v>5</v>
      </c>
      <c r="B69" s="8">
        <v>54619</v>
      </c>
      <c r="C69" s="8">
        <v>0.55600000000000005</v>
      </c>
      <c r="D69" s="8">
        <v>4.28</v>
      </c>
      <c r="E69" s="10">
        <v>37335</v>
      </c>
      <c r="F69" s="12">
        <f t="shared" si="2"/>
        <v>2219.0000000000005</v>
      </c>
      <c r="G69" s="12">
        <f t="shared" si="3"/>
        <v>673.67200000000003</v>
      </c>
      <c r="H69" s="12">
        <f t="shared" si="4"/>
        <v>678.3241144000001</v>
      </c>
      <c r="I69" s="9">
        <f t="shared" si="5"/>
        <v>0.993141752885912</v>
      </c>
      <c r="K69" s="3">
        <f t="shared" si="6"/>
        <v>138</v>
      </c>
      <c r="L69" s="15">
        <f t="shared" si="7"/>
        <v>2219.0000000000005</v>
      </c>
      <c r="M69" s="16">
        <f t="shared" si="8"/>
        <v>714204.15168229421</v>
      </c>
      <c r="N69" s="16">
        <f t="shared" si="9"/>
        <v>544604.73793264152</v>
      </c>
      <c r="O69" s="16">
        <f t="shared" si="0"/>
        <v>503628.42447127565</v>
      </c>
      <c r="P69" s="43">
        <f t="shared" si="1"/>
        <v>0.92475953548087941</v>
      </c>
    </row>
    <row r="70" spans="1:16">
      <c r="A70" s="8">
        <v>6</v>
      </c>
      <c r="B70" s="8">
        <v>54619</v>
      </c>
      <c r="C70" s="8">
        <v>0.60399999999999998</v>
      </c>
      <c r="D70" s="8">
        <v>4.6399999999999997</v>
      </c>
      <c r="E70" s="10">
        <v>37335</v>
      </c>
      <c r="F70" s="12">
        <f t="shared" si="2"/>
        <v>2421.6999999999998</v>
      </c>
      <c r="G70" s="12">
        <f t="shared" si="3"/>
        <v>730.33600000000001</v>
      </c>
      <c r="H70" s="12">
        <f t="shared" si="4"/>
        <v>736.88446959999999</v>
      </c>
      <c r="I70" s="9">
        <f t="shared" si="5"/>
        <v>0.99111330219300908</v>
      </c>
      <c r="K70" s="3">
        <f t="shared" si="6"/>
        <v>0</v>
      </c>
      <c r="L70" s="15">
        <f t="shared" si="7"/>
        <v>2421.6999999999998</v>
      </c>
      <c r="M70" s="16">
        <f t="shared" si="8"/>
        <v>779444.88243758969</v>
      </c>
      <c r="N70" s="16">
        <f t="shared" si="9"/>
        <v>594352.99407457304</v>
      </c>
      <c r="O70" s="16">
        <f t="shared" si="0"/>
        <v>548381.58283219126</v>
      </c>
      <c r="P70" s="43">
        <f t="shared" si="1"/>
        <v>0.92265301647220477</v>
      </c>
    </row>
    <row r="71" spans="1:16">
      <c r="A71" s="8">
        <v>6</v>
      </c>
      <c r="B71" s="8">
        <v>54899</v>
      </c>
      <c r="C71" s="8">
        <v>0.60399999999999998</v>
      </c>
      <c r="D71" s="8">
        <v>4.6399999999999997</v>
      </c>
      <c r="E71" s="10">
        <v>37335</v>
      </c>
      <c r="F71" s="12">
        <f t="shared" si="2"/>
        <v>2421.6999999999998</v>
      </c>
      <c r="G71" s="12">
        <f t="shared" si="3"/>
        <v>730.33600000000001</v>
      </c>
      <c r="H71" s="12">
        <f t="shared" si="4"/>
        <v>736.88446959999999</v>
      </c>
      <c r="I71" s="9">
        <f t="shared" si="5"/>
        <v>0.99111330219300908</v>
      </c>
      <c r="K71" s="3">
        <f t="shared" si="6"/>
        <v>280</v>
      </c>
      <c r="L71" s="15">
        <f t="shared" si="7"/>
        <v>2421.6999999999998</v>
      </c>
      <c r="M71" s="16">
        <f t="shared" si="8"/>
        <v>779444.88243758969</v>
      </c>
      <c r="N71" s="16">
        <f t="shared" si="9"/>
        <v>594352.99407457304</v>
      </c>
      <c r="O71" s="16">
        <f t="shared" si="0"/>
        <v>548381.58283219126</v>
      </c>
      <c r="P71" s="43">
        <f t="shared" si="1"/>
        <v>0.92265301647220477</v>
      </c>
    </row>
    <row r="72" spans="1:16">
      <c r="A72" s="8">
        <v>6.4</v>
      </c>
      <c r="B72" s="8">
        <v>57110</v>
      </c>
      <c r="C72" s="8">
        <v>0.628</v>
      </c>
      <c r="D72" s="8">
        <v>4.76</v>
      </c>
      <c r="E72" s="10">
        <v>37335</v>
      </c>
      <c r="F72" s="12">
        <f t="shared" si="2"/>
        <v>2502.7800000000002</v>
      </c>
      <c r="G72" s="12">
        <f t="shared" si="3"/>
        <v>749.22400000000005</v>
      </c>
      <c r="H72" s="12">
        <f t="shared" si="4"/>
        <v>766.16464719999999</v>
      </c>
      <c r="I72" s="9">
        <f t="shared" si="5"/>
        <v>0.97788902520899301</v>
      </c>
      <c r="K72" s="3">
        <f t="shared" si="6"/>
        <v>2211</v>
      </c>
      <c r="L72" s="15">
        <f t="shared" si="7"/>
        <v>2502.7800000000002</v>
      </c>
      <c r="M72" s="16">
        <f t="shared" si="8"/>
        <v>805541.17473970808</v>
      </c>
      <c r="N72" s="16">
        <f t="shared" si="9"/>
        <v>614252.29653134581</v>
      </c>
      <c r="O72" s="16">
        <f t="shared" si="0"/>
        <v>563299.30228582979</v>
      </c>
      <c r="P72" s="43">
        <f t="shared" si="1"/>
        <v>0.91704875255128027</v>
      </c>
    </row>
    <row r="73" spans="1:16">
      <c r="A73" s="8">
        <v>6.4</v>
      </c>
      <c r="B73" s="8">
        <v>57110</v>
      </c>
      <c r="C73" s="8">
        <v>0.628</v>
      </c>
      <c r="D73" s="8">
        <v>4.76</v>
      </c>
      <c r="E73" s="10">
        <v>37335</v>
      </c>
      <c r="F73" s="12">
        <f t="shared" si="2"/>
        <v>2502.7800000000002</v>
      </c>
      <c r="G73" s="12">
        <f t="shared" si="3"/>
        <v>749.22400000000005</v>
      </c>
      <c r="H73" s="12">
        <f t="shared" si="4"/>
        <v>766.16464719999999</v>
      </c>
      <c r="I73" s="9">
        <f t="shared" si="5"/>
        <v>0.97788902520899301</v>
      </c>
      <c r="K73" s="3">
        <f t="shared" si="6"/>
        <v>0</v>
      </c>
      <c r="L73" s="15">
        <f t="shared" si="7"/>
        <v>2502.7800000000002</v>
      </c>
      <c r="M73" s="16">
        <f t="shared" si="8"/>
        <v>805541.17473970808</v>
      </c>
      <c r="N73" s="16">
        <f t="shared" si="9"/>
        <v>614252.29653134581</v>
      </c>
      <c r="O73" s="16">
        <f>1000*(D73*1000-228.75)*8/64.353</f>
        <v>563299.30228582979</v>
      </c>
      <c r="P73" s="43">
        <f>IF(O73/N73&gt;0.5,O73/N73,"")</f>
        <v>0.91704875255128027</v>
      </c>
    </row>
    <row r="74" spans="1:16">
      <c r="A74" s="8">
        <v>6.35</v>
      </c>
      <c r="B74" s="8">
        <v>57170</v>
      </c>
      <c r="C74" s="8">
        <v>0.62</v>
      </c>
      <c r="D74" s="8">
        <v>4.76</v>
      </c>
      <c r="E74" s="10">
        <v>37336</v>
      </c>
      <c r="F74" s="12">
        <f>(0.2027*A74+1.2055)*1000</f>
        <v>2492.645</v>
      </c>
      <c r="G74" s="12">
        <f>D74*157.4</f>
        <v>749.22400000000005</v>
      </c>
      <c r="H74" s="12">
        <f>C74*7.751*157.4</f>
        <v>756.4045880000001</v>
      </c>
      <c r="I74" s="9">
        <f>G74/H74</f>
        <v>0.99050694811491535</v>
      </c>
      <c r="K74" s="3">
        <f>B74-B73</f>
        <v>60</v>
      </c>
      <c r="L74" s="15">
        <f>F74</f>
        <v>2492.645</v>
      </c>
      <c r="M74" s="16">
        <f>8*F74/($D$3*SQRT($G$2^2-$G$1^2))</f>
        <v>802279.13820194325</v>
      </c>
      <c r="N74" s="16">
        <f>M74*(EXP(-$G$1*$G$3))*SIN(SQRT($G$2^2-$G$1^2)*$G$3)</f>
        <v>611764.88372424932</v>
      </c>
      <c r="O74" s="16">
        <f>1000*(D74*1000-228.75)*8/64.353</f>
        <v>563299.30228582979</v>
      </c>
      <c r="P74" s="43">
        <f>IF(O74/N74&gt;0.5,O74/N74,"")</f>
        <v>0.920777437986674</v>
      </c>
    </row>
    <row r="75" spans="1:16">
      <c r="A75" s="8">
        <v>6.35</v>
      </c>
      <c r="B75" s="8">
        <v>71950</v>
      </c>
      <c r="C75" s="8">
        <v>0.62</v>
      </c>
      <c r="D75" s="8">
        <v>4.72</v>
      </c>
      <c r="E75" s="10">
        <v>37337</v>
      </c>
      <c r="F75" s="12">
        <f>(0.2027*A75+1.2055)*1000</f>
        <v>2492.645</v>
      </c>
      <c r="G75" s="12">
        <f>D75*157.4</f>
        <v>742.928</v>
      </c>
      <c r="H75" s="12">
        <f>C75*7.751*157.4</f>
        <v>756.4045880000001</v>
      </c>
      <c r="I75" s="9">
        <f>G75/H75</f>
        <v>0.98218336031563036</v>
      </c>
      <c r="K75" s="3">
        <f>B75-B74</f>
        <v>14780</v>
      </c>
      <c r="L75" s="15">
        <f>F75</f>
        <v>2492.645</v>
      </c>
      <c r="M75" s="16">
        <f>8*F75/($D$3*SQRT($G$2^2-$G$1^2))</f>
        <v>802279.13820194325</v>
      </c>
      <c r="N75" s="16">
        <f>M75*(EXP(-$G$1*$G$3))*SIN(SQRT($G$2^2-$G$1^2)*$G$3)</f>
        <v>611764.88372424932</v>
      </c>
      <c r="O75" s="16">
        <f>1000*(D75*1000-228.75)*8/64.353</f>
        <v>558326.72913461691</v>
      </c>
      <c r="P75" s="43">
        <f>IF(O75/N75&gt;0.5,O75/N75,"")</f>
        <v>0.9126491957754812</v>
      </c>
    </row>
    <row r="76" spans="1:16">
      <c r="A76" s="8"/>
      <c r="B76" s="4"/>
      <c r="E76" s="3" t="s">
        <v>12</v>
      </c>
      <c r="F76" s="15">
        <f>MAX(F7:F75)</f>
        <v>2502.7800000000002</v>
      </c>
      <c r="K76" s="3">
        <f>SUM(K8:K75)</f>
        <v>71950</v>
      </c>
      <c r="O76" s="16">
        <f>1000*(D76*1000-228.75)*8/64.353</f>
        <v>-28436.902708498441</v>
      </c>
      <c r="P76" s="43"/>
    </row>
    <row r="77" spans="1:16">
      <c r="O77" s="3" t="s">
        <v>12</v>
      </c>
      <c r="P77" s="43">
        <f>MAX(P8:P76)</f>
        <v>0.92475953548087941</v>
      </c>
    </row>
    <row r="78" spans="1:16">
      <c r="O78" s="3" t="s">
        <v>53</v>
      </c>
      <c r="P78" s="43">
        <f>MIN(P8:P77)</f>
        <v>0.82826930675496668</v>
      </c>
    </row>
    <row r="80" spans="1:16">
      <c r="A80" s="3" t="s">
        <v>5</v>
      </c>
      <c r="B80" s="3" t="s">
        <v>13</v>
      </c>
      <c r="C80" s="3" t="s">
        <v>24</v>
      </c>
      <c r="D80" s="3" t="s">
        <v>14</v>
      </c>
    </row>
    <row r="81" spans="1:4">
      <c r="A81" s="3">
        <v>2470</v>
      </c>
      <c r="B81" s="3">
        <v>1205.5</v>
      </c>
      <c r="C81" s="3">
        <v>388000.49790581595</v>
      </c>
      <c r="D81" s="3">
        <v>295863.45722298301</v>
      </c>
    </row>
    <row r="82" spans="1:4">
      <c r="A82" s="3">
        <v>1626</v>
      </c>
      <c r="B82" s="3">
        <v>1408.2</v>
      </c>
      <c r="C82" s="3">
        <v>453241.2286611115</v>
      </c>
      <c r="D82" s="3">
        <v>345611.71336491464</v>
      </c>
    </row>
    <row r="83" spans="1:4">
      <c r="A83" s="3">
        <v>569</v>
      </c>
      <c r="B83" s="3">
        <v>1610.9</v>
      </c>
      <c r="C83" s="3">
        <v>518481.95941640722</v>
      </c>
      <c r="D83" s="3">
        <v>395359.96950684639</v>
      </c>
    </row>
    <row r="84" spans="1:4">
      <c r="A84" s="3">
        <v>640</v>
      </c>
      <c r="B84" s="3">
        <v>1813.6</v>
      </c>
      <c r="C84" s="3">
        <v>583722.69017170288</v>
      </c>
      <c r="D84" s="3">
        <v>445108.22564877814</v>
      </c>
    </row>
    <row r="85" spans="1:4">
      <c r="A85" s="3">
        <v>1238</v>
      </c>
      <c r="B85" s="3">
        <v>2016.3</v>
      </c>
      <c r="C85" s="3">
        <v>648963.42092699849</v>
      </c>
      <c r="D85" s="3">
        <v>494856.48179070977</v>
      </c>
    </row>
    <row r="86" spans="1:4">
      <c r="A86" s="3">
        <v>625</v>
      </c>
      <c r="B86" s="3">
        <v>2117.65</v>
      </c>
      <c r="C86" s="3">
        <v>681583.78630464629</v>
      </c>
      <c r="D86" s="3">
        <v>519730.60986167559</v>
      </c>
    </row>
    <row r="87" spans="1:4">
      <c r="A87" s="3">
        <v>808</v>
      </c>
      <c r="B87" s="3">
        <v>2219</v>
      </c>
      <c r="C87" s="3">
        <v>714204.15168229421</v>
      </c>
      <c r="D87" s="3">
        <v>544604.73793264152</v>
      </c>
    </row>
    <row r="88" spans="1:4">
      <c r="A88" s="3">
        <v>34696</v>
      </c>
      <c r="B88" s="3">
        <v>2320.35</v>
      </c>
      <c r="C88" s="3">
        <v>746824.51705994189</v>
      </c>
      <c r="D88" s="3">
        <v>569478.86600360728</v>
      </c>
    </row>
    <row r="89" spans="1:4">
      <c r="A89" s="3">
        <v>9865</v>
      </c>
      <c r="B89" s="3">
        <v>2350.7550000000001</v>
      </c>
      <c r="C89" s="3">
        <v>756610.62667323626</v>
      </c>
      <c r="D89" s="3">
        <v>576941.104424897</v>
      </c>
    </row>
    <row r="90" spans="1:4">
      <c r="A90" s="3">
        <v>1687</v>
      </c>
      <c r="B90" s="3">
        <v>2358.8630000000003</v>
      </c>
      <c r="C90" s="3">
        <v>759220.25590344821</v>
      </c>
      <c r="D90" s="3">
        <v>578931.03467057436</v>
      </c>
    </row>
    <row r="91" spans="1:4">
      <c r="A91" s="3">
        <v>350</v>
      </c>
      <c r="B91" s="3">
        <v>2360.89</v>
      </c>
      <c r="C91" s="3">
        <v>759872.66321100097</v>
      </c>
      <c r="D91" s="3">
        <v>579428.51723199361</v>
      </c>
    </row>
    <row r="92" spans="1:4">
      <c r="A92" s="3">
        <v>45</v>
      </c>
      <c r="B92" s="3">
        <v>2381.16</v>
      </c>
      <c r="C92" s="3">
        <v>766396.7362865305</v>
      </c>
      <c r="D92" s="3">
        <v>584403.34284618672</v>
      </c>
    </row>
    <row r="93" spans="1:4">
      <c r="A93" s="3">
        <v>280</v>
      </c>
      <c r="B93" s="3">
        <v>2421.6999999999998</v>
      </c>
      <c r="C93" s="3">
        <v>779444.88243758969</v>
      </c>
      <c r="D93" s="3">
        <v>594352.99407457304</v>
      </c>
    </row>
    <row r="94" spans="1:4">
      <c r="A94" s="3">
        <v>14840</v>
      </c>
      <c r="B94" s="3">
        <v>2492.645</v>
      </c>
      <c r="C94" s="3">
        <v>802279.13820194325</v>
      </c>
      <c r="D94" s="3">
        <v>611764.88372424932</v>
      </c>
    </row>
    <row r="95" spans="1:4">
      <c r="A95" s="3">
        <v>2211</v>
      </c>
      <c r="B95" s="3">
        <v>2502.7800000000002</v>
      </c>
      <c r="C95" s="3">
        <v>805541.17473970808</v>
      </c>
      <c r="D95" s="3">
        <v>614252.29653134581</v>
      </c>
    </row>
    <row r="96" spans="1:4">
      <c r="A96" s="3">
        <f>MAX(A81:A95)</f>
        <v>34696</v>
      </c>
    </row>
  </sheetData>
  <phoneticPr fontId="0" type="noConversion"/>
  <pageMargins left="0.75" right="0.75" top="1" bottom="1" header="0.5" footer="0.5"/>
  <pageSetup scale="45" orientation="portrait" horizontalDpi="355" verticalDpi="355" r:id="rId1"/>
  <headerFooter alignWithMargins="0"/>
  <drawing r:id="rId2"/>
  <legacyDrawing r:id="rId3"/>
  <oleObjects>
    <mc:AlternateContent xmlns:mc="http://schemas.openxmlformats.org/markup-compatibility/2006">
      <mc:Choice Requires="x14">
        <oleObject progId="Mathcad" shapeId="2049" r:id="rId4">
          <objectPr defaultSize="0" r:id="rId5">
            <anchor moveWithCells="1">
              <from>
                <xdr:col>8</xdr:col>
                <xdr:colOff>165100</xdr:colOff>
                <xdr:row>0</xdr:row>
                <xdr:rowOff>133350</xdr:rowOff>
              </from>
              <to>
                <xdr:col>9</xdr:col>
                <xdr:colOff>285750</xdr:colOff>
                <xdr:row>3</xdr:row>
                <xdr:rowOff>0</xdr:rowOff>
              </to>
            </anchor>
          </objectPr>
        </oleObject>
      </mc:Choice>
      <mc:Fallback>
        <oleObject progId="Mathcad" shapeId="2049" r:id="rId4"/>
      </mc:Fallback>
    </mc:AlternateContent>
    <mc:AlternateContent xmlns:mc="http://schemas.openxmlformats.org/markup-compatibility/2006">
      <mc:Choice Requires="x14">
        <oleObject progId="Mathcad" shapeId="2050" r:id="rId6">
          <objectPr defaultSize="0" r:id="rId7">
            <anchor moveWithCells="1">
              <from>
                <xdr:col>9</xdr:col>
                <xdr:colOff>539750</xdr:colOff>
                <xdr:row>1</xdr:row>
                <xdr:rowOff>31750</xdr:rowOff>
              </from>
              <to>
                <xdr:col>12</xdr:col>
                <xdr:colOff>50800</xdr:colOff>
                <xdr:row>2</xdr:row>
                <xdr:rowOff>127000</xdr:rowOff>
              </to>
            </anchor>
          </objectPr>
        </oleObject>
      </mc:Choice>
      <mc:Fallback>
        <oleObject progId="Mathcad" shapeId="2050" r:id="rId6"/>
      </mc:Fallback>
    </mc:AlternateContent>
  </oleObjec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P56"/>
  <sheetViews>
    <sheetView workbookViewId="0">
      <selection activeCell="P8" sqref="P8"/>
    </sheetView>
  </sheetViews>
  <sheetFormatPr defaultColWidth="9" defaultRowHeight="12.5"/>
  <cols>
    <col min="1" max="9" width="9" style="3"/>
    <col min="10" max="10" width="9.36328125" style="13" customWidth="1"/>
    <col min="11" max="16384" width="9" style="3"/>
  </cols>
  <sheetData>
    <row r="1" spans="1:16" s="1" customFormat="1">
      <c r="A1" s="1" t="s">
        <v>6</v>
      </c>
      <c r="C1" s="19" t="s">
        <v>10</v>
      </c>
      <c r="D1" s="1">
        <v>382.0499831138128</v>
      </c>
      <c r="E1" s="1" t="s">
        <v>11</v>
      </c>
      <c r="F1" s="7" t="s">
        <v>20</v>
      </c>
      <c r="G1" s="17">
        <f>D4/(2*D3)</f>
        <v>1485.8075040783035</v>
      </c>
      <c r="H1" s="1" t="s">
        <v>26</v>
      </c>
      <c r="J1" s="13"/>
    </row>
    <row r="2" spans="1:16">
      <c r="C2" s="18" t="s">
        <v>15</v>
      </c>
      <c r="D2" s="3">
        <v>385</v>
      </c>
      <c r="E2" s="3" t="s">
        <v>11</v>
      </c>
      <c r="F2" s="18" t="s">
        <v>21</v>
      </c>
      <c r="G2" s="3">
        <f>SQRT(1/(D3*D5))</f>
        <v>8244.4965742557415</v>
      </c>
      <c r="H2" s="3" t="s">
        <v>26</v>
      </c>
    </row>
    <row r="3" spans="1:16">
      <c r="C3" s="18" t="s">
        <v>16</v>
      </c>
      <c r="D3" s="16">
        <v>3.0649999999999999E-6</v>
      </c>
      <c r="E3" s="3" t="s">
        <v>17</v>
      </c>
      <c r="F3" s="18" t="s">
        <v>25</v>
      </c>
      <c r="G3" s="16">
        <v>1.7249999999999999E-4</v>
      </c>
      <c r="H3" s="3" t="s">
        <v>27</v>
      </c>
    </row>
    <row r="4" spans="1:16">
      <c r="C4" s="18" t="s">
        <v>18</v>
      </c>
      <c r="D4" s="16">
        <v>9.1079999999999998E-3</v>
      </c>
      <c r="E4" s="3" t="s">
        <v>19</v>
      </c>
    </row>
    <row r="5" spans="1:16">
      <c r="C5" s="18" t="s">
        <v>22</v>
      </c>
      <c r="D5" s="16">
        <v>4.7999999999999996E-3</v>
      </c>
      <c r="E5" s="3" t="s">
        <v>23</v>
      </c>
    </row>
    <row r="6" spans="1:16" s="6" customFormat="1" ht="87.5">
      <c r="A6" s="2" t="s">
        <v>0</v>
      </c>
      <c r="B6" s="2" t="s">
        <v>5</v>
      </c>
      <c r="C6" s="2" t="s">
        <v>1</v>
      </c>
      <c r="D6" s="2" t="s">
        <v>2</v>
      </c>
      <c r="E6" s="2" t="s">
        <v>3</v>
      </c>
      <c r="F6" s="2" t="s">
        <v>9</v>
      </c>
      <c r="G6" s="2" t="s">
        <v>7</v>
      </c>
      <c r="H6" s="2" t="s">
        <v>8</v>
      </c>
      <c r="I6" s="2" t="s">
        <v>4</v>
      </c>
      <c r="J6" s="14"/>
      <c r="K6" s="5" t="s">
        <v>5</v>
      </c>
      <c r="L6" s="5" t="s">
        <v>13</v>
      </c>
      <c r="M6" s="5" t="s">
        <v>24</v>
      </c>
      <c r="N6" s="5" t="s">
        <v>14</v>
      </c>
      <c r="O6" s="6" t="s">
        <v>52</v>
      </c>
      <c r="P6" s="6" t="s">
        <v>54</v>
      </c>
    </row>
    <row r="7" spans="1:16">
      <c r="A7" s="8">
        <v>0</v>
      </c>
      <c r="B7" s="8">
        <v>0</v>
      </c>
      <c r="C7" s="5">
        <v>0.32</v>
      </c>
      <c r="D7" s="9">
        <v>2.16</v>
      </c>
      <c r="E7" s="10">
        <v>37552</v>
      </c>
      <c r="F7" s="12">
        <f>(0.2027*A7+1.2055)*1000</f>
        <v>1205.5</v>
      </c>
      <c r="G7" s="12">
        <f>D7*157.4</f>
        <v>339.98400000000004</v>
      </c>
      <c r="H7" s="12">
        <f>C7*7.751*157.4</f>
        <v>390.40236800000008</v>
      </c>
      <c r="I7" s="9">
        <f>G7/H7</f>
        <v>0.87085537350019349</v>
      </c>
    </row>
    <row r="8" spans="1:16">
      <c r="A8" s="8">
        <v>0</v>
      </c>
      <c r="B8" s="8">
        <v>500</v>
      </c>
      <c r="C8" s="11">
        <v>0.32</v>
      </c>
      <c r="D8" s="9">
        <v>2.16</v>
      </c>
      <c r="E8" s="10">
        <v>37552</v>
      </c>
      <c r="F8" s="12">
        <f>(0.2027*A8+1.2055)*1000</f>
        <v>1205.5</v>
      </c>
      <c r="G8" s="12">
        <f>D8*157.4</f>
        <v>339.98400000000004</v>
      </c>
      <c r="H8" s="12">
        <f>C8*7.751*157.4</f>
        <v>390.40236800000008</v>
      </c>
      <c r="I8" s="9">
        <f>G8/H8</f>
        <v>0.87085537350019349</v>
      </c>
      <c r="K8" s="3">
        <f>B8-B7</f>
        <v>500</v>
      </c>
      <c r="L8" s="15">
        <f>F8</f>
        <v>1205.5</v>
      </c>
      <c r="M8" s="16">
        <f>8*F8/($D$3*SQRT($G$2^2-$G$1^2))</f>
        <v>388000.49790581595</v>
      </c>
      <c r="N8" s="16">
        <f>M8*(EXP(-$G$1*$G$3))*SIN(SQRT($G$2^2-$G$1^2)*$G$3)</f>
        <v>295850.8868571535</v>
      </c>
      <c r="O8" s="16">
        <f>1000*(D8*1000-228.75)*8/64.353</f>
        <v>240082.04745699503</v>
      </c>
      <c r="P8" s="43">
        <f>O8/N8</f>
        <v>0.81149679829391386</v>
      </c>
    </row>
    <row r="9" spans="1:16">
      <c r="A9" s="8">
        <v>1</v>
      </c>
      <c r="B9" s="8">
        <v>500</v>
      </c>
      <c r="C9" s="11">
        <v>0.376</v>
      </c>
      <c r="D9" s="9">
        <v>2.6</v>
      </c>
      <c r="E9" s="10">
        <v>37552</v>
      </c>
      <c r="F9" s="12">
        <f t="shared" ref="F9:F40" si="0">(0.2027*A9+1.2055)*1000</f>
        <v>1408.1999999999998</v>
      </c>
      <c r="G9" s="12">
        <f t="shared" ref="G9:G40" si="1">D9*157.4</f>
        <v>409.24</v>
      </c>
      <c r="H9" s="12">
        <f t="shared" ref="H9:H40" si="2">C9*7.751*157.4</f>
        <v>458.72278240000009</v>
      </c>
      <c r="I9" s="9">
        <f t="shared" ref="I9:I40" si="3">G9/H9</f>
        <v>0.89212922423187657</v>
      </c>
      <c r="K9" s="3">
        <f t="shared" ref="K9:K40" si="4">B9-B8</f>
        <v>0</v>
      </c>
      <c r="L9" s="15">
        <f t="shared" ref="L9:L40" si="5">F9</f>
        <v>1408.1999999999998</v>
      </c>
      <c r="M9" s="16">
        <f t="shared" ref="M9:M40" si="6">8*F9/($D$3*SQRT($G$2^2-$G$1^2))</f>
        <v>453241.2286611115</v>
      </c>
      <c r="N9" s="16">
        <f t="shared" ref="N9:N40" si="7">M9*(EXP(-$G$1*$G$3))*SIN(SQRT($G$2^2-$G$1^2)*$G$3)</f>
        <v>345597.02934238361</v>
      </c>
      <c r="O9" s="16">
        <f t="shared" ref="O9:O40" si="8">1000*(D9*1000-228.75)*8/64.353</f>
        <v>294780.35212033632</v>
      </c>
      <c r="P9" s="43">
        <f t="shared" ref="P9:P40" si="9">O9/N9</f>
        <v>0.85295973950139736</v>
      </c>
    </row>
    <row r="10" spans="1:16">
      <c r="A10" s="8">
        <v>1</v>
      </c>
      <c r="B10" s="8">
        <v>825</v>
      </c>
      <c r="C10" s="11">
        <v>0.376</v>
      </c>
      <c r="D10" s="9">
        <v>2.6</v>
      </c>
      <c r="E10" s="10">
        <v>37552</v>
      </c>
      <c r="F10" s="12">
        <f t="shared" si="0"/>
        <v>1408.1999999999998</v>
      </c>
      <c r="G10" s="12">
        <f t="shared" si="1"/>
        <v>409.24</v>
      </c>
      <c r="H10" s="12">
        <f t="shared" si="2"/>
        <v>458.72278240000009</v>
      </c>
      <c r="I10" s="9">
        <f t="shared" si="3"/>
        <v>0.89212922423187657</v>
      </c>
      <c r="K10" s="3">
        <f t="shared" si="4"/>
        <v>325</v>
      </c>
      <c r="L10" s="15">
        <f t="shared" si="5"/>
        <v>1408.1999999999998</v>
      </c>
      <c r="M10" s="16">
        <f t="shared" si="6"/>
        <v>453241.2286611115</v>
      </c>
      <c r="N10" s="16">
        <f t="shared" si="7"/>
        <v>345597.02934238361</v>
      </c>
      <c r="O10" s="16">
        <f t="shared" si="8"/>
        <v>294780.35212033632</v>
      </c>
      <c r="P10" s="43">
        <f t="shared" si="9"/>
        <v>0.85295973950139736</v>
      </c>
    </row>
    <row r="11" spans="1:16">
      <c r="A11" s="8">
        <v>2</v>
      </c>
      <c r="B11" s="8">
        <v>825</v>
      </c>
      <c r="C11" s="11">
        <v>0.44</v>
      </c>
      <c r="D11" s="9">
        <v>3</v>
      </c>
      <c r="E11" s="10">
        <v>37552</v>
      </c>
      <c r="F11" s="12">
        <f t="shared" si="0"/>
        <v>1610.9</v>
      </c>
      <c r="G11" s="12">
        <f t="shared" si="1"/>
        <v>472.20000000000005</v>
      </c>
      <c r="H11" s="12">
        <f t="shared" si="2"/>
        <v>536.80325600000003</v>
      </c>
      <c r="I11" s="9">
        <f t="shared" si="3"/>
        <v>0.87965189242443798</v>
      </c>
      <c r="K11" s="3">
        <f t="shared" si="4"/>
        <v>0</v>
      </c>
      <c r="L11" s="15">
        <f t="shared" si="5"/>
        <v>1610.9</v>
      </c>
      <c r="M11" s="16">
        <f t="shared" si="6"/>
        <v>518481.95941640722</v>
      </c>
      <c r="N11" s="16">
        <f t="shared" si="7"/>
        <v>395343.1718276139</v>
      </c>
      <c r="O11" s="16">
        <f t="shared" si="8"/>
        <v>344506.0836324647</v>
      </c>
      <c r="P11" s="43">
        <f t="shared" si="9"/>
        <v>0.87141022833368598</v>
      </c>
    </row>
    <row r="12" spans="1:16">
      <c r="A12" s="8">
        <v>2</v>
      </c>
      <c r="B12" s="8">
        <v>1000</v>
      </c>
      <c r="C12" s="11">
        <v>0.44</v>
      </c>
      <c r="D12" s="9">
        <v>3</v>
      </c>
      <c r="E12" s="10">
        <v>37552</v>
      </c>
      <c r="F12" s="12">
        <f t="shared" si="0"/>
        <v>1610.9</v>
      </c>
      <c r="G12" s="12">
        <f t="shared" si="1"/>
        <v>472.20000000000005</v>
      </c>
      <c r="H12" s="12">
        <f t="shared" si="2"/>
        <v>536.80325600000003</v>
      </c>
      <c r="I12" s="9">
        <f t="shared" si="3"/>
        <v>0.87965189242443798</v>
      </c>
      <c r="K12" s="3">
        <f t="shared" si="4"/>
        <v>175</v>
      </c>
      <c r="L12" s="15">
        <f t="shared" si="5"/>
        <v>1610.9</v>
      </c>
      <c r="M12" s="16">
        <f t="shared" si="6"/>
        <v>518481.95941640722</v>
      </c>
      <c r="N12" s="16">
        <f t="shared" si="7"/>
        <v>395343.1718276139</v>
      </c>
      <c r="O12" s="16">
        <f t="shared" si="8"/>
        <v>344506.0836324647</v>
      </c>
      <c r="P12" s="43">
        <f t="shared" si="9"/>
        <v>0.87141022833368598</v>
      </c>
    </row>
    <row r="13" spans="1:16">
      <c r="A13" s="8">
        <v>3</v>
      </c>
      <c r="B13" s="8">
        <v>1000</v>
      </c>
      <c r="C13" s="11">
        <v>0.496</v>
      </c>
      <c r="D13" s="9">
        <v>3.4</v>
      </c>
      <c r="E13" s="10">
        <v>37552</v>
      </c>
      <c r="F13" s="12">
        <f t="shared" si="0"/>
        <v>1813.6000000000001</v>
      </c>
      <c r="G13" s="12">
        <f t="shared" si="1"/>
        <v>535.16</v>
      </c>
      <c r="H13" s="12">
        <f t="shared" si="2"/>
        <v>605.12367040000004</v>
      </c>
      <c r="I13" s="9">
        <f t="shared" si="3"/>
        <v>0.8843812036740315</v>
      </c>
      <c r="K13" s="3">
        <f t="shared" si="4"/>
        <v>0</v>
      </c>
      <c r="L13" s="15">
        <f t="shared" si="5"/>
        <v>1813.6000000000001</v>
      </c>
      <c r="M13" s="16">
        <f t="shared" si="6"/>
        <v>583722.69017170288</v>
      </c>
      <c r="N13" s="16">
        <f t="shared" si="7"/>
        <v>445089.31431284407</v>
      </c>
      <c r="O13" s="16">
        <f t="shared" si="8"/>
        <v>394231.81514459313</v>
      </c>
      <c r="P13" s="43">
        <f t="shared" si="9"/>
        <v>0.88573641843824569</v>
      </c>
    </row>
    <row r="14" spans="1:16">
      <c r="A14" s="8">
        <v>3</v>
      </c>
      <c r="B14" s="8">
        <v>1340</v>
      </c>
      <c r="C14" s="11">
        <v>0.496</v>
      </c>
      <c r="D14" s="9">
        <v>3.4</v>
      </c>
      <c r="E14" s="10">
        <v>37552</v>
      </c>
      <c r="F14" s="12">
        <f t="shared" si="0"/>
        <v>1813.6000000000001</v>
      </c>
      <c r="G14" s="12">
        <f t="shared" si="1"/>
        <v>535.16</v>
      </c>
      <c r="H14" s="12">
        <f t="shared" si="2"/>
        <v>605.12367040000004</v>
      </c>
      <c r="I14" s="9">
        <f t="shared" si="3"/>
        <v>0.8843812036740315</v>
      </c>
      <c r="K14" s="3">
        <f t="shared" si="4"/>
        <v>340</v>
      </c>
      <c r="L14" s="15">
        <f t="shared" si="5"/>
        <v>1813.6000000000001</v>
      </c>
      <c r="M14" s="16">
        <f t="shared" si="6"/>
        <v>583722.69017170288</v>
      </c>
      <c r="N14" s="16">
        <f t="shared" si="7"/>
        <v>445089.31431284407</v>
      </c>
      <c r="O14" s="16">
        <f t="shared" si="8"/>
        <v>394231.81514459313</v>
      </c>
      <c r="P14" s="43">
        <f t="shared" si="9"/>
        <v>0.88573641843824569</v>
      </c>
    </row>
    <row r="15" spans="1:16">
      <c r="A15" s="8">
        <v>4</v>
      </c>
      <c r="B15" s="8">
        <v>1340</v>
      </c>
      <c r="C15" s="11">
        <v>0.54400000000000004</v>
      </c>
      <c r="D15" s="9">
        <v>3.68</v>
      </c>
      <c r="E15" s="10">
        <v>37552</v>
      </c>
      <c r="F15" s="12">
        <f t="shared" si="0"/>
        <v>2016.3000000000002</v>
      </c>
      <c r="G15" s="12">
        <f t="shared" si="1"/>
        <v>579.23200000000008</v>
      </c>
      <c r="H15" s="12">
        <f t="shared" si="2"/>
        <v>663.68402560000015</v>
      </c>
      <c r="I15" s="9">
        <f t="shared" si="3"/>
        <v>0.87275266189561873</v>
      </c>
      <c r="K15" s="3">
        <f t="shared" si="4"/>
        <v>0</v>
      </c>
      <c r="L15" s="15">
        <f t="shared" si="5"/>
        <v>2016.3000000000002</v>
      </c>
      <c r="M15" s="16">
        <f t="shared" si="6"/>
        <v>648963.42092699849</v>
      </c>
      <c r="N15" s="16">
        <f t="shared" si="7"/>
        <v>494835.45679807424</v>
      </c>
      <c r="O15" s="16">
        <f t="shared" si="8"/>
        <v>429039.82720308303</v>
      </c>
      <c r="P15" s="43">
        <f t="shared" si="9"/>
        <v>0.8670353373205425</v>
      </c>
    </row>
    <row r="16" spans="1:16">
      <c r="A16" s="8">
        <v>4</v>
      </c>
      <c r="B16" s="8">
        <v>1575</v>
      </c>
      <c r="C16" s="11">
        <v>0.54400000000000004</v>
      </c>
      <c r="D16" s="9">
        <v>3.68</v>
      </c>
      <c r="E16" s="10">
        <v>37552</v>
      </c>
      <c r="F16" s="12">
        <f t="shared" si="0"/>
        <v>2016.3000000000002</v>
      </c>
      <c r="G16" s="12">
        <f t="shared" si="1"/>
        <v>579.23200000000008</v>
      </c>
      <c r="H16" s="12">
        <f t="shared" si="2"/>
        <v>663.68402560000015</v>
      </c>
      <c r="I16" s="9">
        <f t="shared" si="3"/>
        <v>0.87275266189561873</v>
      </c>
      <c r="K16" s="3">
        <f t="shared" si="4"/>
        <v>235</v>
      </c>
      <c r="L16" s="15">
        <f t="shared" si="5"/>
        <v>2016.3000000000002</v>
      </c>
      <c r="M16" s="16">
        <f t="shared" si="6"/>
        <v>648963.42092699849</v>
      </c>
      <c r="N16" s="16">
        <f t="shared" si="7"/>
        <v>494835.45679807424</v>
      </c>
      <c r="O16" s="16">
        <f t="shared" si="8"/>
        <v>429039.82720308303</v>
      </c>
      <c r="P16" s="43">
        <f t="shared" si="9"/>
        <v>0.8670353373205425</v>
      </c>
    </row>
    <row r="17" spans="1:16">
      <c r="A17" s="8">
        <v>5</v>
      </c>
      <c r="B17" s="8">
        <v>1575</v>
      </c>
      <c r="C17" s="11">
        <v>0.59199999999999997</v>
      </c>
      <c r="D17" s="9">
        <v>4.08</v>
      </c>
      <c r="E17" s="10">
        <v>37552</v>
      </c>
      <c r="F17" s="12">
        <f t="shared" si="0"/>
        <v>2219.0000000000005</v>
      </c>
      <c r="G17" s="12">
        <f t="shared" si="1"/>
        <v>642.19200000000001</v>
      </c>
      <c r="H17" s="12">
        <f t="shared" si="2"/>
        <v>722.24438080000004</v>
      </c>
      <c r="I17" s="9">
        <f t="shared" si="3"/>
        <v>0.88916164261281017</v>
      </c>
      <c r="K17" s="3">
        <f t="shared" si="4"/>
        <v>0</v>
      </c>
      <c r="L17" s="15">
        <f t="shared" si="5"/>
        <v>2219.0000000000005</v>
      </c>
      <c r="M17" s="16">
        <f t="shared" si="6"/>
        <v>714204.15168229421</v>
      </c>
      <c r="N17" s="16">
        <f t="shared" si="7"/>
        <v>544581.59928330453</v>
      </c>
      <c r="O17" s="16">
        <f t="shared" si="8"/>
        <v>478765.55871521146</v>
      </c>
      <c r="P17" s="43">
        <f t="shared" si="9"/>
        <v>0.87914384060219786</v>
      </c>
    </row>
    <row r="18" spans="1:16">
      <c r="A18" s="8">
        <v>5</v>
      </c>
      <c r="B18" s="8">
        <v>1725</v>
      </c>
      <c r="C18" s="11">
        <v>0.59199999999999997</v>
      </c>
      <c r="D18" s="9">
        <v>4.08</v>
      </c>
      <c r="E18" s="10">
        <v>37552</v>
      </c>
      <c r="F18" s="12">
        <f t="shared" si="0"/>
        <v>2219.0000000000005</v>
      </c>
      <c r="G18" s="12">
        <f t="shared" si="1"/>
        <v>642.19200000000001</v>
      </c>
      <c r="H18" s="12">
        <f t="shared" si="2"/>
        <v>722.24438080000004</v>
      </c>
      <c r="I18" s="9">
        <f t="shared" si="3"/>
        <v>0.88916164261281017</v>
      </c>
      <c r="K18" s="3">
        <f t="shared" si="4"/>
        <v>150</v>
      </c>
      <c r="L18" s="15">
        <f t="shared" si="5"/>
        <v>2219.0000000000005</v>
      </c>
      <c r="M18" s="16">
        <f t="shared" si="6"/>
        <v>714204.15168229421</v>
      </c>
      <c r="N18" s="16">
        <f t="shared" si="7"/>
        <v>544581.59928330453</v>
      </c>
      <c r="O18" s="16">
        <f t="shared" si="8"/>
        <v>478765.55871521146</v>
      </c>
      <c r="P18" s="43">
        <f t="shared" si="9"/>
        <v>0.87914384060219786</v>
      </c>
    </row>
    <row r="19" spans="1:16">
      <c r="A19" s="8">
        <v>5.6</v>
      </c>
      <c r="B19" s="8">
        <v>1725</v>
      </c>
      <c r="C19" s="11">
        <v>0.624</v>
      </c>
      <c r="D19" s="9">
        <v>4.32</v>
      </c>
      <c r="E19" s="10">
        <v>37552</v>
      </c>
      <c r="F19" s="12">
        <f t="shared" si="0"/>
        <v>2340.62</v>
      </c>
      <c r="G19" s="12">
        <f t="shared" si="1"/>
        <v>679.96800000000007</v>
      </c>
      <c r="H19" s="12">
        <f t="shared" si="2"/>
        <v>761.28461760000005</v>
      </c>
      <c r="I19" s="9">
        <f t="shared" si="3"/>
        <v>0.89318499846173705</v>
      </c>
      <c r="K19" s="3">
        <f t="shared" si="4"/>
        <v>0</v>
      </c>
      <c r="L19" s="15">
        <f t="shared" si="5"/>
        <v>2340.62</v>
      </c>
      <c r="M19" s="16">
        <f t="shared" si="6"/>
        <v>753348.59013547143</v>
      </c>
      <c r="N19" s="16">
        <f t="shared" si="7"/>
        <v>574429.28477444255</v>
      </c>
      <c r="O19" s="16">
        <f t="shared" si="8"/>
        <v>508600.99762248853</v>
      </c>
      <c r="P19" s="43">
        <f t="shared" si="9"/>
        <v>0.88540227858020437</v>
      </c>
    </row>
    <row r="20" spans="1:16">
      <c r="A20" s="8">
        <v>5.6</v>
      </c>
      <c r="B20" s="8">
        <v>2228</v>
      </c>
      <c r="C20" s="11">
        <v>0.624</v>
      </c>
      <c r="D20" s="9">
        <v>4.32</v>
      </c>
      <c r="E20" s="10">
        <v>37552</v>
      </c>
      <c r="F20" s="12">
        <f t="shared" si="0"/>
        <v>2340.62</v>
      </c>
      <c r="G20" s="12">
        <f t="shared" si="1"/>
        <v>679.96800000000007</v>
      </c>
      <c r="H20" s="12">
        <f t="shared" si="2"/>
        <v>761.28461760000005</v>
      </c>
      <c r="I20" s="9">
        <f t="shared" si="3"/>
        <v>0.89318499846173705</v>
      </c>
      <c r="K20" s="3">
        <f t="shared" si="4"/>
        <v>503</v>
      </c>
      <c r="L20" s="15">
        <f t="shared" si="5"/>
        <v>2340.62</v>
      </c>
      <c r="M20" s="16">
        <f t="shared" si="6"/>
        <v>753348.59013547143</v>
      </c>
      <c r="N20" s="16">
        <f t="shared" si="7"/>
        <v>574429.28477444255</v>
      </c>
      <c r="O20" s="16">
        <f t="shared" si="8"/>
        <v>508600.99762248853</v>
      </c>
      <c r="P20" s="43">
        <f t="shared" si="9"/>
        <v>0.88540227858020437</v>
      </c>
    </row>
    <row r="21" spans="1:16">
      <c r="A21" s="8">
        <v>5.9</v>
      </c>
      <c r="B21" s="8">
        <v>2228</v>
      </c>
      <c r="C21" s="11">
        <v>0.64</v>
      </c>
      <c r="D21" s="8">
        <v>4.4000000000000004</v>
      </c>
      <c r="E21" s="10">
        <v>37552</v>
      </c>
      <c r="F21" s="12">
        <f t="shared" si="0"/>
        <v>2401.4299999999998</v>
      </c>
      <c r="G21" s="12">
        <f t="shared" si="1"/>
        <v>692.56000000000006</v>
      </c>
      <c r="H21" s="12">
        <f t="shared" si="2"/>
        <v>780.80473600000016</v>
      </c>
      <c r="I21" s="9">
        <f t="shared" si="3"/>
        <v>0.88698232486130812</v>
      </c>
      <c r="K21" s="3">
        <f t="shared" si="4"/>
        <v>0</v>
      </c>
      <c r="L21" s="15">
        <f t="shared" si="5"/>
        <v>2401.4299999999998</v>
      </c>
      <c r="M21" s="16">
        <f t="shared" si="6"/>
        <v>772920.80936206016</v>
      </c>
      <c r="N21" s="16">
        <f t="shared" si="7"/>
        <v>589353.12752001162</v>
      </c>
      <c r="O21" s="16">
        <f t="shared" si="8"/>
        <v>518546.14392491418</v>
      </c>
      <c r="P21" s="43">
        <f t="shared" si="9"/>
        <v>0.87985643871433739</v>
      </c>
    </row>
    <row r="22" spans="1:16">
      <c r="A22" s="8">
        <v>5.9</v>
      </c>
      <c r="B22" s="8">
        <v>3025</v>
      </c>
      <c r="C22" s="11">
        <v>0.64</v>
      </c>
      <c r="D22" s="8">
        <v>4.4000000000000004</v>
      </c>
      <c r="E22" s="10">
        <v>37552</v>
      </c>
      <c r="F22" s="12">
        <f t="shared" si="0"/>
        <v>2401.4299999999998</v>
      </c>
      <c r="G22" s="12">
        <f t="shared" si="1"/>
        <v>692.56000000000006</v>
      </c>
      <c r="H22" s="12">
        <f t="shared" si="2"/>
        <v>780.80473600000016</v>
      </c>
      <c r="I22" s="9">
        <f t="shared" si="3"/>
        <v>0.88698232486130812</v>
      </c>
      <c r="K22" s="3">
        <f t="shared" si="4"/>
        <v>797</v>
      </c>
      <c r="L22" s="15">
        <f t="shared" si="5"/>
        <v>2401.4299999999998</v>
      </c>
      <c r="M22" s="16">
        <f t="shared" si="6"/>
        <v>772920.80936206016</v>
      </c>
      <c r="N22" s="16">
        <f t="shared" si="7"/>
        <v>589353.12752001162</v>
      </c>
      <c r="O22" s="16">
        <f t="shared" si="8"/>
        <v>518546.14392491418</v>
      </c>
      <c r="P22" s="43">
        <f t="shared" si="9"/>
        <v>0.87985643871433739</v>
      </c>
    </row>
    <row r="23" spans="1:16">
      <c r="A23" s="8">
        <v>5.8</v>
      </c>
      <c r="B23" s="8">
        <v>3025</v>
      </c>
      <c r="C23" s="8">
        <v>0.64</v>
      </c>
      <c r="D23" s="8">
        <v>4.4000000000000004</v>
      </c>
      <c r="E23" s="10">
        <v>37552</v>
      </c>
      <c r="F23" s="12">
        <f t="shared" si="0"/>
        <v>2381.16</v>
      </c>
      <c r="G23" s="12">
        <f t="shared" si="1"/>
        <v>692.56000000000006</v>
      </c>
      <c r="H23" s="12">
        <f t="shared" si="2"/>
        <v>780.80473600000016</v>
      </c>
      <c r="I23" s="9">
        <f t="shared" si="3"/>
        <v>0.88698232486130812</v>
      </c>
      <c r="K23" s="3">
        <f t="shared" si="4"/>
        <v>0</v>
      </c>
      <c r="L23" s="15">
        <f t="shared" si="5"/>
        <v>2381.16</v>
      </c>
      <c r="M23" s="16">
        <f t="shared" si="6"/>
        <v>766396.7362865305</v>
      </c>
      <c r="N23" s="16">
        <f t="shared" si="7"/>
        <v>584378.51327148848</v>
      </c>
      <c r="O23" s="16">
        <f t="shared" si="8"/>
        <v>518546.14392491418</v>
      </c>
      <c r="P23" s="43">
        <f t="shared" si="9"/>
        <v>0.88734635539895335</v>
      </c>
    </row>
    <row r="24" spans="1:16">
      <c r="A24" s="8">
        <v>5.8</v>
      </c>
      <c r="B24" s="8">
        <v>3747</v>
      </c>
      <c r="C24" s="8">
        <v>0.64</v>
      </c>
      <c r="D24" s="8">
        <v>4.4000000000000004</v>
      </c>
      <c r="E24" s="10">
        <v>37552</v>
      </c>
      <c r="F24" s="12">
        <f t="shared" si="0"/>
        <v>2381.16</v>
      </c>
      <c r="G24" s="12">
        <f t="shared" si="1"/>
        <v>692.56000000000006</v>
      </c>
      <c r="H24" s="12">
        <f t="shared" si="2"/>
        <v>780.80473600000016</v>
      </c>
      <c r="I24" s="9">
        <f t="shared" si="3"/>
        <v>0.88698232486130812</v>
      </c>
      <c r="K24" s="3">
        <f t="shared" si="4"/>
        <v>722</v>
      </c>
      <c r="L24" s="15">
        <f t="shared" si="5"/>
        <v>2381.16</v>
      </c>
      <c r="M24" s="16">
        <f t="shared" si="6"/>
        <v>766396.7362865305</v>
      </c>
      <c r="N24" s="16">
        <f t="shared" si="7"/>
        <v>584378.51327148848</v>
      </c>
      <c r="O24" s="16">
        <f t="shared" si="8"/>
        <v>518546.14392491418</v>
      </c>
      <c r="P24" s="43">
        <f t="shared" si="9"/>
        <v>0.88734635539895335</v>
      </c>
    </row>
    <row r="25" spans="1:16">
      <c r="A25" s="8">
        <v>5.5</v>
      </c>
      <c r="B25" s="8">
        <v>3747</v>
      </c>
      <c r="C25" s="8">
        <v>0.624</v>
      </c>
      <c r="D25" s="8">
        <v>4.24</v>
      </c>
      <c r="E25" s="10">
        <v>37552</v>
      </c>
      <c r="F25" s="12">
        <f t="shared" si="0"/>
        <v>2320.35</v>
      </c>
      <c r="G25" s="12">
        <f t="shared" si="1"/>
        <v>667.37600000000009</v>
      </c>
      <c r="H25" s="12">
        <f t="shared" si="2"/>
        <v>761.28461760000005</v>
      </c>
      <c r="I25" s="9">
        <f t="shared" si="3"/>
        <v>0.8766445355272604</v>
      </c>
      <c r="K25" s="3">
        <f t="shared" si="4"/>
        <v>0</v>
      </c>
      <c r="L25" s="15">
        <f t="shared" si="5"/>
        <v>2320.35</v>
      </c>
      <c r="M25" s="16">
        <f t="shared" si="6"/>
        <v>746824.51705994189</v>
      </c>
      <c r="N25" s="16">
        <f t="shared" si="7"/>
        <v>569454.67052591953</v>
      </c>
      <c r="O25" s="16">
        <f t="shared" si="8"/>
        <v>498655.85132006282</v>
      </c>
      <c r="P25" s="43">
        <f t="shared" si="9"/>
        <v>0.87567259894370431</v>
      </c>
    </row>
    <row r="26" spans="1:16">
      <c r="A26" s="8">
        <v>5.5</v>
      </c>
      <c r="B26" s="8">
        <v>33400</v>
      </c>
      <c r="C26" s="8">
        <v>0.64</v>
      </c>
      <c r="D26" s="8">
        <v>4.16</v>
      </c>
      <c r="E26" s="10">
        <v>37553</v>
      </c>
      <c r="F26" s="12">
        <f t="shared" si="0"/>
        <v>2320.35</v>
      </c>
      <c r="G26" s="12">
        <f t="shared" si="1"/>
        <v>654.78399999999999</v>
      </c>
      <c r="H26" s="12">
        <f t="shared" si="2"/>
        <v>780.80473600000016</v>
      </c>
      <c r="I26" s="9">
        <f t="shared" si="3"/>
        <v>0.83860147077796399</v>
      </c>
      <c r="K26" s="3">
        <f t="shared" si="4"/>
        <v>29653</v>
      </c>
      <c r="L26" s="15">
        <f t="shared" si="5"/>
        <v>2320.35</v>
      </c>
      <c r="M26" s="16">
        <f t="shared" si="6"/>
        <v>746824.51705994189</v>
      </c>
      <c r="N26" s="16">
        <f t="shared" si="7"/>
        <v>569454.67052591953</v>
      </c>
      <c r="O26" s="16">
        <f t="shared" si="8"/>
        <v>488710.70501763711</v>
      </c>
      <c r="P26" s="43">
        <f t="shared" si="9"/>
        <v>0.85820826540291373</v>
      </c>
    </row>
    <row r="27" spans="1:16">
      <c r="A27" s="8">
        <v>5.3</v>
      </c>
      <c r="B27" s="8">
        <v>33400</v>
      </c>
      <c r="C27" s="8">
        <v>0.624</v>
      </c>
      <c r="D27" s="8">
        <v>4.08</v>
      </c>
      <c r="E27" s="10">
        <v>37553</v>
      </c>
      <c r="F27" s="12">
        <f t="shared" si="0"/>
        <v>2279.81</v>
      </c>
      <c r="G27" s="12">
        <f t="shared" si="1"/>
        <v>642.19200000000001</v>
      </c>
      <c r="H27" s="12">
        <f t="shared" si="2"/>
        <v>761.28461760000005</v>
      </c>
      <c r="I27" s="9">
        <f t="shared" si="3"/>
        <v>0.84356360965830712</v>
      </c>
      <c r="K27" s="3">
        <f t="shared" si="4"/>
        <v>0</v>
      </c>
      <c r="L27" s="15">
        <f t="shared" si="5"/>
        <v>2279.81</v>
      </c>
      <c r="M27" s="16">
        <f t="shared" si="6"/>
        <v>733776.37090888282</v>
      </c>
      <c r="N27" s="16">
        <f t="shared" si="7"/>
        <v>559505.44202887348</v>
      </c>
      <c r="O27" s="16">
        <f t="shared" si="8"/>
        <v>478765.55871521146</v>
      </c>
      <c r="P27" s="43">
        <f t="shared" si="9"/>
        <v>0.85569419482162001</v>
      </c>
    </row>
    <row r="28" spans="1:16">
      <c r="A28" s="8">
        <v>5.3</v>
      </c>
      <c r="B28" s="8">
        <v>46694</v>
      </c>
      <c r="C28" s="8">
        <v>0.624</v>
      </c>
      <c r="D28" s="8">
        <v>4.08</v>
      </c>
      <c r="E28" s="10">
        <v>37553</v>
      </c>
      <c r="F28" s="12">
        <f t="shared" si="0"/>
        <v>2279.81</v>
      </c>
      <c r="G28" s="12">
        <f t="shared" si="1"/>
        <v>642.19200000000001</v>
      </c>
      <c r="H28" s="12">
        <f t="shared" si="2"/>
        <v>761.28461760000005</v>
      </c>
      <c r="I28" s="9">
        <f t="shared" si="3"/>
        <v>0.84356360965830712</v>
      </c>
      <c r="K28" s="3">
        <f t="shared" si="4"/>
        <v>13294</v>
      </c>
      <c r="L28" s="15">
        <f t="shared" si="5"/>
        <v>2279.81</v>
      </c>
      <c r="M28" s="16">
        <f t="shared" si="6"/>
        <v>733776.37090888282</v>
      </c>
      <c r="N28" s="16">
        <f t="shared" si="7"/>
        <v>559505.44202887348</v>
      </c>
      <c r="O28" s="16">
        <f t="shared" si="8"/>
        <v>478765.55871521146</v>
      </c>
      <c r="P28" s="43">
        <f t="shared" si="9"/>
        <v>0.85569419482162001</v>
      </c>
    </row>
    <row r="29" spans="1:16">
      <c r="A29" s="8">
        <v>1</v>
      </c>
      <c r="B29" s="8">
        <v>46694</v>
      </c>
      <c r="C29" s="8">
        <v>0.39200000000000002</v>
      </c>
      <c r="D29" s="8">
        <v>2.64</v>
      </c>
      <c r="E29" s="10">
        <v>37553</v>
      </c>
      <c r="F29" s="12">
        <f t="shared" si="0"/>
        <v>1408.1999999999998</v>
      </c>
      <c r="G29" s="12">
        <f t="shared" si="1"/>
        <v>415.53600000000006</v>
      </c>
      <c r="H29" s="12">
        <f t="shared" si="2"/>
        <v>478.24290080000009</v>
      </c>
      <c r="I29" s="9">
        <f t="shared" si="3"/>
        <v>0.86888064476209781</v>
      </c>
      <c r="K29" s="3">
        <f t="shared" si="4"/>
        <v>0</v>
      </c>
      <c r="L29" s="15">
        <f t="shared" si="5"/>
        <v>1408.1999999999998</v>
      </c>
      <c r="M29" s="16">
        <f t="shared" si="6"/>
        <v>453241.2286611115</v>
      </c>
      <c r="N29" s="16">
        <f t="shared" si="7"/>
        <v>345597.02934238361</v>
      </c>
      <c r="O29" s="16">
        <f t="shared" si="8"/>
        <v>299752.92527154915</v>
      </c>
      <c r="P29" s="43">
        <f t="shared" si="9"/>
        <v>0.86734809567643412</v>
      </c>
    </row>
    <row r="30" spans="1:16">
      <c r="A30" s="8">
        <v>1</v>
      </c>
      <c r="B30" s="8">
        <v>46796</v>
      </c>
      <c r="C30" s="8">
        <v>0.39200000000000002</v>
      </c>
      <c r="D30" s="8">
        <v>2.64</v>
      </c>
      <c r="E30" s="10">
        <v>37554</v>
      </c>
      <c r="F30" s="12">
        <f t="shared" si="0"/>
        <v>1408.1999999999998</v>
      </c>
      <c r="G30" s="12">
        <f t="shared" si="1"/>
        <v>415.53600000000006</v>
      </c>
      <c r="H30" s="12">
        <f t="shared" si="2"/>
        <v>478.24290080000009</v>
      </c>
      <c r="I30" s="9">
        <f t="shared" si="3"/>
        <v>0.86888064476209781</v>
      </c>
      <c r="K30" s="3">
        <f t="shared" si="4"/>
        <v>102</v>
      </c>
      <c r="L30" s="15">
        <f t="shared" si="5"/>
        <v>1408.1999999999998</v>
      </c>
      <c r="M30" s="16">
        <f t="shared" si="6"/>
        <v>453241.2286611115</v>
      </c>
      <c r="N30" s="16">
        <f t="shared" si="7"/>
        <v>345597.02934238361</v>
      </c>
      <c r="O30" s="16">
        <f t="shared" si="8"/>
        <v>299752.92527154915</v>
      </c>
      <c r="P30" s="43">
        <f t="shared" si="9"/>
        <v>0.86734809567643412</v>
      </c>
    </row>
    <row r="31" spans="1:16">
      <c r="A31" s="8">
        <v>2</v>
      </c>
      <c r="B31" s="8">
        <v>46796</v>
      </c>
      <c r="C31" s="8">
        <v>0.44800000000000001</v>
      </c>
      <c r="D31" s="8">
        <v>3.04</v>
      </c>
      <c r="E31" s="10">
        <v>37554</v>
      </c>
      <c r="F31" s="12">
        <f t="shared" si="0"/>
        <v>1610.9</v>
      </c>
      <c r="G31" s="12">
        <f t="shared" si="1"/>
        <v>478.49600000000004</v>
      </c>
      <c r="H31" s="12">
        <f t="shared" si="2"/>
        <v>546.56331520000003</v>
      </c>
      <c r="I31" s="9">
        <f t="shared" si="3"/>
        <v>0.8754630738890834</v>
      </c>
      <c r="K31" s="3">
        <f t="shared" si="4"/>
        <v>0</v>
      </c>
      <c r="L31" s="15">
        <f t="shared" si="5"/>
        <v>1610.9</v>
      </c>
      <c r="M31" s="16">
        <f t="shared" si="6"/>
        <v>518481.95941640722</v>
      </c>
      <c r="N31" s="16">
        <f t="shared" si="7"/>
        <v>395343.1718276139</v>
      </c>
      <c r="O31" s="16">
        <f t="shared" si="8"/>
        <v>349478.65678367758</v>
      </c>
      <c r="P31" s="43">
        <f t="shared" si="9"/>
        <v>0.88398809360507902</v>
      </c>
    </row>
    <row r="32" spans="1:16">
      <c r="A32" s="8">
        <v>2</v>
      </c>
      <c r="B32" s="8">
        <v>46869</v>
      </c>
      <c r="C32" s="8">
        <v>0.44800000000000001</v>
      </c>
      <c r="D32" s="8">
        <v>3.04</v>
      </c>
      <c r="E32" s="10">
        <v>37554</v>
      </c>
      <c r="F32" s="12">
        <f t="shared" si="0"/>
        <v>1610.9</v>
      </c>
      <c r="G32" s="12">
        <f t="shared" si="1"/>
        <v>478.49600000000004</v>
      </c>
      <c r="H32" s="12">
        <f t="shared" si="2"/>
        <v>546.56331520000003</v>
      </c>
      <c r="I32" s="9">
        <f t="shared" si="3"/>
        <v>0.8754630738890834</v>
      </c>
      <c r="K32" s="3">
        <f t="shared" si="4"/>
        <v>73</v>
      </c>
      <c r="L32" s="15">
        <f t="shared" si="5"/>
        <v>1610.9</v>
      </c>
      <c r="M32" s="16">
        <f t="shared" si="6"/>
        <v>518481.95941640722</v>
      </c>
      <c r="N32" s="16">
        <f t="shared" si="7"/>
        <v>395343.1718276139</v>
      </c>
      <c r="O32" s="16">
        <f t="shared" si="8"/>
        <v>349478.65678367758</v>
      </c>
      <c r="P32" s="43">
        <f t="shared" si="9"/>
        <v>0.88398809360507902</v>
      </c>
    </row>
    <row r="33" spans="1:16">
      <c r="A33" s="8">
        <v>3</v>
      </c>
      <c r="B33" s="8">
        <v>46869</v>
      </c>
      <c r="C33" s="8">
        <v>0.504</v>
      </c>
      <c r="D33" s="8">
        <v>3.28</v>
      </c>
      <c r="E33" s="10">
        <v>37554</v>
      </c>
      <c r="F33" s="12">
        <f t="shared" si="0"/>
        <v>1813.6000000000001</v>
      </c>
      <c r="G33" s="12">
        <f t="shared" si="1"/>
        <v>516.27199999999993</v>
      </c>
      <c r="H33" s="12">
        <f t="shared" si="2"/>
        <v>614.88372960000004</v>
      </c>
      <c r="I33" s="9">
        <f t="shared" si="3"/>
        <v>0.83962540419771725</v>
      </c>
      <c r="K33" s="3">
        <f t="shared" si="4"/>
        <v>0</v>
      </c>
      <c r="L33" s="15">
        <f t="shared" si="5"/>
        <v>1813.6000000000001</v>
      </c>
      <c r="M33" s="16">
        <f t="shared" si="6"/>
        <v>583722.69017170288</v>
      </c>
      <c r="N33" s="16">
        <f t="shared" si="7"/>
        <v>445089.31431284407</v>
      </c>
      <c r="O33" s="16">
        <f t="shared" si="8"/>
        <v>379314.09569095459</v>
      </c>
      <c r="P33" s="43">
        <f t="shared" si="9"/>
        <v>0.85222018029474089</v>
      </c>
    </row>
    <row r="34" spans="1:16">
      <c r="A34" s="8">
        <v>3</v>
      </c>
      <c r="B34" s="8">
        <v>46949</v>
      </c>
      <c r="C34" s="8">
        <v>0.504</v>
      </c>
      <c r="D34" s="8">
        <v>3.28</v>
      </c>
      <c r="E34" s="10">
        <v>37554</v>
      </c>
      <c r="F34" s="12">
        <f t="shared" si="0"/>
        <v>1813.6000000000001</v>
      </c>
      <c r="G34" s="12">
        <f t="shared" si="1"/>
        <v>516.27199999999993</v>
      </c>
      <c r="H34" s="12">
        <f t="shared" si="2"/>
        <v>614.88372960000004</v>
      </c>
      <c r="I34" s="9">
        <f t="shared" si="3"/>
        <v>0.83962540419771725</v>
      </c>
      <c r="K34" s="3">
        <f t="shared" si="4"/>
        <v>80</v>
      </c>
      <c r="L34" s="15">
        <f t="shared" si="5"/>
        <v>1813.6000000000001</v>
      </c>
      <c r="M34" s="16">
        <f t="shared" si="6"/>
        <v>583722.69017170288</v>
      </c>
      <c r="N34" s="16">
        <f t="shared" si="7"/>
        <v>445089.31431284407</v>
      </c>
      <c r="O34" s="16">
        <f t="shared" si="8"/>
        <v>379314.09569095459</v>
      </c>
      <c r="P34" s="43">
        <f t="shared" si="9"/>
        <v>0.85222018029474089</v>
      </c>
    </row>
    <row r="35" spans="1:16">
      <c r="A35" s="8">
        <v>4</v>
      </c>
      <c r="B35" s="8">
        <v>46949</v>
      </c>
      <c r="C35" s="8">
        <v>0.56000000000000005</v>
      </c>
      <c r="D35" s="8">
        <v>3.84</v>
      </c>
      <c r="E35" s="10">
        <v>37554</v>
      </c>
      <c r="F35" s="12">
        <f t="shared" si="0"/>
        <v>2016.3000000000002</v>
      </c>
      <c r="G35" s="12">
        <f t="shared" si="1"/>
        <v>604.41600000000005</v>
      </c>
      <c r="H35" s="12">
        <f t="shared" si="2"/>
        <v>683.20414400000016</v>
      </c>
      <c r="I35" s="9">
        <f t="shared" si="3"/>
        <v>0.88467847466686311</v>
      </c>
      <c r="K35" s="3">
        <f t="shared" si="4"/>
        <v>0</v>
      </c>
      <c r="L35" s="15">
        <f t="shared" si="5"/>
        <v>2016.3000000000002</v>
      </c>
      <c r="M35" s="16">
        <f t="shared" si="6"/>
        <v>648963.42092699849</v>
      </c>
      <c r="N35" s="16">
        <f t="shared" si="7"/>
        <v>494835.45679807424</v>
      </c>
      <c r="O35" s="16">
        <f t="shared" si="8"/>
        <v>448930.11980793439</v>
      </c>
      <c r="P35" s="43">
        <f t="shared" si="9"/>
        <v>0.90723110811990115</v>
      </c>
    </row>
    <row r="36" spans="1:16">
      <c r="A36" s="8">
        <v>4</v>
      </c>
      <c r="B36" s="8">
        <v>47032</v>
      </c>
      <c r="C36" s="8">
        <v>0.56000000000000005</v>
      </c>
      <c r="D36" s="8">
        <v>3.84</v>
      </c>
      <c r="E36" s="10">
        <v>37554</v>
      </c>
      <c r="F36" s="12">
        <f t="shared" si="0"/>
        <v>2016.3000000000002</v>
      </c>
      <c r="G36" s="12">
        <f t="shared" si="1"/>
        <v>604.41600000000005</v>
      </c>
      <c r="H36" s="12">
        <f t="shared" si="2"/>
        <v>683.20414400000016</v>
      </c>
      <c r="I36" s="9">
        <f t="shared" si="3"/>
        <v>0.88467847466686311</v>
      </c>
      <c r="K36" s="3">
        <f t="shared" si="4"/>
        <v>83</v>
      </c>
      <c r="L36" s="15">
        <f t="shared" si="5"/>
        <v>2016.3000000000002</v>
      </c>
      <c r="M36" s="16">
        <f t="shared" si="6"/>
        <v>648963.42092699849</v>
      </c>
      <c r="N36" s="16">
        <f t="shared" si="7"/>
        <v>494835.45679807424</v>
      </c>
      <c r="O36" s="16">
        <f t="shared" si="8"/>
        <v>448930.11980793439</v>
      </c>
      <c r="P36" s="43">
        <f t="shared" si="9"/>
        <v>0.90723110811990115</v>
      </c>
    </row>
    <row r="37" spans="1:16">
      <c r="A37" s="8">
        <v>5</v>
      </c>
      <c r="B37" s="8">
        <v>47032</v>
      </c>
      <c r="C37" s="8">
        <v>0.61599999999999999</v>
      </c>
      <c r="D37" s="8">
        <v>4.08</v>
      </c>
      <c r="E37" s="10">
        <v>37554</v>
      </c>
      <c r="F37" s="12">
        <f t="shared" si="0"/>
        <v>2219.0000000000005</v>
      </c>
      <c r="G37" s="12">
        <f t="shared" si="1"/>
        <v>642.19200000000001</v>
      </c>
      <c r="H37" s="12">
        <f t="shared" si="2"/>
        <v>751.52455840000005</v>
      </c>
      <c r="I37" s="9">
        <f t="shared" si="3"/>
        <v>0.85451898121231107</v>
      </c>
      <c r="K37" s="3">
        <f t="shared" si="4"/>
        <v>0</v>
      </c>
      <c r="L37" s="15">
        <f t="shared" si="5"/>
        <v>2219.0000000000005</v>
      </c>
      <c r="M37" s="16">
        <f t="shared" si="6"/>
        <v>714204.15168229421</v>
      </c>
      <c r="N37" s="16">
        <f t="shared" si="7"/>
        <v>544581.59928330453</v>
      </c>
      <c r="O37" s="16">
        <f t="shared" si="8"/>
        <v>478765.55871521146</v>
      </c>
      <c r="P37" s="43">
        <f t="shared" si="9"/>
        <v>0.87914384060219786</v>
      </c>
    </row>
    <row r="38" spans="1:16">
      <c r="A38" s="8">
        <v>5</v>
      </c>
      <c r="B38" s="8">
        <v>47166</v>
      </c>
      <c r="C38" s="8">
        <v>0.61599999999999999</v>
      </c>
      <c r="D38" s="8">
        <v>4.08</v>
      </c>
      <c r="E38" s="10">
        <v>37554</v>
      </c>
      <c r="F38" s="12">
        <f t="shared" si="0"/>
        <v>2219.0000000000005</v>
      </c>
      <c r="G38" s="12">
        <f t="shared" si="1"/>
        <v>642.19200000000001</v>
      </c>
      <c r="H38" s="12">
        <f t="shared" si="2"/>
        <v>751.52455840000005</v>
      </c>
      <c r="I38" s="9">
        <f t="shared" si="3"/>
        <v>0.85451898121231107</v>
      </c>
      <c r="K38" s="3">
        <f t="shared" si="4"/>
        <v>134</v>
      </c>
      <c r="L38" s="15">
        <f t="shared" si="5"/>
        <v>2219.0000000000005</v>
      </c>
      <c r="M38" s="16">
        <f t="shared" si="6"/>
        <v>714204.15168229421</v>
      </c>
      <c r="N38" s="16">
        <f t="shared" si="7"/>
        <v>544581.59928330453</v>
      </c>
      <c r="O38" s="16">
        <f t="shared" si="8"/>
        <v>478765.55871521146</v>
      </c>
      <c r="P38" s="43">
        <f t="shared" si="9"/>
        <v>0.87914384060219786</v>
      </c>
    </row>
    <row r="39" spans="1:16">
      <c r="A39" s="8">
        <v>5.28</v>
      </c>
      <c r="B39" s="8">
        <v>47166</v>
      </c>
      <c r="C39" s="8">
        <v>0.63200000000000001</v>
      </c>
      <c r="D39" s="8">
        <v>4.16</v>
      </c>
      <c r="E39" s="10">
        <v>37554</v>
      </c>
      <c r="F39" s="12">
        <f t="shared" si="0"/>
        <v>2275.7560000000003</v>
      </c>
      <c r="G39" s="12">
        <f t="shared" si="1"/>
        <v>654.78399999999999</v>
      </c>
      <c r="H39" s="12">
        <f t="shared" si="2"/>
        <v>771.04467680000005</v>
      </c>
      <c r="I39" s="9">
        <f t="shared" si="3"/>
        <v>0.84921667926882438</v>
      </c>
      <c r="K39" s="3">
        <f t="shared" si="4"/>
        <v>0</v>
      </c>
      <c r="L39" s="15">
        <f t="shared" si="5"/>
        <v>2275.7560000000003</v>
      </c>
      <c r="M39" s="16">
        <f t="shared" si="6"/>
        <v>732471.55629377696</v>
      </c>
      <c r="N39" s="16">
        <f t="shared" si="7"/>
        <v>558510.51917916897</v>
      </c>
      <c r="O39" s="16">
        <f t="shared" si="8"/>
        <v>488710.70501763711</v>
      </c>
      <c r="P39" s="43">
        <f t="shared" si="9"/>
        <v>0.87502506798956059</v>
      </c>
    </row>
    <row r="40" spans="1:16">
      <c r="A40" s="8">
        <v>5.28</v>
      </c>
      <c r="B40" s="8">
        <v>55672</v>
      </c>
      <c r="C40" s="8">
        <v>0.624</v>
      </c>
      <c r="D40" s="8">
        <v>4.16</v>
      </c>
      <c r="E40" s="10">
        <v>37554</v>
      </c>
      <c r="F40" s="12">
        <f t="shared" si="0"/>
        <v>2275.7560000000003</v>
      </c>
      <c r="G40" s="12">
        <f t="shared" si="1"/>
        <v>654.78399999999999</v>
      </c>
      <c r="H40" s="12">
        <f t="shared" si="2"/>
        <v>761.28461760000005</v>
      </c>
      <c r="I40" s="9">
        <f t="shared" si="3"/>
        <v>0.86010407259278365</v>
      </c>
      <c r="K40" s="3">
        <f t="shared" si="4"/>
        <v>8506</v>
      </c>
      <c r="L40" s="15">
        <f t="shared" si="5"/>
        <v>2275.7560000000003</v>
      </c>
      <c r="M40" s="16">
        <f t="shared" si="6"/>
        <v>732471.55629377696</v>
      </c>
      <c r="N40" s="16">
        <f t="shared" si="7"/>
        <v>558510.51917916897</v>
      </c>
      <c r="O40" s="16">
        <f t="shared" si="8"/>
        <v>488710.70501763711</v>
      </c>
      <c r="P40" s="43">
        <f t="shared" si="9"/>
        <v>0.87502506798956059</v>
      </c>
    </row>
    <row r="41" spans="1:16">
      <c r="B41" s="4"/>
      <c r="E41" s="3" t="s">
        <v>12</v>
      </c>
      <c r="F41" s="15">
        <f>MAX(F7:F40)</f>
        <v>2401.4299999999998</v>
      </c>
      <c r="K41" s="3">
        <f>SUM(K8:K40)</f>
        <v>55672</v>
      </c>
      <c r="O41" s="3" t="s">
        <v>12</v>
      </c>
      <c r="P41" s="43">
        <f>MAX(P8:P40)</f>
        <v>0.90723110811990115</v>
      </c>
    </row>
    <row r="42" spans="1:16">
      <c r="O42" s="3" t="s">
        <v>53</v>
      </c>
      <c r="P42" s="43">
        <f>MIN(P8:P41)</f>
        <v>0.81149679829391386</v>
      </c>
    </row>
    <row r="45" spans="1:16">
      <c r="A45" s="3" t="s">
        <v>5</v>
      </c>
      <c r="B45" s="3" t="s">
        <v>13</v>
      </c>
      <c r="C45" s="3" t="s">
        <v>24</v>
      </c>
      <c r="D45" s="3" t="s">
        <v>14</v>
      </c>
    </row>
    <row r="46" spans="1:16">
      <c r="A46" s="3">
        <v>500</v>
      </c>
      <c r="B46" s="3">
        <v>1205.5</v>
      </c>
      <c r="C46" s="3">
        <v>388000.49790581595</v>
      </c>
      <c r="D46" s="3">
        <v>295850.8868571535</v>
      </c>
    </row>
    <row r="47" spans="1:16">
      <c r="A47" s="3">
        <v>427</v>
      </c>
      <c r="B47" s="3">
        <v>1408.2</v>
      </c>
      <c r="C47" s="3">
        <v>453241.2286611115</v>
      </c>
      <c r="D47" s="3">
        <v>345597.02934238361</v>
      </c>
    </row>
    <row r="48" spans="1:16">
      <c r="A48" s="3">
        <v>248</v>
      </c>
      <c r="B48" s="3">
        <v>1610.9</v>
      </c>
      <c r="C48" s="3">
        <v>518481.95941640722</v>
      </c>
      <c r="D48" s="3">
        <v>395343.1718276139</v>
      </c>
    </row>
    <row r="49" spans="1:4">
      <c r="A49" s="3">
        <v>420</v>
      </c>
      <c r="B49" s="3">
        <v>1813.6</v>
      </c>
      <c r="C49" s="3">
        <v>583722.69017170288</v>
      </c>
      <c r="D49" s="3">
        <v>445089.31431284407</v>
      </c>
    </row>
    <row r="50" spans="1:4">
      <c r="A50" s="3">
        <v>318</v>
      </c>
      <c r="B50" s="3">
        <v>2016.3</v>
      </c>
      <c r="C50" s="3">
        <v>648963.42092699849</v>
      </c>
      <c r="D50" s="3">
        <v>494835.45679807424</v>
      </c>
    </row>
    <row r="51" spans="1:4">
      <c r="A51" s="3">
        <v>284</v>
      </c>
      <c r="B51" s="3">
        <v>2219</v>
      </c>
      <c r="C51" s="3">
        <v>714204.15168229421</v>
      </c>
      <c r="D51" s="3">
        <v>544581.59928330453</v>
      </c>
    </row>
    <row r="52" spans="1:4">
      <c r="A52" s="3">
        <v>8506</v>
      </c>
      <c r="B52" s="3">
        <v>2275.7560000000003</v>
      </c>
      <c r="C52" s="3">
        <v>732471.55629377696</v>
      </c>
      <c r="D52" s="3">
        <v>558510.51917916897</v>
      </c>
    </row>
    <row r="53" spans="1:4">
      <c r="A53" s="3">
        <v>13294</v>
      </c>
      <c r="B53" s="3">
        <v>2279.81</v>
      </c>
      <c r="C53" s="3">
        <v>733776.37090888282</v>
      </c>
      <c r="D53" s="3">
        <v>559505.44202887348</v>
      </c>
    </row>
    <row r="54" spans="1:4">
      <c r="A54" s="3">
        <v>29653</v>
      </c>
      <c r="B54" s="3">
        <v>2320.35</v>
      </c>
      <c r="C54" s="3">
        <v>746824.51705994189</v>
      </c>
      <c r="D54" s="3">
        <v>569454.67052591953</v>
      </c>
    </row>
    <row r="55" spans="1:4">
      <c r="A55" s="3">
        <v>722</v>
      </c>
      <c r="B55" s="3">
        <v>2381.16</v>
      </c>
      <c r="C55" s="3">
        <v>766396.7362865305</v>
      </c>
      <c r="D55" s="3">
        <v>584378.51327148848</v>
      </c>
    </row>
    <row r="56" spans="1:4">
      <c r="A56" s="3">
        <v>797</v>
      </c>
      <c r="B56" s="3">
        <v>2401.4299999999998</v>
      </c>
      <c r="C56" s="3">
        <v>772920.80936206016</v>
      </c>
      <c r="D56" s="3">
        <v>589353.12752001162</v>
      </c>
    </row>
  </sheetData>
  <phoneticPr fontId="0" type="noConversion"/>
  <pageMargins left="0.75" right="0.75" top="1" bottom="1" header="0.5" footer="0.5"/>
  <pageSetup scale="55" orientation="landscape" r:id="rId1"/>
  <headerFooter alignWithMargins="0"/>
  <drawing r:id="rId2"/>
  <legacyDrawing r:id="rId3"/>
  <oleObjects>
    <mc:AlternateContent xmlns:mc="http://schemas.openxmlformats.org/markup-compatibility/2006">
      <mc:Choice Requires="x14">
        <oleObject progId="Mathcad" shapeId="1027" r:id="rId4">
          <objectPr defaultSize="0" r:id="rId5">
            <anchor moveWithCells="1">
              <from>
                <xdr:col>8</xdr:col>
                <xdr:colOff>165100</xdr:colOff>
                <xdr:row>0</xdr:row>
                <xdr:rowOff>133350</xdr:rowOff>
              </from>
              <to>
                <xdr:col>9</xdr:col>
                <xdr:colOff>285750</xdr:colOff>
                <xdr:row>3</xdr:row>
                <xdr:rowOff>0</xdr:rowOff>
              </to>
            </anchor>
          </objectPr>
        </oleObject>
      </mc:Choice>
      <mc:Fallback>
        <oleObject progId="Mathcad" shapeId="1027" r:id="rId4"/>
      </mc:Fallback>
    </mc:AlternateContent>
    <mc:AlternateContent xmlns:mc="http://schemas.openxmlformats.org/markup-compatibility/2006">
      <mc:Choice Requires="x14">
        <oleObject progId="Mathcad" shapeId="1028" r:id="rId6">
          <objectPr defaultSize="0" r:id="rId7">
            <anchor moveWithCells="1">
              <from>
                <xdr:col>9</xdr:col>
                <xdr:colOff>539750</xdr:colOff>
                <xdr:row>1</xdr:row>
                <xdr:rowOff>31750</xdr:rowOff>
              </from>
              <to>
                <xdr:col>12</xdr:col>
                <xdr:colOff>50800</xdr:colOff>
                <xdr:row>2</xdr:row>
                <xdr:rowOff>127000</xdr:rowOff>
              </to>
            </anchor>
          </objectPr>
        </oleObject>
      </mc:Choice>
      <mc:Fallback>
        <oleObject progId="Mathcad" shapeId="1028" r:id="rId6"/>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12</vt:i4>
      </vt:variant>
    </vt:vector>
  </HeadingPairs>
  <TitlesOfParts>
    <vt:vector size="25" baseType="lpstr">
      <vt:lpstr>Coil slope intercepts</vt:lpstr>
      <vt:lpstr>Lens 16</vt:lpstr>
      <vt:lpstr>Lens 18</vt:lpstr>
      <vt:lpstr>Lens 17</vt:lpstr>
      <vt:lpstr>Lens 21</vt:lpstr>
      <vt:lpstr>Lens 20</vt:lpstr>
      <vt:lpstr>Lens 22</vt:lpstr>
      <vt:lpstr>Lens 23</vt:lpstr>
      <vt:lpstr>Lens 24</vt:lpstr>
      <vt:lpstr>Lens 25</vt:lpstr>
      <vt:lpstr>Lens 24 retest</vt:lpstr>
      <vt:lpstr>Lens 27</vt:lpstr>
      <vt:lpstr>Lens 28</vt:lpstr>
      <vt:lpstr>'Lens 16'!Print_Area</vt:lpstr>
      <vt:lpstr>'Lens 17'!Print_Area</vt:lpstr>
      <vt:lpstr>'Lens 18'!Print_Area</vt:lpstr>
      <vt:lpstr>'Lens 20'!Print_Area</vt:lpstr>
      <vt:lpstr>'Lens 21'!Print_Area</vt:lpstr>
      <vt:lpstr>'Lens 22'!Print_Area</vt:lpstr>
      <vt:lpstr>'Lens 23'!Print_Area</vt:lpstr>
      <vt:lpstr>'Lens 24'!Print_Area</vt:lpstr>
      <vt:lpstr>'Lens 24 retest'!Print_Area</vt:lpstr>
      <vt:lpstr>'Lens 25'!Print_Area</vt:lpstr>
      <vt:lpstr>'Lens 27'!Print_Area</vt:lpstr>
      <vt:lpstr>'Lens 28'!Print_Area</vt:lpstr>
    </vt:vector>
  </TitlesOfParts>
  <Company>Fermilab Beams Division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Anthony F Leveling</dc:creator>
  <cp:lastModifiedBy>Carina Negreanu</cp:lastModifiedBy>
  <cp:lastPrinted>2002-12-12T18:43:17Z</cp:lastPrinted>
  <dcterms:created xsi:type="dcterms:W3CDTF">2002-11-22T15:54:21Z</dcterms:created>
  <dcterms:modified xsi:type="dcterms:W3CDTF">2020-01-27T11:48:41Z</dcterms:modified>
</cp:coreProperties>
</file>