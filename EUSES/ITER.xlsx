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657016E-CCD7-419A-8D56-403D85784981}" xr6:coauthVersionLast="45" xr6:coauthVersionMax="45" xr10:uidLastSave="{00000000-0000-0000-0000-000000000000}"/>
  <bookViews>
    <workbookView xWindow="380" yWindow="380" windowWidth="28800" windowHeight="15460"/>
  </bookViews>
  <sheets>
    <sheet name="Iteration" sheetId="1" r:id="rId1"/>
  </sheets>
  <definedNames>
    <definedName name="relax">Iteration!$B$12</definedName>
    <definedName name="reset">Iteration!$B$4</definedName>
  </definedNames>
  <calcPr calcId="0" calcMode="manual" iterate="1" iterateCount="1" calcCompleted="0" calcOnSave="0"/>
</workbook>
</file>

<file path=xl/calcChain.xml><?xml version="1.0" encoding="utf-8"?>
<calcChain xmlns="http://schemas.openxmlformats.org/spreadsheetml/2006/main">
  <c r="B7" i="1" l="1"/>
  <c r="B8" i="1"/>
  <c r="B9" i="1"/>
  <c r="B14" i="1"/>
  <c r="C14" i="1"/>
  <c r="B15" i="1"/>
  <c r="C15" i="1"/>
  <c r="B16" i="1"/>
  <c r="C16" i="1"/>
</calcChain>
</file>

<file path=xl/sharedStrings.xml><?xml version="1.0" encoding="utf-8"?>
<sst xmlns="http://schemas.openxmlformats.org/spreadsheetml/2006/main" count="16" uniqueCount="13">
  <si>
    <t>Iterative Solution Of Linear Equations</t>
  </si>
  <si>
    <t>2x +5y + 14.6z = 353.65</t>
  </si>
  <si>
    <t>Reset=</t>
  </si>
  <si>
    <t>17x + 6.7y +3z = 764.55</t>
  </si>
  <si>
    <t>9.5x + 14y + 22.8z = 1038.85</t>
  </si>
  <si>
    <t>Simple Iteration</t>
  </si>
  <si>
    <t>z</t>
  </si>
  <si>
    <t>x</t>
  </si>
  <si>
    <t>y</t>
  </si>
  <si>
    <t>Iteration With Over/Under Relaxation</t>
  </si>
  <si>
    <t>Relaxation=</t>
  </si>
  <si>
    <t>Formula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</si>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</sst>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3" formatCode="&quot;$&quot;#,##0_);[Red]\(&quot;$&quot;#,##0\)"/>
    <numFmt numFmtId="175" formatCode="&quot;$&quot;#,##0.00_);[Red]\(&quot;$&quot;#,##0.00\)"/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3" formatCode="General_)"/>
  </numFmts>
  <fonts count="5">
    <font>
      <sz val="10"/>
      <name val="Arial"/>
    </font>
    <font>
      <sz val="10"/>
      <name val="Arial"/>
      <family val="2"/>
    </font>
    <font>
      <sz val="10"/>
      <name val="MS Sans Serif"/>
    </font>
    <font>
      <sz val="10"/>
      <name val="Geneva"/>
    </font>
    <font>
      <sz val="10"/>
      <name val="Couri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/>
  </sheetViews>
  <sheetFormatPr defaultColWidth="8.90625" defaultRowHeight="12.5"/>
  <cols>
    <col min="1" max="1" width="10.1796875" customWidth="1"/>
  </cols>
  <sheetData>
    <row r="1" spans="1:4">
      <c r="A1" t="s">
        <v>0</v>
      </c>
    </row>
    <row r="3" spans="1:4">
      <c r="D3" t="s">
        <v>1</v>
      </c>
    </row>
    <row r="4" spans="1:4">
      <c r="A4" t="s">
        <v>2</v>
      </c>
      <c r="B4" t="b">
        <v>0</v>
      </c>
      <c r="D4" t="s">
        <v>3</v>
      </c>
    </row>
    <row r="5" spans="1:4">
      <c r="D5" t="s">
        <v>4</v>
      </c>
    </row>
    <row r="6" spans="1:4">
      <c r="A6" t="s">
        <v>5</v>
      </c>
    </row>
    <row r="7" spans="1:4">
      <c r="A7" t="s">
        <v>6</v>
      </c>
      <c r="B7">
        <f ca="1">IF(reset,1,(353.65-2*B8-5*B9)/14.6)</f>
        <v>2.2500003603447771</v>
      </c>
    </row>
    <row r="8" spans="1:4">
      <c r="A8" t="s">
        <v>7</v>
      </c>
      <c r="B8">
        <f ca="1">IF(reset,1,(764.55-6.7*B9-3*B7)/17)</f>
        <v>22.900000457309964</v>
      </c>
    </row>
    <row r="9" spans="1:4">
      <c r="A9" t="s">
        <v>8</v>
      </c>
      <c r="B9">
        <f ca="1">IF(reset,1,(1038.85-9.5*B8-22.8*B7)/14)</f>
        <v>54.999999102835311</v>
      </c>
    </row>
    <row r="11" spans="1:4">
      <c r="A11" t="s">
        <v>9</v>
      </c>
    </row>
    <row r="12" spans="1:4">
      <c r="A12" t="s">
        <v>10</v>
      </c>
      <c r="B12">
        <v>1.5</v>
      </c>
    </row>
    <row r="13" spans="1:4">
      <c r="B13" t="s">
        <v>11</v>
      </c>
      <c r="C13" t="s">
        <v>12</v>
      </c>
    </row>
    <row r="14" spans="1:4">
      <c r="A14" t="s">
        <v>6</v>
      </c>
      <c r="B14">
        <f ca="1">C14+relax*((353.65-2*C15-5*C16)/14.6-C14)</f>
        <v>2.2500000004180203</v>
      </c>
      <c r="C14">
        <f t="shared" ref="C14:C16" ca="1" si="0">IF(reset,1,B14)</f>
        <v>2.2500000004180203</v>
      </c>
    </row>
    <row r="15" spans="1:4">
      <c r="A15" t="s">
        <v>7</v>
      </c>
      <c r="B15">
        <f ca="1">C15+relax*((764.55-6.7*C16-3*C14)/17-C15)</f>
        <v>22.900000000554407</v>
      </c>
      <c r="C15">
        <f ca="1">IF(reset,1,B15)</f>
        <v>22.900000000554407</v>
      </c>
    </row>
    <row r="16" spans="1:4">
      <c r="A16" t="s">
        <v>8</v>
      </c>
      <c r="B16">
        <f ca="1">C16+relax*((1038.85-9.5*C15-22.8*C14)/14-C16)</f>
        <v>54.999999999231257</v>
      </c>
      <c r="C16">
        <f t="shared" ca="1" si="0"/>
        <v>54.999999999231257</v>
      </c>
    </row>
  </sheetData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Iteration</vt:lpstr>
      <vt:lpstr>relax</vt:lpstr>
      <vt:lpstr>reset</vt:lpstr>
    </vt:vector>
  </TitlesOfParts>
  <Company>W. J. Orvis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J. Orvis</dc:creator>
  <cp:lastModifiedBy>Carina Negreanu</cp:lastModifiedBy>
  <dcterms:created xsi:type="dcterms:W3CDTF">1996-09-23T05:08:49Z</dcterms:created>
  <dcterms:modified xsi:type="dcterms:W3CDTF">2020-01-27T11:46:52Z</dcterms:modified>
</cp:coreProperties>
</file>