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B4F9D7F-909D-4CE4-BE35-6562A4323DAA}" xr6:coauthVersionLast="45" xr6:coauthVersionMax="45" xr10:uidLastSave="{00000000-0000-0000-0000-000000000000}"/>
  <bookViews>
    <workbookView xWindow="760" yWindow="760" windowWidth="28800" windowHeight="15460"/>
  </bookViews>
  <sheets>
    <sheet name="Contents" sheetId="1" r:id="rId1"/>
    <sheet name="wsSubTotal" sheetId="2" r:id="rId2"/>
    <sheet name="wsPivot" sheetId="3" r:id="rId3"/>
  </sheets>
  <definedNames>
    <definedName name="_xlnm.Criteria">wsSubTotal!$J$2:$J$3</definedName>
    <definedName name="_xlnm.Database">OFFSET(wsSubTotal!$C$4,0,0,COUNTA(wsSubTotal!$C:$C),4)</definedName>
  </definedNames>
  <calcPr calcId="0" fullCalcOnLoad="1" iterate="1"/>
  <pivotCaches>
    <pivotCache cacheId="17" r:id="rId4"/>
  </pivotCaches>
</workbook>
</file>

<file path=xl/calcChain.xml><?xml version="1.0" encoding="utf-8"?>
<calcChain xmlns="http://schemas.openxmlformats.org/spreadsheetml/2006/main">
  <c r="K4" i="2" l="1"/>
  <c r="L4" i="2"/>
  <c r="F5" i="2"/>
  <c r="F6" i="2"/>
  <c r="F7" i="2"/>
  <c r="F8" i="2"/>
  <c r="K8" i="2"/>
  <c r="L8" i="2"/>
  <c r="F9" i="2"/>
  <c r="F10" i="2"/>
  <c r="F11" i="2"/>
  <c r="F12" i="2"/>
  <c r="F13" i="2"/>
</calcChain>
</file>

<file path=xl/sharedStrings.xml><?xml version="1.0" encoding="utf-8"?>
<sst xmlns="http://schemas.openxmlformats.org/spreadsheetml/2006/main" count="81" uniqueCount="65">
  <si>
    <t>Automatic Subtotals</t>
  </si>
  <si>
    <t>This workbook illustrates solutions to some typical requirements in application development.</t>
  </si>
  <si>
    <t>These are based on real-world apps and are presented here in a manner that will make it easy</t>
  </si>
  <si>
    <t>for you to use them in your development.</t>
  </si>
  <si>
    <t>The specific techniques illustrated here are:</t>
  </si>
  <si>
    <t>How to compute subtotals by category without using pivot tables</t>
  </si>
  <si>
    <t>How to compute subtotals using pivot tables</t>
  </si>
  <si>
    <t>How to set up a name that automatically includes new data</t>
  </si>
  <si>
    <t>Sheet</t>
  </si>
  <si>
    <t>Description</t>
  </si>
  <si>
    <t>Contents</t>
  </si>
  <si>
    <t>This sheet.</t>
  </si>
  <si>
    <t>wsSubTotal</t>
  </si>
  <si>
    <t>Worksheet containing raw data and their subtotals using Data Table feature</t>
  </si>
  <si>
    <t>wsPivot</t>
  </si>
  <si>
    <t>Worksheet containing a pivot table showing subtotals</t>
  </si>
  <si>
    <t>Category</t>
  </si>
  <si>
    <t>Product</t>
  </si>
  <si>
    <t>Units</t>
  </si>
  <si>
    <t>Revenue</t>
  </si>
  <si>
    <t>Zing Mat</t>
  </si>
  <si>
    <t>Institutional</t>
  </si>
  <si>
    <t>Consumer</t>
  </si>
  <si>
    <t>Frezuko</t>
  </si>
  <si>
    <t>Bexanich</t>
  </si>
  <si>
    <t>Special</t>
  </si>
  <si>
    <t>Maquids</t>
  </si>
  <si>
    <t>Wruib Special</t>
  </si>
  <si>
    <t>Yollopsice</t>
  </si>
  <si>
    <t>Kool Tools</t>
  </si>
  <si>
    <t>Votsolldees</t>
  </si>
  <si>
    <t>Ugotidyood</t>
  </si>
  <si>
    <t>Steps:</t>
  </si>
  <si>
    <t xml:space="preserve"> 1. Choose Insert-&gt;Name-&gt;Define and define a name</t>
  </si>
  <si>
    <t xml:space="preserve">     called Database as =OFFSET(Sht!$C$4,0,0,COUNTA(Sht!$C:$C),4))</t>
  </si>
  <si>
    <t xml:space="preserve"> 2.  Define another name called Criteria as J1:J2</t>
  </si>
  <si>
    <t xml:space="preserve"> 3. Set up cells J1, J4:J7, K8, L8 as done above.</t>
  </si>
  <si>
    <t xml:space="preserve"> 4. In K4, type =DSUM(Database,"Units",Criteria)</t>
  </si>
  <si>
    <t xml:space="preserve"> 5. In L4, type =DSUM(Database,"Revenue",Criteria)</t>
  </si>
  <si>
    <t xml:space="preserve"> 6. Select K4, choose Format-&gt;Cells, click the Number tab</t>
  </si>
  <si>
    <t xml:space="preserve">     format as "Units" including the quotes.</t>
  </si>
  <si>
    <t xml:space="preserve"> 7. Select L4, choose Format-&gt;Cells and type a number</t>
  </si>
  <si>
    <t xml:space="preserve">     format as "Revenue" including the quotes.</t>
  </si>
  <si>
    <t xml:space="preserve"> 8. Select cells J4:L7, choose Table under the Data menu,</t>
  </si>
  <si>
    <t xml:space="preserve">     type J3 as the Column Input cell.</t>
  </si>
  <si>
    <t xml:space="preserve"> 9. You can substitute DSUM() with other database functions</t>
  </si>
  <si>
    <t xml:space="preserve">     such as DAVERAGE() and DVAR().</t>
  </si>
  <si>
    <t>10. Add a row of data below the existing data and check the results.</t>
  </si>
  <si>
    <t>Data</t>
  </si>
  <si>
    <t>Sum of Units</t>
  </si>
  <si>
    <t>Sum of Revenue</t>
  </si>
  <si>
    <t>1. Activate the wsSubTotal sheet and click Data-&gt;PivotTable</t>
  </si>
  <si>
    <t xml:space="preserve">     to invoke the Pivot Table Wizard dialogs.</t>
  </si>
  <si>
    <t xml:space="preserve"> 2. Choose Microsoft Excel List or Database in Step 1.</t>
  </si>
  <si>
    <t>Grand Total</t>
  </si>
  <si>
    <t xml:space="preserve"> 3. Specify Database as the data range in Step 2.</t>
  </si>
  <si>
    <t xml:space="preserve"> 4. Drag the fields as follows: Category as Row field, Units and</t>
  </si>
  <si>
    <t xml:space="preserve">     Revenue as Data fields. If the label does not read "Sum of</t>
  </si>
  <si>
    <t xml:space="preserve">     Units" double-click it and choose the Sum function. If you</t>
  </si>
  <si>
    <t xml:space="preserve">     wish to compute the average revenue, double-click the</t>
  </si>
  <si>
    <t xml:space="preserve">     Revenue field and pick the Average function.</t>
  </si>
  <si>
    <t xml:space="preserve"> 5. Press the Finish button in Step 4.</t>
  </si>
  <si>
    <t xml:space="preserve"> 6. Whenever the input data changes, choose the Refresh</t>
  </si>
  <si>
    <t xml:space="preserve">     Data option under the Data menu or press the exclamation</t>
  </si>
  <si>
    <t xml:space="preserve">     mark button on the Query and Pivot toolbar.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</si>
</sst>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0" formatCode="_(&quot;$&quot;* #,##0.00_);_(&quot;$&quot;* \(#,##0.00\);_(&quot;$&quot;* &quot;-&quot;??_);_(@_)"/>
    <numFmt numFmtId="171" formatCode="_(* #,##0.00_);_(* \(#,##0.00\);_(* &quot;-&quot;??_);_(@_)"/>
    <numFmt numFmtId="187" formatCode="_(* #,##0_);_(* \(#,##0\);_(* &quot;-&quot;??_);_(@_)"/>
    <numFmt numFmtId="188" formatCode="&quot;Units&quot;"/>
    <numFmt numFmtId="191" formatCode="&quot;Revenue&quot;"/>
  </numFmts>
  <fonts count="13" x14ac:knownFonts="1">
    <font>
      <sz val="10"/>
      <name val="Arial"/>
    </font>
    <font>
      <sz val="10"/>
      <name val="Arial"/>
      <family val="2"/>
    </font>
    <font>
      <sz val="8"/>
      <name val="Arial"/>
      <family val="2"/>
    </font>
    <font>
      <sz val="8.5"/>
      <name val="MS Sans Serif"/>
      <family val="2"/>
    </font>
    <font>
      <b/>
      <sz val="10"/>
      <color indexed="9"/>
      <name val="MS Sans Serif"/>
      <family val="2"/>
    </font>
    <font>
      <b/>
      <sz val="8.5"/>
      <color indexed="9"/>
      <name val="MS Sans Serif"/>
      <family val="2"/>
    </font>
    <font>
      <b/>
      <sz val="8.5"/>
      <name val="MS Sans Serif"/>
    </font>
    <font>
      <b/>
      <sz val="10"/>
      <name val="MS Sans Serif"/>
    </font>
    <font>
      <sz val="10"/>
      <color indexed="8"/>
      <name val="Arial"/>
      <family val="2"/>
    </font>
    <font>
      <b/>
      <i/>
      <sz val="11"/>
      <color indexed="9"/>
      <name val="Arial"/>
      <family val="2"/>
    </font>
    <font>
      <b/>
      <i/>
      <sz val="10"/>
      <color indexed="8"/>
      <name val="Arial"/>
      <family val="2"/>
    </font>
    <font>
      <b/>
      <sz val="10"/>
      <color indexed="8"/>
      <name val="Arial"/>
      <family val="2"/>
    </font>
    <font>
      <b/>
      <i/>
      <sz val="10"/>
      <color indexed="9"/>
      <name val="Arial"/>
      <family val="2"/>
    </font>
  </fonts>
  <fills count="9">
    <fill>
      <patternFill patternType="none"/>
    </fill>
    <fill>
      <patternFill patternType="gray125"/>
    </fill>
    <fill>
      <patternFill patternType="solid">
        <fgColor indexed="22"/>
        <bgColor indexed="64"/>
      </patternFill>
    </fill>
    <fill>
      <patternFill patternType="solid">
        <fgColor indexed="16"/>
        <bgColor indexed="64"/>
      </patternFill>
    </fill>
    <fill>
      <patternFill patternType="solid">
        <fgColor indexed="18"/>
        <bgColor indexed="64"/>
      </patternFill>
    </fill>
    <fill>
      <patternFill patternType="solid">
        <fgColor indexed="26"/>
        <bgColor indexed="64"/>
      </patternFill>
    </fill>
    <fill>
      <patternFill patternType="solid">
        <fgColor indexed="9"/>
        <bgColor indexed="64"/>
      </patternFill>
    </fill>
    <fill>
      <patternFill patternType="darkGray">
        <fgColor indexed="9"/>
        <bgColor indexed="13"/>
      </patternFill>
    </fill>
    <fill>
      <patternFill patternType="solid">
        <fgColor indexed="16"/>
        <bgColor indexed="24"/>
      </patternFill>
    </fill>
  </fills>
  <borders count="22">
    <border>
      <left/>
      <right/>
      <top/>
      <bottom/>
      <diagonal/>
    </border>
    <border>
      <left style="thin">
        <color indexed="64"/>
      </left>
      <right style="thin">
        <color indexed="9"/>
      </right>
      <top style="thin">
        <color indexed="64"/>
      </top>
      <bottom style="thin">
        <color indexed="64"/>
      </bottom>
      <diagonal/>
    </border>
    <border>
      <left style="thin">
        <color indexed="9"/>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thin">
        <color indexed="64"/>
      </top>
      <bottom style="medium">
        <color indexed="64"/>
      </bottom>
      <diagonal/>
    </border>
    <border>
      <left/>
      <right/>
      <top/>
      <bottom style="medium">
        <color indexed="64"/>
      </bottom>
      <diagonal/>
    </border>
  </borders>
  <cellStyleXfs count="5">
    <xf numFmtId="0" fontId="0" fillId="0" borderId="0"/>
    <xf numFmtId="171" fontId="1" fillId="0" borderId="0" applyFont="0" applyFill="0" applyBorder="0" applyAlignment="0" applyProtection="0"/>
    <xf numFmtId="170" fontId="1" fillId="0" borderId="0" applyFont="0" applyFill="0" applyBorder="0" applyAlignment="0" applyProtection="0"/>
    <xf numFmtId="0" fontId="1" fillId="2" borderId="0"/>
    <xf numFmtId="0" fontId="3" fillId="2" borderId="0"/>
  </cellStyleXfs>
  <cellXfs count="74">
    <xf numFmtId="0" fontId="0" fillId="0" borderId="0" xfId="0"/>
    <xf numFmtId="0" fontId="3" fillId="2" borderId="0" xfId="4"/>
    <xf numFmtId="187" fontId="3" fillId="2" borderId="0" xfId="1" applyNumberFormat="1" applyFont="1" applyFill="1"/>
    <xf numFmtId="170" fontId="3" fillId="2" borderId="0" xfId="2" applyFont="1" applyFill="1"/>
    <xf numFmtId="0" fontId="3" fillId="2" borderId="0" xfId="4" applyFont="1"/>
    <xf numFmtId="0" fontId="4" fillId="3" borderId="1" xfId="4" applyFont="1" applyFill="1" applyBorder="1" applyAlignment="1">
      <alignment horizontal="center"/>
    </xf>
    <xf numFmtId="0" fontId="4" fillId="3" borderId="2" xfId="4" applyFont="1" applyFill="1" applyBorder="1" applyAlignment="1">
      <alignment horizontal="center"/>
    </xf>
    <xf numFmtId="187" fontId="4" fillId="3" borderId="2" xfId="1" applyNumberFormat="1" applyFont="1" applyFill="1" applyBorder="1" applyAlignment="1">
      <alignment horizontal="center"/>
    </xf>
    <xf numFmtId="170" fontId="4" fillId="3" borderId="3" xfId="2" applyFont="1" applyFill="1" applyBorder="1" applyAlignment="1">
      <alignment horizontal="center"/>
    </xf>
    <xf numFmtId="0" fontId="5" fillId="3" borderId="4" xfId="4" applyFont="1" applyFill="1" applyBorder="1" applyAlignment="1">
      <alignment horizontal="center"/>
    </xf>
    <xf numFmtId="188" fontId="5" fillId="3" borderId="4" xfId="1" applyNumberFormat="1" applyFont="1" applyFill="1" applyBorder="1" applyAlignment="1">
      <alignment horizontal="center"/>
    </xf>
    <xf numFmtId="191" fontId="5" fillId="3" borderId="4" xfId="2" applyNumberFormat="1" applyFont="1" applyFill="1" applyBorder="1" applyAlignment="1">
      <alignment horizontal="center"/>
    </xf>
    <xf numFmtId="0" fontId="5" fillId="4" borderId="4" xfId="4" applyFont="1" applyFill="1" applyBorder="1"/>
    <xf numFmtId="187" fontId="3" fillId="5" borderId="4" xfId="1" applyNumberFormat="1" applyFont="1" applyFill="1" applyBorder="1"/>
    <xf numFmtId="170" fontId="3" fillId="5" borderId="4" xfId="2" applyFont="1" applyFill="1" applyBorder="1"/>
    <xf numFmtId="0" fontId="3" fillId="2" borderId="0" xfId="3" applyFont="1" applyFill="1"/>
    <xf numFmtId="0" fontId="7" fillId="6" borderId="5" xfId="3" applyFont="1" applyFill="1" applyBorder="1" applyAlignment="1">
      <alignment horizontal="centerContinuous"/>
    </xf>
    <xf numFmtId="0" fontId="3" fillId="6" borderId="6" xfId="3" applyFont="1" applyFill="1" applyBorder="1" applyAlignment="1">
      <alignment horizontal="centerContinuous"/>
    </xf>
    <xf numFmtId="0" fontId="3" fillId="6" borderId="7" xfId="3" applyFont="1" applyFill="1" applyBorder="1" applyAlignment="1">
      <alignment horizontal="centerContinuous"/>
    </xf>
    <xf numFmtId="0" fontId="1" fillId="2" borderId="0" xfId="3"/>
    <xf numFmtId="0" fontId="6" fillId="2" borderId="0" xfId="3" applyFont="1" applyFill="1"/>
    <xf numFmtId="0" fontId="6" fillId="6" borderId="4" xfId="3" applyFont="1" applyFill="1" applyBorder="1"/>
    <xf numFmtId="0" fontId="6" fillId="6" borderId="5" xfId="3" applyFont="1" applyFill="1" applyBorder="1"/>
    <xf numFmtId="0" fontId="3" fillId="6" borderId="6" xfId="3" applyFont="1" applyFill="1" applyBorder="1"/>
    <xf numFmtId="0" fontId="3" fillId="6" borderId="7" xfId="3" applyFont="1" applyFill="1" applyBorder="1"/>
    <xf numFmtId="0" fontId="3" fillId="5" borderId="8" xfId="3" applyFont="1" applyFill="1" applyBorder="1"/>
    <xf numFmtId="0" fontId="3" fillId="5" borderId="9" xfId="3" applyFont="1" applyFill="1" applyBorder="1"/>
    <xf numFmtId="0" fontId="3" fillId="5" borderId="10" xfId="3" applyFont="1" applyFill="1" applyBorder="1"/>
    <xf numFmtId="0" fontId="3" fillId="5" borderId="11" xfId="3" applyFont="1" applyFill="1" applyBorder="1"/>
    <xf numFmtId="0" fontId="3" fillId="5" borderId="12" xfId="3" applyFont="1" applyFill="1" applyBorder="1"/>
    <xf numFmtId="0" fontId="3" fillId="5" borderId="13" xfId="3" applyFont="1" applyFill="1" applyBorder="1"/>
    <xf numFmtId="0" fontId="3" fillId="5" borderId="0" xfId="3" applyFont="1" applyFill="1" applyBorder="1"/>
    <xf numFmtId="0" fontId="3" fillId="5" borderId="14" xfId="3" applyFont="1" applyFill="1" applyBorder="1"/>
    <xf numFmtId="0" fontId="3" fillId="5" borderId="15" xfId="3" applyFont="1" applyFill="1" applyBorder="1"/>
    <xf numFmtId="0" fontId="3" fillId="5" borderId="16" xfId="3" applyFont="1" applyFill="1" applyBorder="1"/>
    <xf numFmtId="0" fontId="3" fillId="5" borderId="17" xfId="3" applyFont="1" applyFill="1" applyBorder="1"/>
    <xf numFmtId="0" fontId="3" fillId="5" borderId="18" xfId="3" applyFont="1" applyFill="1" applyBorder="1"/>
    <xf numFmtId="0" fontId="0" fillId="0" borderId="19" xfId="0" pivotButton="1" applyBorder="1"/>
    <xf numFmtId="187" fontId="3" fillId="2" borderId="4" xfId="1" applyNumberFormat="1" applyFont="1" applyFill="1" applyBorder="1"/>
    <xf numFmtId="170" fontId="3" fillId="6" borderId="9" xfId="2" applyFont="1" applyFill="1" applyBorder="1"/>
    <xf numFmtId="0" fontId="3" fillId="6" borderId="10" xfId="4" applyFill="1" applyBorder="1"/>
    <xf numFmtId="187" fontId="3" fillId="6" borderId="10" xfId="1" applyNumberFormat="1" applyFont="1" applyFill="1" applyBorder="1"/>
    <xf numFmtId="170" fontId="3" fillId="6" borderId="10" xfId="2" applyFont="1" applyFill="1" applyBorder="1"/>
    <xf numFmtId="0" fontId="3" fillId="6" borderId="11" xfId="4" applyFill="1" applyBorder="1"/>
    <xf numFmtId="170" fontId="3" fillId="6" borderId="13" xfId="2" applyFont="1" applyFill="1" applyBorder="1"/>
    <xf numFmtId="0" fontId="3" fillId="6" borderId="0" xfId="4" applyFill="1" applyBorder="1"/>
    <xf numFmtId="187" fontId="3" fillId="6" borderId="0" xfId="1" applyNumberFormat="1" applyFont="1" applyFill="1" applyBorder="1"/>
    <xf numFmtId="170" fontId="3" fillId="6" borderId="0" xfId="2" applyFont="1" applyFill="1" applyBorder="1"/>
    <xf numFmtId="0" fontId="3" fillId="6" borderId="14" xfId="4" applyFill="1" applyBorder="1"/>
    <xf numFmtId="170" fontId="3" fillId="6" borderId="16" xfId="2" applyFont="1" applyFill="1" applyBorder="1"/>
    <xf numFmtId="0" fontId="3" fillId="6" borderId="17" xfId="4" applyFill="1" applyBorder="1"/>
    <xf numFmtId="187" fontId="3" fillId="6" borderId="17" xfId="1" applyNumberFormat="1" applyFont="1" applyFill="1" applyBorder="1"/>
    <xf numFmtId="170" fontId="3" fillId="6" borderId="17" xfId="2" applyFont="1" applyFill="1" applyBorder="1"/>
    <xf numFmtId="0" fontId="3" fillId="6" borderId="18" xfId="4" applyFill="1" applyBorder="1"/>
    <xf numFmtId="170" fontId="6" fillId="6" borderId="4" xfId="2" applyFont="1" applyFill="1" applyBorder="1"/>
    <xf numFmtId="0" fontId="0" fillId="2" borderId="0" xfId="0" applyFill="1"/>
    <xf numFmtId="0" fontId="3" fillId="2" borderId="0" xfId="0" applyFont="1" applyFill="1"/>
    <xf numFmtId="0" fontId="3" fillId="6" borderId="10" xfId="0" applyFont="1" applyFill="1" applyBorder="1"/>
    <xf numFmtId="0" fontId="3" fillId="6" borderId="11" xfId="0" applyFont="1" applyFill="1" applyBorder="1"/>
    <xf numFmtId="0" fontId="3" fillId="6" borderId="13" xfId="0" applyFont="1" applyFill="1" applyBorder="1"/>
    <xf numFmtId="0" fontId="3" fillId="6" borderId="0" xfId="0" applyFont="1" applyFill="1" applyBorder="1"/>
    <xf numFmtId="0" fontId="3" fillId="6" borderId="14" xfId="0" applyFont="1" applyFill="1" applyBorder="1"/>
    <xf numFmtId="0" fontId="3" fillId="6" borderId="16" xfId="0" applyFont="1" applyFill="1" applyBorder="1"/>
    <xf numFmtId="0" fontId="3" fillId="6" borderId="17" xfId="0" applyFont="1" applyFill="1" applyBorder="1"/>
    <xf numFmtId="0" fontId="3" fillId="6" borderId="18" xfId="0" applyFont="1" applyFill="1" applyBorder="1"/>
    <xf numFmtId="0" fontId="8" fillId="7" borderId="0" xfId="0" applyNumberFormat="1" applyFont="1" applyFill="1" applyBorder="1" applyAlignment="1"/>
    <xf numFmtId="0" fontId="9" fillId="8" borderId="0" xfId="0" applyFont="1" applyFill="1" applyBorder="1" applyAlignment="1">
      <alignment horizontal="left"/>
    </xf>
    <xf numFmtId="0" fontId="10" fillId="7" borderId="0" xfId="0" applyFont="1" applyFill="1" applyBorder="1" applyAlignment="1">
      <alignment horizontal="left"/>
    </xf>
    <xf numFmtId="0" fontId="8" fillId="7" borderId="20" xfId="0" applyNumberFormat="1" applyFont="1" applyFill="1" applyBorder="1" applyAlignment="1"/>
    <xf numFmtId="0" fontId="11" fillId="7" borderId="20" xfId="0" applyFont="1" applyFill="1" applyBorder="1" applyAlignment="1">
      <alignment horizontal="left"/>
    </xf>
    <xf numFmtId="0" fontId="12" fillId="8" borderId="21" xfId="0" applyFont="1" applyFill="1" applyBorder="1" applyAlignment="1">
      <alignment horizontal="right"/>
    </xf>
    <xf numFmtId="0" fontId="12" fillId="8" borderId="0" xfId="0" applyFont="1" applyFill="1" applyBorder="1" applyAlignment="1">
      <alignment horizontal="right"/>
    </xf>
    <xf numFmtId="0" fontId="3" fillId="2" borderId="0" xfId="4" applyFill="1"/>
    <xf numFmtId="0" fontId="3" fillId="2" borderId="0" xfId="4" applyFill="1" applyBorder="1"/>
  </cellXfs>
  <cellStyles count="5">
    <cellStyle name="Comma" xfId="1" builtinId="3"/>
    <cellStyle name="Currency" xfId="2" builtinId="4"/>
    <cellStyle name="Normal" xfId="0" builtinId="0"/>
    <cellStyle name="Normal_Contents" xfId="3"/>
    <cellStyle name="Normal_Sht (2)" xfId="4"/>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xdr:from>
      <xdr:col>2</xdr:col>
      <xdr:colOff>0</xdr:colOff>
      <xdr:row>18</xdr:row>
      <xdr:rowOff>0</xdr:rowOff>
    </xdr:from>
    <xdr:to>
      <xdr:col>9</xdr:col>
      <xdr:colOff>0</xdr:colOff>
      <xdr:row>24</xdr:row>
      <xdr:rowOff>6350</xdr:rowOff>
    </xdr:to>
    <xdr:sp macro="" textlink="">
      <xdr:nvSpPr>
        <xdr:cNvPr id="1026" name="Text 2">
          <a:extLst>
            <a:ext uri="{FF2B5EF4-FFF2-40B4-BE49-F238E27FC236}">
              <a16:creationId xmlns:a16="http://schemas.microsoft.com/office/drawing/2014/main" id="{27B4DA68-8C8C-49FD-ADEA-9FAB89918DD0}"/>
            </a:ext>
          </a:extLst>
        </xdr:cNvPr>
        <xdr:cNvSpPr txBox="1">
          <a:spLocks noChangeArrowheads="1"/>
        </xdr:cNvSpPr>
      </xdr:nvSpPr>
      <xdr:spPr bwMode="auto">
        <a:xfrm>
          <a:off x="641350" y="2108200"/>
          <a:ext cx="4489450" cy="8572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36576" tIns="27432" rIns="0" bIns="0" anchor="t" upright="1"/>
        <a:lstStyle/>
        <a:p>
          <a:pPr algn="l" rtl="0">
            <a:defRPr sz="1000"/>
          </a:pPr>
          <a:r>
            <a:rPr lang="en-GB" sz="850" b="0" i="0" u="none" strike="noStrike" baseline="0">
              <a:solidFill>
                <a:srgbClr val="000000"/>
              </a:solidFill>
              <a:latin typeface="MS Sans Serif"/>
            </a:rPr>
            <a:t>For additional tips and examples, please visit our Web site.  Naming conventions and coding styles are based on the Baarns Developer Jump Start (BDJS).</a:t>
          </a:r>
        </a:p>
        <a:p>
          <a:pPr algn="l" rtl="0">
            <a:defRPr sz="1000"/>
          </a:pPr>
          <a:endParaRPr lang="en-GB" sz="850" b="0" i="0" u="none" strike="noStrike" baseline="0">
            <a:solidFill>
              <a:srgbClr val="000000"/>
            </a:solidFill>
            <a:latin typeface="MS Sans Serif"/>
          </a:endParaRPr>
        </a:p>
        <a:p>
          <a:pPr algn="l" rtl="0">
            <a:defRPr sz="1000"/>
          </a:pPr>
          <a:r>
            <a:rPr lang="en-GB" sz="850" b="0" i="0" u="none" strike="noStrike" baseline="0">
              <a:solidFill>
                <a:srgbClr val="000000"/>
              </a:solidFill>
              <a:latin typeface="MS Sans Serif"/>
            </a:rPr>
            <a:t>http://www.baarns.com</a:t>
          </a:r>
        </a:p>
        <a:p>
          <a:pPr algn="l" rtl="0">
            <a:defRPr sz="1000"/>
          </a:pPr>
          <a:endParaRPr lang="en-GB" sz="850" b="0" i="0" u="none" strike="noStrike" baseline="0">
            <a:solidFill>
              <a:srgbClr val="000000"/>
            </a:solidFill>
            <a:latin typeface="MS Sans Serif"/>
          </a:endParaRPr>
        </a:p>
        <a:p>
          <a:pPr algn="l" rtl="0">
            <a:defRPr sz="1000"/>
          </a:pPr>
          <a:r>
            <a:rPr lang="en-GB" sz="850" b="0" i="0" u="none" strike="noStrike" baseline="0">
              <a:solidFill>
                <a:srgbClr val="000000"/>
              </a:solidFill>
              <a:latin typeface="MS Sans Serif"/>
            </a:rPr>
            <a:t>© 1996 Baarns Consulting Group, Inc.</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768350</xdr:colOff>
      <xdr:row>9</xdr:row>
      <xdr:rowOff>76200</xdr:rowOff>
    </xdr:from>
    <xdr:to>
      <xdr:col>12</xdr:col>
      <xdr:colOff>603250</xdr:colOff>
      <xdr:row>9</xdr:row>
      <xdr:rowOff>76200</xdr:rowOff>
    </xdr:to>
    <xdr:sp macro="" textlink="">
      <xdr:nvSpPr>
        <xdr:cNvPr id="2049" name="Line 1">
          <a:extLst>
            <a:ext uri="{FF2B5EF4-FFF2-40B4-BE49-F238E27FC236}">
              <a16:creationId xmlns:a16="http://schemas.microsoft.com/office/drawing/2014/main" id="{5E6CC4D2-4E22-469E-B5B8-E08FBEB61E76}"/>
            </a:ext>
          </a:extLst>
        </xdr:cNvPr>
        <xdr:cNvSpPr>
          <a:spLocks noChangeShapeType="1"/>
        </xdr:cNvSpPr>
      </xdr:nvSpPr>
      <xdr:spPr bwMode="auto">
        <a:xfrm flipH="1">
          <a:off x="2851150" y="1200150"/>
          <a:ext cx="3390900" cy="0"/>
        </a:xfrm>
        <a:prstGeom prst="line">
          <a:avLst/>
        </a:prstGeom>
        <a:noFill/>
        <a:ln w="9525" cap="flat">
          <a:solidFill>
            <a:srgbClr xmlns:mc="http://schemas.openxmlformats.org/markup-compatibility/2006" xmlns:a14="http://schemas.microsoft.com/office/drawing/2010/main" val="0000FF" mc:Ignorable="a14" a14:legacySpreadsheetColorIndex="12"/>
          </a:solidFill>
          <a:prstDash val="solid"/>
          <a:round/>
          <a:headEnd/>
          <a:tailEnd type="triangle" w="sm" len="med"/>
        </a:ln>
        <a:extLst>
          <a:ext uri="{909E8E84-426E-40DD-AFC4-6F175D3DCCD1}">
            <a14:hiddenFill xmlns:a14="http://schemas.microsoft.com/office/drawing/2010/main">
              <a:noFill/>
            </a14:hiddenFill>
          </a:ext>
        </a:extLst>
      </xdr:spPr>
    </xdr:sp>
    <xdr:clientData/>
  </xdr:twoCellAnchor>
  <xdr:twoCellAnchor>
    <xdr:from>
      <xdr:col>12</xdr:col>
      <xdr:colOff>82550</xdr:colOff>
      <xdr:row>3</xdr:row>
      <xdr:rowOff>107950</xdr:rowOff>
    </xdr:from>
    <xdr:to>
      <xdr:col>12</xdr:col>
      <xdr:colOff>603250</xdr:colOff>
      <xdr:row>3</xdr:row>
      <xdr:rowOff>107950</xdr:rowOff>
    </xdr:to>
    <xdr:sp macro="" textlink="">
      <xdr:nvSpPr>
        <xdr:cNvPr id="2051" name="Line 3">
          <a:extLst>
            <a:ext uri="{FF2B5EF4-FFF2-40B4-BE49-F238E27FC236}">
              <a16:creationId xmlns:a16="http://schemas.microsoft.com/office/drawing/2014/main" id="{A86D2616-3EFE-407E-8784-D911CA23B2F0}"/>
            </a:ext>
          </a:extLst>
        </xdr:cNvPr>
        <xdr:cNvSpPr>
          <a:spLocks noChangeShapeType="1"/>
        </xdr:cNvSpPr>
      </xdr:nvSpPr>
      <xdr:spPr bwMode="auto">
        <a:xfrm flipH="1" flipV="1">
          <a:off x="5721350" y="374650"/>
          <a:ext cx="520700" cy="0"/>
        </a:xfrm>
        <a:prstGeom prst="line">
          <a:avLst/>
        </a:prstGeom>
        <a:noFill/>
        <a:ln w="9525" cap="flat">
          <a:solidFill>
            <a:srgbClr xmlns:mc="http://schemas.openxmlformats.org/markup-compatibility/2006" xmlns:a14="http://schemas.microsoft.com/office/drawing/2010/main" val="0000FF" mc:Ignorable="a14" a14:legacySpreadsheetColorIndex="12"/>
          </a:solidFill>
          <a:prstDash val="solid"/>
          <a:round/>
          <a:headEnd/>
          <a:tailEnd type="triangle" w="sm" len="med"/>
        </a:ln>
        <a:extLst>
          <a:ext uri="{909E8E84-426E-40DD-AFC4-6F175D3DCCD1}">
            <a14:hiddenFill xmlns:a14="http://schemas.microsoft.com/office/drawing/2010/main">
              <a:noFill/>
            </a14:hiddenFill>
          </a:ext>
        </a:extLst>
      </xdr:spPr>
    </xdr:sp>
    <xdr:clientData/>
  </xdr:twoCellAnchor>
  <xdr:twoCellAnchor>
    <xdr:from>
      <xdr:col>12</xdr:col>
      <xdr:colOff>603250</xdr:colOff>
      <xdr:row>1</xdr:row>
      <xdr:rowOff>76200</xdr:rowOff>
    </xdr:from>
    <xdr:to>
      <xdr:col>15</xdr:col>
      <xdr:colOff>628650</xdr:colOff>
      <xdr:row>5</xdr:row>
      <xdr:rowOff>6350</xdr:rowOff>
    </xdr:to>
    <xdr:sp macro="" textlink="">
      <xdr:nvSpPr>
        <xdr:cNvPr id="2052" name="Text 4">
          <a:extLst>
            <a:ext uri="{FF2B5EF4-FFF2-40B4-BE49-F238E27FC236}">
              <a16:creationId xmlns:a16="http://schemas.microsoft.com/office/drawing/2014/main" id="{288FB9E6-6BD1-4F2F-9575-A6E04A820D38}"/>
            </a:ext>
          </a:extLst>
        </xdr:cNvPr>
        <xdr:cNvSpPr>
          <a:spLocks noChangeArrowheads="1"/>
        </xdr:cNvSpPr>
      </xdr:nvSpPr>
      <xdr:spPr bwMode="auto">
        <a:xfrm>
          <a:off x="6242050" y="76200"/>
          <a:ext cx="2159000" cy="495300"/>
        </a:xfrm>
        <a:prstGeom prst="roundRect">
          <a:avLst>
            <a:gd name="adj" fmla="val 16667"/>
          </a:avLst>
        </a:prstGeom>
        <a:solidFill>
          <a:srgbClr xmlns:mc="http://schemas.openxmlformats.org/markup-compatibility/2006" xmlns:a14="http://schemas.microsoft.com/office/drawing/2010/main" val="A0E0E0" mc:Ignorable="a14" a14:legacySpreadsheetColorIndex="27"/>
        </a:solidFill>
        <a:ln w="9525">
          <a:solidFill>
            <a:srgbClr xmlns:mc="http://schemas.openxmlformats.org/markup-compatibility/2006" xmlns:a14="http://schemas.microsoft.com/office/drawing/2010/main" val="000000" mc:Ignorable="a14" a14:legacySpreadsheetColorIndex="64"/>
          </a:solidFill>
          <a:prstDash val="solid"/>
          <a:round/>
          <a:headEnd/>
          <a:tailEnd/>
        </a:ln>
      </xdr:spPr>
      <xdr:txBody>
        <a:bodyPr vertOverflow="clip" wrap="square" lIns="36576" tIns="27432" rIns="0" bIns="0" anchor="t" upright="1"/>
        <a:lstStyle/>
        <a:p>
          <a:pPr algn="l" rtl="0">
            <a:defRPr sz="1000"/>
          </a:pPr>
          <a:r>
            <a:rPr lang="en-GB" sz="850" b="0" i="0" u="none" strike="noStrike" baseline="0">
              <a:solidFill>
                <a:srgbClr val="000000"/>
              </a:solidFill>
              <a:latin typeface="MS Sans Serif"/>
            </a:rPr>
            <a:t>These cells contain the formulas but the display format has been set such that they show the desired column headings.</a:t>
          </a:r>
        </a:p>
      </xdr:txBody>
    </xdr:sp>
    <xdr:clientData/>
  </xdr:twoCellAnchor>
  <xdr:twoCellAnchor>
    <xdr:from>
      <xdr:col>12</xdr:col>
      <xdr:colOff>82550</xdr:colOff>
      <xdr:row>6</xdr:row>
      <xdr:rowOff>38100</xdr:rowOff>
    </xdr:from>
    <xdr:to>
      <xdr:col>12</xdr:col>
      <xdr:colOff>603250</xdr:colOff>
      <xdr:row>6</xdr:row>
      <xdr:rowOff>38100</xdr:rowOff>
    </xdr:to>
    <xdr:sp macro="" textlink="">
      <xdr:nvSpPr>
        <xdr:cNvPr id="2053" name="Line 5">
          <a:extLst>
            <a:ext uri="{FF2B5EF4-FFF2-40B4-BE49-F238E27FC236}">
              <a16:creationId xmlns:a16="http://schemas.microsoft.com/office/drawing/2014/main" id="{BC34A459-3CDE-4231-927E-8710399A9C4D}"/>
            </a:ext>
          </a:extLst>
        </xdr:cNvPr>
        <xdr:cNvSpPr>
          <a:spLocks noChangeShapeType="1"/>
        </xdr:cNvSpPr>
      </xdr:nvSpPr>
      <xdr:spPr bwMode="auto">
        <a:xfrm flipH="1">
          <a:off x="5721350" y="736600"/>
          <a:ext cx="520700" cy="0"/>
        </a:xfrm>
        <a:prstGeom prst="line">
          <a:avLst/>
        </a:prstGeom>
        <a:noFill/>
        <a:ln w="9525" cap="flat">
          <a:solidFill>
            <a:srgbClr xmlns:mc="http://schemas.openxmlformats.org/markup-compatibility/2006" xmlns:a14="http://schemas.microsoft.com/office/drawing/2010/main" val="0000FF" mc:Ignorable="a14" a14:legacySpreadsheetColorIndex="12"/>
          </a:solidFill>
          <a:prstDash val="solid"/>
          <a:round/>
          <a:headEnd/>
          <a:tailEnd type="triangle" w="sm" len="med"/>
        </a:ln>
        <a:extLst>
          <a:ext uri="{909E8E84-426E-40DD-AFC4-6F175D3DCCD1}">
            <a14:hiddenFill xmlns:a14="http://schemas.microsoft.com/office/drawing/2010/main">
              <a:noFill/>
            </a14:hiddenFill>
          </a:ext>
        </a:extLst>
      </xdr:spPr>
    </xdr:sp>
    <xdr:clientData/>
  </xdr:twoCellAnchor>
  <xdr:twoCellAnchor>
    <xdr:from>
      <xdr:col>12</xdr:col>
      <xdr:colOff>603250</xdr:colOff>
      <xdr:row>5</xdr:row>
      <xdr:rowOff>76200</xdr:rowOff>
    </xdr:from>
    <xdr:to>
      <xdr:col>15</xdr:col>
      <xdr:colOff>501650</xdr:colOff>
      <xdr:row>7</xdr:row>
      <xdr:rowOff>0</xdr:rowOff>
    </xdr:to>
    <xdr:sp macro="" textlink="">
      <xdr:nvSpPr>
        <xdr:cNvPr id="2054" name="Text 6">
          <a:extLst>
            <a:ext uri="{FF2B5EF4-FFF2-40B4-BE49-F238E27FC236}">
              <a16:creationId xmlns:a16="http://schemas.microsoft.com/office/drawing/2014/main" id="{407ABF01-E0C7-4F1C-ACEC-71896BA840C6}"/>
            </a:ext>
          </a:extLst>
        </xdr:cNvPr>
        <xdr:cNvSpPr>
          <a:spLocks noChangeArrowheads="1"/>
        </xdr:cNvSpPr>
      </xdr:nvSpPr>
      <xdr:spPr bwMode="auto">
        <a:xfrm>
          <a:off x="6242050" y="641350"/>
          <a:ext cx="2032000" cy="190500"/>
        </a:xfrm>
        <a:prstGeom prst="roundRect">
          <a:avLst>
            <a:gd name="adj" fmla="val 16667"/>
          </a:avLst>
        </a:prstGeom>
        <a:solidFill>
          <a:srgbClr xmlns:mc="http://schemas.openxmlformats.org/markup-compatibility/2006" xmlns:a14="http://schemas.microsoft.com/office/drawing/2010/main" val="A0E0E0" mc:Ignorable="a14" a14:legacySpreadsheetColorIndex="27"/>
        </a:solidFill>
        <a:ln w="9525">
          <a:solidFill>
            <a:srgbClr xmlns:mc="http://schemas.openxmlformats.org/markup-compatibility/2006" xmlns:a14="http://schemas.microsoft.com/office/drawing/2010/main" val="000000" mc:Ignorable="a14" a14:legacySpreadsheetColorIndex="64"/>
          </a:solidFill>
          <a:prstDash val="solid"/>
          <a:round/>
          <a:headEnd/>
          <a:tailEnd/>
        </a:ln>
      </xdr:spPr>
      <xdr:txBody>
        <a:bodyPr vertOverflow="clip" wrap="square" lIns="36576" tIns="27432" rIns="0" bIns="0" anchor="t" upright="1"/>
        <a:lstStyle/>
        <a:p>
          <a:pPr algn="l" rtl="0">
            <a:defRPr sz="1000"/>
          </a:pPr>
          <a:r>
            <a:rPr lang="en-GB" sz="850" b="0" i="0" u="none" strike="noStrike" baseline="0">
              <a:solidFill>
                <a:srgbClr val="000000"/>
              </a:solidFill>
              <a:latin typeface="MS Sans Serif"/>
            </a:rPr>
            <a:t>These cells contain the table formula.</a:t>
          </a:r>
        </a:p>
      </xdr:txBody>
    </xdr:sp>
    <xdr:clientData/>
  </xdr:twoCellAnchor>
  <xdr:twoCellAnchor>
    <xdr:from>
      <xdr:col>12</xdr:col>
      <xdr:colOff>603250</xdr:colOff>
      <xdr:row>7</xdr:row>
      <xdr:rowOff>95250</xdr:rowOff>
    </xdr:from>
    <xdr:to>
      <xdr:col>16</xdr:col>
      <xdr:colOff>228600</xdr:colOff>
      <xdr:row>11</xdr:row>
      <xdr:rowOff>76200</xdr:rowOff>
    </xdr:to>
    <xdr:sp macro="" textlink="">
      <xdr:nvSpPr>
        <xdr:cNvPr id="2056" name="Text 8">
          <a:extLst>
            <a:ext uri="{FF2B5EF4-FFF2-40B4-BE49-F238E27FC236}">
              <a16:creationId xmlns:a16="http://schemas.microsoft.com/office/drawing/2014/main" id="{161656AB-53A9-4725-A034-22DB72D60B58}"/>
            </a:ext>
          </a:extLst>
        </xdr:cNvPr>
        <xdr:cNvSpPr>
          <a:spLocks noChangeArrowheads="1"/>
        </xdr:cNvSpPr>
      </xdr:nvSpPr>
      <xdr:spPr bwMode="auto">
        <a:xfrm>
          <a:off x="6242050" y="927100"/>
          <a:ext cx="2400300" cy="590550"/>
        </a:xfrm>
        <a:prstGeom prst="roundRect">
          <a:avLst>
            <a:gd name="adj" fmla="val 16667"/>
          </a:avLst>
        </a:prstGeom>
        <a:solidFill>
          <a:srgbClr xmlns:mc="http://schemas.openxmlformats.org/markup-compatibility/2006" xmlns:a14="http://schemas.microsoft.com/office/drawing/2010/main" val="A0E0E0" mc:Ignorable="a14" a14:legacySpreadsheetColorIndex="27"/>
        </a:solidFill>
        <a:ln w="9525">
          <a:solidFill>
            <a:srgbClr xmlns:mc="http://schemas.openxmlformats.org/markup-compatibility/2006" xmlns:a14="http://schemas.microsoft.com/office/drawing/2010/main" val="000000" mc:Ignorable="a14" a14:legacySpreadsheetColorIndex="64"/>
          </a:solidFill>
          <a:prstDash val="solid"/>
          <a:round/>
          <a:headEnd/>
          <a:tailEnd/>
        </a:ln>
      </xdr:spPr>
      <xdr:txBody>
        <a:bodyPr vertOverflow="clip" wrap="square" lIns="36576" tIns="27432" rIns="0" bIns="0" anchor="t" upright="1"/>
        <a:lstStyle/>
        <a:p>
          <a:pPr algn="l" rtl="0">
            <a:defRPr sz="1000"/>
          </a:pPr>
          <a:r>
            <a:rPr lang="en-GB" sz="850" b="0" i="0" u="none" strike="noStrike" baseline="0">
              <a:solidFill>
                <a:srgbClr val="000000"/>
              </a:solidFill>
              <a:latin typeface="MS Sans Serif"/>
            </a:rPr>
            <a:t>The name Database has been defined such that when you add new rows of data, the name automatically refers to the entire data and the results above will reflect the changed data.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Ganesh Ram (Baarns India)" refreshedDate="0" createdVersion="1" recordCount="9" upgradeOnRefresh="1">
  <cacheSource type="worksheet">
    <worksheetSource name="_xlnm.Database"/>
  </cacheSource>
  <cacheFields count="4">
    <cacheField name="Product" numFmtId="0">
      <sharedItems count="9">
        <s v="Zing Mat"/>
        <s v="Frezuko"/>
        <s v="Bexanich"/>
        <s v="Maquids"/>
        <s v="Wruib Special"/>
        <s v="Yollopsice"/>
        <s v="Kool Tools"/>
        <s v="Votsolldees"/>
        <s v="Ugotidyood"/>
      </sharedItems>
    </cacheField>
    <cacheField name="Category" numFmtId="0">
      <sharedItems count="3">
        <s v="Institutional"/>
        <s v="Consumer"/>
        <s v="Special"/>
      </sharedItems>
    </cacheField>
    <cacheField name="Units" numFmtId="0">
      <sharedItems containsSemiMixedTypes="0" containsString="0" containsNumber="1" containsInteger="1" minValue="200" maxValue="20000" count="9">
        <n v="12750"/>
        <n v="20000"/>
        <n v="5400"/>
        <n v="11100"/>
        <n v="2500"/>
        <n v="3500"/>
        <n v="5000"/>
        <n v="7250"/>
        <n v="200"/>
      </sharedItems>
    </cacheField>
    <cacheField name="Revenue" numFmtId="0">
      <sharedItems containsSemiMixedTypes="0" containsString="0" containsNumber="1" minValue="750" maxValue="52500" count="9">
        <n v="47812.5"/>
        <n v="46000"/>
        <n v="12419.999999999998"/>
        <n v="41625"/>
        <n v="52500"/>
        <n v="13125"/>
        <n v="5750"/>
        <n v="8337.5"/>
        <n v="75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otal" cacheId="17" autoFormatId="9" applyNumberFormats="1" applyBorderFormats="1" applyFontFormats="1" applyPatternFormats="1" applyAlignmentFormats="1" applyWidthHeightFormats="1" dataCaption="Data" showMissing="0" showItems="0" showMultipleLabel="0" showMemberPropertyTips="0" useAutoFormatting="1" subtotalHiddenItems="1" itemPrintTitles="1" indent="0" compact="0" compactData="0" gridDropZones="1">
  <location ref="B2:D7" firstHeaderRow="1" firstDataRow="2" firstDataCol="1" colPageCount="1"/>
  <pivotFields count="4">
    <pivotField compact="0" outline="0" subtotalTop="0" showAll="0" includeNewItemsInFilter="1"/>
    <pivotField axis="axisRow" compact="0" outline="0" subtotalTop="0" showAll="0" includeNewItemsInFilter="1">
      <items count="4">
        <item x="1"/>
        <item x="0"/>
        <item x="2"/>
        <item t="default"/>
      </items>
    </pivotField>
    <pivotField dataField="1" compact="0" outline="0" subtotalTop="0" showAll="0" includeNewItemsInFilter="1"/>
    <pivotField dataField="1" compact="0" outline="0" subtotalTop="0" showAll="0" includeNewItemsInFilter="1"/>
  </pivotFields>
  <rowFields count="1">
    <field x="1"/>
  </rowFields>
  <rowItems count="4">
    <i>
      <x/>
    </i>
    <i>
      <x v="1"/>
    </i>
    <i>
      <x v="2"/>
    </i>
    <i t="grand">
      <x/>
    </i>
  </rowItems>
  <colFields count="1">
    <field x="-2"/>
  </colFields>
  <colItems count="2">
    <i>
      <x/>
    </i>
    <i i="1">
      <x v="1"/>
    </i>
  </colItems>
  <dataFields count="2">
    <dataField name="Sum of Units" fld="2" baseField="0" baseItem="0"/>
    <dataField name="Sum of Revenue" fld="3"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L28"/>
  <sheetViews>
    <sheetView showRowColHeaders="0" tabSelected="1" topLeftCell="B2" workbookViewId="0"/>
  </sheetViews>
  <sheetFormatPr defaultColWidth="9.1796875" defaultRowHeight="10.5" x14ac:dyDescent="0.25"/>
  <cols>
    <col min="1" max="1" width="0" style="15" hidden="1" customWidth="1"/>
    <col min="2" max="11" width="9.1796875" style="15"/>
    <col min="12" max="12" width="20.453125" style="15" customWidth="1"/>
    <col min="13" max="16384" width="9.1796875" style="15"/>
  </cols>
  <sheetData>
    <row r="1" spans="3:12" hidden="1" x14ac:dyDescent="0.25"/>
    <row r="2" spans="3:12" ht="5.15" customHeight="1" x14ac:dyDescent="0.25"/>
    <row r="3" spans="3:12" ht="13" x14ac:dyDescent="0.3">
      <c r="C3" s="16" t="s">
        <v>0</v>
      </c>
      <c r="D3" s="17"/>
      <c r="E3" s="17"/>
      <c r="F3" s="17"/>
      <c r="G3" s="17"/>
      <c r="H3" s="17"/>
      <c r="I3" s="18"/>
      <c r="L3" s="19"/>
    </row>
    <row r="4" spans="3:12" ht="5.15" customHeight="1" x14ac:dyDescent="0.25">
      <c r="L4" s="19"/>
    </row>
    <row r="5" spans="3:12" ht="12" customHeight="1" x14ac:dyDescent="0.25">
      <c r="C5" s="15" t="s">
        <v>1</v>
      </c>
      <c r="L5" s="19"/>
    </row>
    <row r="6" spans="3:12" ht="12" customHeight="1" x14ac:dyDescent="0.25">
      <c r="C6" s="15" t="s">
        <v>2</v>
      </c>
      <c r="L6" s="19"/>
    </row>
    <row r="7" spans="3:12" ht="12" customHeight="1" x14ac:dyDescent="0.25">
      <c r="C7" s="15" t="s">
        <v>3</v>
      </c>
      <c r="L7" s="19"/>
    </row>
    <row r="8" spans="3:12" ht="5.15" customHeight="1" x14ac:dyDescent="0.25">
      <c r="L8" s="19"/>
    </row>
    <row r="9" spans="3:12" ht="12.5" x14ac:dyDescent="0.25">
      <c r="C9" s="20" t="s">
        <v>4</v>
      </c>
      <c r="L9" s="19"/>
    </row>
    <row r="10" spans="3:12" x14ac:dyDescent="0.25">
      <c r="C10" s="15" t="s">
        <v>5</v>
      </c>
    </row>
    <row r="11" spans="3:12" x14ac:dyDescent="0.25">
      <c r="C11" s="15" t="s">
        <v>6</v>
      </c>
    </row>
    <row r="12" spans="3:12" x14ac:dyDescent="0.25">
      <c r="C12" s="15" t="s">
        <v>7</v>
      </c>
    </row>
    <row r="13" spans="3:12" ht="5.15" customHeight="1" x14ac:dyDescent="0.25"/>
    <row r="14" spans="3:12" ht="12" customHeight="1" x14ac:dyDescent="0.25">
      <c r="C14" s="21" t="s">
        <v>8</v>
      </c>
      <c r="D14" s="22" t="s">
        <v>9</v>
      </c>
      <c r="E14" s="23"/>
      <c r="F14" s="23"/>
      <c r="G14" s="23"/>
      <c r="H14" s="23"/>
      <c r="I14" s="24"/>
    </row>
    <row r="15" spans="3:12" ht="12" customHeight="1" x14ac:dyDescent="0.25">
      <c r="C15" s="25" t="s">
        <v>10</v>
      </c>
      <c r="D15" s="26" t="s">
        <v>11</v>
      </c>
      <c r="E15" s="27"/>
      <c r="F15" s="27"/>
      <c r="G15" s="27"/>
      <c r="H15" s="27"/>
      <c r="I15" s="28"/>
    </row>
    <row r="16" spans="3:12" ht="12" customHeight="1" x14ac:dyDescent="0.25">
      <c r="C16" s="29" t="s">
        <v>12</v>
      </c>
      <c r="D16" s="30" t="s">
        <v>13</v>
      </c>
      <c r="E16" s="31"/>
      <c r="F16" s="31"/>
      <c r="G16" s="31"/>
      <c r="H16" s="31"/>
      <c r="I16" s="32"/>
    </row>
    <row r="17" spans="3:9" ht="12" customHeight="1" x14ac:dyDescent="0.25">
      <c r="C17" s="33" t="s">
        <v>14</v>
      </c>
      <c r="D17" s="34" t="s">
        <v>15</v>
      </c>
      <c r="E17" s="35"/>
      <c r="F17" s="35"/>
      <c r="G17" s="35"/>
      <c r="H17" s="35"/>
      <c r="I17" s="36"/>
    </row>
    <row r="18" spans="3:9" ht="5.15" customHeight="1" x14ac:dyDescent="0.25"/>
    <row r="23" spans="3:9" ht="12.5" x14ac:dyDescent="0.25">
      <c r="C23" s="19"/>
    </row>
    <row r="24" spans="3:9" ht="12.5" x14ac:dyDescent="0.25">
      <c r="C24" s="19"/>
    </row>
    <row r="25" spans="3:9" ht="12.5" x14ac:dyDescent="0.25">
      <c r="C25" s="19"/>
    </row>
    <row r="26" spans="3:9" ht="12.5" x14ac:dyDescent="0.25">
      <c r="C26" s="19"/>
    </row>
    <row r="27" spans="3:9" ht="12.5" x14ac:dyDescent="0.25">
      <c r="C27" s="19"/>
    </row>
    <row r="28" spans="3:9" ht="12.5" x14ac:dyDescent="0.25">
      <c r="C28" s="19"/>
    </row>
  </sheetData>
  <sheetProtection sheet="1" objects="1" scenarios="1"/>
  <printOptions gridLines="1" gridLinesSet="0"/>
  <pageMargins left="0.75" right="0.75" top="1" bottom="1" header="0.5" footer="0.5"/>
  <pageSetup orientation="portrait" copies="0" r:id="rId1"/>
  <headerFooter alignWithMargins="0">
    <oddHeader>&amp;A</oddHeader>
    <oddFooter>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M28"/>
  <sheetViews>
    <sheetView topLeftCell="B2" workbookViewId="0"/>
  </sheetViews>
  <sheetFormatPr defaultColWidth="9.1796875" defaultRowHeight="10.5" x14ac:dyDescent="0.25"/>
  <cols>
    <col min="1" max="1" width="0" style="1" hidden="1" customWidth="1"/>
    <col min="2" max="2" width="0.54296875" style="1" customWidth="1"/>
    <col min="3" max="3" width="10.453125" style="1" customWidth="1"/>
    <col min="4" max="4" width="10.81640625" style="1" customWidth="1"/>
    <col min="5" max="5" width="8" style="2" customWidth="1"/>
    <col min="6" max="6" width="11.1796875" style="3" customWidth="1"/>
    <col min="7" max="7" width="0.453125" style="3" customWidth="1"/>
    <col min="8" max="8" width="8" style="3" customWidth="1"/>
    <col min="9" max="9" width="0.453125" style="1" customWidth="1"/>
    <col min="10" max="10" width="11.1796875" style="1" customWidth="1"/>
    <col min="11" max="11" width="9.1796875" style="2"/>
    <col min="12" max="12" width="10.453125" style="3" customWidth="1"/>
    <col min="13" max="13" width="12.1796875" style="1" customWidth="1"/>
    <col min="14" max="16384" width="9.1796875" style="1"/>
  </cols>
  <sheetData>
    <row r="1" spans="3:13" hidden="1" x14ac:dyDescent="0.25"/>
    <row r="2" spans="3:13" x14ac:dyDescent="0.25">
      <c r="J2" s="4" t="s">
        <v>16</v>
      </c>
    </row>
    <row r="4" spans="3:13" ht="13" x14ac:dyDescent="0.3">
      <c r="C4" s="5" t="s">
        <v>17</v>
      </c>
      <c r="D4" s="6" t="s">
        <v>16</v>
      </c>
      <c r="E4" s="7" t="s">
        <v>18</v>
      </c>
      <c r="F4" s="8" t="s">
        <v>19</v>
      </c>
      <c r="J4" s="9" t="s">
        <v>16</v>
      </c>
      <c r="K4" s="10">
        <f ca="1">DSUM(_xlnm.Database,"Units",_xlnm.Criteria)</f>
        <v>67700</v>
      </c>
      <c r="L4" s="11">
        <f ca="1">DSUM(_xlnm.Database,"Revenue",_xlnm.Criteria)</f>
        <v>228320</v>
      </c>
    </row>
    <row r="5" spans="3:13" x14ac:dyDescent="0.25">
      <c r="C5" s="4" t="s">
        <v>20</v>
      </c>
      <c r="D5" s="4" t="s">
        <v>21</v>
      </c>
      <c r="E5" s="2">
        <v>12750</v>
      </c>
      <c r="F5" s="3">
        <f>E5*3.75</f>
        <v>47812.5</v>
      </c>
      <c r="J5" s="12" t="s">
        <v>22</v>
      </c>
      <c r="K5" s="13">
        <f t="dataTable" ref="K5:L7" dt2D="0" dtr="0" r1="J3" ca="1"/>
        <v>36150</v>
      </c>
      <c r="L5" s="14">
        <v>79882.5</v>
      </c>
    </row>
    <row r="6" spans="3:13" x14ac:dyDescent="0.25">
      <c r="C6" s="4" t="s">
        <v>23</v>
      </c>
      <c r="D6" s="4" t="s">
        <v>22</v>
      </c>
      <c r="E6" s="2">
        <v>20000</v>
      </c>
      <c r="F6" s="3">
        <f t="shared" ref="F6:F7" si="0">E6*2.3</f>
        <v>46000</v>
      </c>
      <c r="J6" s="12" t="s">
        <v>21</v>
      </c>
      <c r="K6" s="13">
        <v>26350</v>
      </c>
      <c r="L6" s="14">
        <v>141937.5</v>
      </c>
    </row>
    <row r="7" spans="3:13" x14ac:dyDescent="0.25">
      <c r="C7" s="4" t="s">
        <v>24</v>
      </c>
      <c r="D7" s="4" t="s">
        <v>22</v>
      </c>
      <c r="E7" s="2">
        <v>5400</v>
      </c>
      <c r="F7" s="3">
        <f t="shared" si="0"/>
        <v>12419.999999999998</v>
      </c>
      <c r="J7" s="12" t="s">
        <v>25</v>
      </c>
      <c r="K7" s="13">
        <v>5200</v>
      </c>
      <c r="L7" s="14">
        <v>6500</v>
      </c>
    </row>
    <row r="8" spans="3:13" x14ac:dyDescent="0.25">
      <c r="C8" s="4" t="s">
        <v>26</v>
      </c>
      <c r="D8" s="4" t="s">
        <v>21</v>
      </c>
      <c r="E8" s="2">
        <v>11100</v>
      </c>
      <c r="F8" s="3">
        <f>E8*3.75</f>
        <v>41625</v>
      </c>
      <c r="K8" s="38">
        <f t="shared" ref="K8:L8" si="1">SUM(K5:K7)</f>
        <v>67700</v>
      </c>
      <c r="L8" s="38">
        <f t="shared" si="1"/>
        <v>228320</v>
      </c>
    </row>
    <row r="9" spans="3:13" ht="12.5" x14ac:dyDescent="0.25">
      <c r="C9" s="4" t="s">
        <v>27</v>
      </c>
      <c r="D9" s="4" t="s">
        <v>21</v>
      </c>
      <c r="E9" s="2">
        <v>2500</v>
      </c>
      <c r="F9" s="3">
        <f>E9*21</f>
        <v>52500</v>
      </c>
      <c r="H9" s="55"/>
      <c r="I9" s="72"/>
      <c r="J9" s="72"/>
      <c r="M9" s="72"/>
    </row>
    <row r="10" spans="3:13" ht="12.5" x14ac:dyDescent="0.25">
      <c r="C10" s="4" t="s">
        <v>28</v>
      </c>
      <c r="D10" s="4" t="s">
        <v>22</v>
      </c>
      <c r="E10" s="2">
        <v>3500</v>
      </c>
      <c r="F10" s="3">
        <f>E10*3.75</f>
        <v>13125</v>
      </c>
      <c r="H10" s="55"/>
      <c r="I10" s="73"/>
      <c r="J10" s="55"/>
      <c r="K10" s="55"/>
      <c r="L10" s="55"/>
      <c r="M10" s="55"/>
    </row>
    <row r="11" spans="3:13" ht="12.5" x14ac:dyDescent="0.25">
      <c r="C11" s="4" t="s">
        <v>29</v>
      </c>
      <c r="D11" s="4" t="s">
        <v>25</v>
      </c>
      <c r="E11" s="2">
        <v>5000</v>
      </c>
      <c r="F11" s="3">
        <f t="shared" ref="F11:F12" si="2">E11*1.15</f>
        <v>5750</v>
      </c>
      <c r="H11" s="55"/>
      <c r="I11" s="73"/>
      <c r="J11" s="55"/>
      <c r="K11" s="55"/>
      <c r="L11" s="55"/>
      <c r="M11" s="55"/>
    </row>
    <row r="12" spans="3:13" ht="12.5" x14ac:dyDescent="0.25">
      <c r="C12" s="4" t="s">
        <v>30</v>
      </c>
      <c r="D12" s="4" t="s">
        <v>22</v>
      </c>
      <c r="E12" s="2">
        <v>7250</v>
      </c>
      <c r="F12" s="3">
        <f t="shared" si="2"/>
        <v>8337.5</v>
      </c>
      <c r="H12" s="55"/>
      <c r="I12" s="73"/>
      <c r="J12" s="55"/>
      <c r="K12" s="55"/>
      <c r="L12" s="55"/>
      <c r="M12" s="55"/>
    </row>
    <row r="13" spans="3:13" ht="12.5" x14ac:dyDescent="0.25">
      <c r="C13" s="4" t="s">
        <v>31</v>
      </c>
      <c r="D13" s="4" t="s">
        <v>25</v>
      </c>
      <c r="E13" s="2">
        <v>200</v>
      </c>
      <c r="F13" s="3">
        <f>E13*3.75</f>
        <v>750</v>
      </c>
      <c r="H13" s="54" t="s">
        <v>32</v>
      </c>
      <c r="I13" s="73"/>
      <c r="J13" s="55"/>
      <c r="K13" s="55"/>
      <c r="L13" s="55"/>
      <c r="M13" s="55"/>
    </row>
    <row r="14" spans="3:13" x14ac:dyDescent="0.25">
      <c r="C14" s="4"/>
      <c r="D14" s="4"/>
      <c r="H14" s="39" t="s">
        <v>33</v>
      </c>
      <c r="I14" s="40"/>
      <c r="J14" s="40"/>
      <c r="K14" s="41"/>
      <c r="L14" s="42"/>
      <c r="M14" s="43"/>
    </row>
    <row r="15" spans="3:13" x14ac:dyDescent="0.25">
      <c r="H15" s="44" t="s">
        <v>34</v>
      </c>
      <c r="I15" s="45"/>
      <c r="J15" s="45"/>
      <c r="K15" s="46"/>
      <c r="L15" s="47"/>
      <c r="M15" s="48"/>
    </row>
    <row r="16" spans="3:13" x14ac:dyDescent="0.25">
      <c r="H16" s="44" t="s">
        <v>35</v>
      </c>
      <c r="I16" s="45"/>
      <c r="J16" s="45"/>
      <c r="K16" s="46"/>
      <c r="L16" s="47"/>
      <c r="M16" s="48"/>
    </row>
    <row r="17" spans="8:13" x14ac:dyDescent="0.25">
      <c r="H17" s="44" t="s">
        <v>36</v>
      </c>
      <c r="I17" s="45"/>
      <c r="J17" s="45"/>
      <c r="K17" s="46"/>
      <c r="L17" s="47"/>
      <c r="M17" s="48"/>
    </row>
    <row r="18" spans="8:13" x14ac:dyDescent="0.25">
      <c r="H18" s="44" t="s">
        <v>37</v>
      </c>
      <c r="I18" s="45"/>
      <c r="J18" s="45"/>
      <c r="K18" s="46"/>
      <c r="L18" s="47"/>
      <c r="M18" s="48"/>
    </row>
    <row r="19" spans="8:13" x14ac:dyDescent="0.25">
      <c r="H19" s="44" t="s">
        <v>38</v>
      </c>
      <c r="I19" s="45"/>
      <c r="J19" s="45"/>
      <c r="K19" s="46"/>
      <c r="L19" s="47"/>
      <c r="M19" s="48"/>
    </row>
    <row r="20" spans="8:13" x14ac:dyDescent="0.25">
      <c r="H20" s="44" t="s">
        <v>39</v>
      </c>
      <c r="I20" s="45"/>
      <c r="J20" s="45"/>
      <c r="K20" s="46"/>
      <c r="L20" s="47"/>
      <c r="M20" s="48"/>
    </row>
    <row r="21" spans="8:13" x14ac:dyDescent="0.25">
      <c r="H21" s="44" t="s">
        <v>40</v>
      </c>
      <c r="I21" s="45"/>
      <c r="J21" s="45"/>
      <c r="K21" s="46"/>
      <c r="L21" s="47"/>
      <c r="M21" s="48"/>
    </row>
    <row r="22" spans="8:13" x14ac:dyDescent="0.25">
      <c r="H22" s="44" t="s">
        <v>41</v>
      </c>
      <c r="I22" s="45"/>
      <c r="J22" s="45"/>
      <c r="K22" s="46"/>
      <c r="L22" s="47"/>
      <c r="M22" s="48"/>
    </row>
    <row r="23" spans="8:13" x14ac:dyDescent="0.25">
      <c r="H23" s="44" t="s">
        <v>42</v>
      </c>
      <c r="I23" s="45"/>
      <c r="J23" s="45"/>
      <c r="K23" s="46"/>
      <c r="L23" s="47"/>
      <c r="M23" s="48"/>
    </row>
    <row r="24" spans="8:13" x14ac:dyDescent="0.25">
      <c r="H24" s="44" t="s">
        <v>43</v>
      </c>
      <c r="I24" s="45"/>
      <c r="J24" s="45"/>
      <c r="K24" s="46"/>
      <c r="L24" s="47"/>
      <c r="M24" s="48"/>
    </row>
    <row r="25" spans="8:13" x14ac:dyDescent="0.25">
      <c r="H25" s="44" t="s">
        <v>44</v>
      </c>
      <c r="I25" s="45"/>
      <c r="J25" s="45"/>
      <c r="K25" s="46"/>
      <c r="L25" s="47"/>
      <c r="M25" s="48"/>
    </row>
    <row r="26" spans="8:13" x14ac:dyDescent="0.25">
      <c r="H26" s="44" t="s">
        <v>45</v>
      </c>
      <c r="I26" s="45"/>
      <c r="J26" s="45"/>
      <c r="K26" s="46"/>
      <c r="L26" s="47"/>
      <c r="M26" s="48"/>
    </row>
    <row r="27" spans="8:13" x14ac:dyDescent="0.25">
      <c r="H27" s="44" t="s">
        <v>46</v>
      </c>
      <c r="I27" s="45"/>
      <c r="J27" s="45"/>
      <c r="K27" s="46"/>
      <c r="L27" s="47"/>
      <c r="M27" s="48"/>
    </row>
    <row r="28" spans="8:13" x14ac:dyDescent="0.25">
      <c r="H28" s="49" t="s">
        <v>47</v>
      </c>
      <c r="I28" s="50"/>
      <c r="J28" s="50"/>
      <c r="K28" s="51"/>
      <c r="L28" s="52"/>
      <c r="M28" s="53"/>
    </row>
  </sheetData>
  <sheetProtection objects="1"/>
  <printOptions gridLines="1" gridLinesSet="0"/>
  <pageMargins left="0.75" right="0.75" top="1" bottom="1" header="0.5" footer="0.5"/>
  <pageSetup paperSize="9" orientation="portrait" horizontalDpi="4294967292" verticalDpi="0" copies="0" r:id="rId1"/>
  <headerFooter alignWithMargins="0">
    <oddHeader>&amp;A</oddHeader>
    <oddFooter>Page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topLeftCell="B2" workbookViewId="0"/>
  </sheetViews>
  <sheetFormatPr defaultColWidth="9.1796875" defaultRowHeight="10.5" x14ac:dyDescent="0.25"/>
  <cols>
    <col min="1" max="1" width="11.7265625" style="56" hidden="1" customWidth="1"/>
    <col min="2" max="2" width="11.7265625" style="56" customWidth="1"/>
    <col min="3" max="3" width="12.7265625" style="56" customWidth="1"/>
    <col min="4" max="4" width="15.81640625" style="56" customWidth="1"/>
    <col min="5" max="5" width="4.26953125" style="56" customWidth="1"/>
    <col min="6" max="8" width="9.1796875" style="56"/>
    <col min="9" max="9" width="17" style="56" customWidth="1"/>
    <col min="10" max="16384" width="9.1796875" style="56"/>
  </cols>
  <sheetData>
    <row r="1" spans="1:9" ht="12.5" hidden="1" x14ac:dyDescent="0.25">
      <c r="A1" s="55"/>
      <c r="B1" s="55"/>
      <c r="C1" s="55"/>
    </row>
    <row r="2" spans="1:9" ht="14" x14ac:dyDescent="0.3">
      <c r="A2" s="55"/>
      <c r="B2" s="66"/>
      <c r="C2" s="37" t="s">
        <v>48</v>
      </c>
      <c r="D2" s="71"/>
      <c r="F2" s="55"/>
      <c r="G2" s="55"/>
      <c r="H2" s="55"/>
      <c r="I2" s="55"/>
    </row>
    <row r="3" spans="1:9" ht="13.5" thickBot="1" x14ac:dyDescent="0.35">
      <c r="A3" s="55"/>
      <c r="B3" s="37" t="s">
        <v>16</v>
      </c>
      <c r="C3" s="70" t="s">
        <v>49</v>
      </c>
      <c r="D3" s="70" t="s">
        <v>50</v>
      </c>
      <c r="F3" s="54" t="s">
        <v>32</v>
      </c>
    </row>
    <row r="4" spans="1:9" ht="13" x14ac:dyDescent="0.3">
      <c r="A4" s="55"/>
      <c r="B4" s="67" t="s">
        <v>22</v>
      </c>
      <c r="C4" s="65">
        <v>36150</v>
      </c>
      <c r="D4" s="65">
        <v>79882.5</v>
      </c>
      <c r="F4" s="39" t="s">
        <v>51</v>
      </c>
      <c r="G4" s="57"/>
      <c r="H4" s="57"/>
      <c r="I4" s="58"/>
    </row>
    <row r="5" spans="1:9" ht="13" x14ac:dyDescent="0.3">
      <c r="A5" s="55"/>
      <c r="B5" s="67" t="s">
        <v>21</v>
      </c>
      <c r="C5" s="65">
        <v>26350</v>
      </c>
      <c r="D5" s="65">
        <v>141937.5</v>
      </c>
      <c r="F5" s="59" t="s">
        <v>52</v>
      </c>
      <c r="G5" s="60"/>
      <c r="H5" s="60"/>
      <c r="I5" s="61"/>
    </row>
    <row r="6" spans="1:9" ht="13" x14ac:dyDescent="0.3">
      <c r="A6" s="55"/>
      <c r="B6" s="67" t="s">
        <v>25</v>
      </c>
      <c r="C6" s="65">
        <v>5200</v>
      </c>
      <c r="D6" s="65">
        <v>6500</v>
      </c>
      <c r="F6" s="59" t="s">
        <v>53</v>
      </c>
      <c r="G6" s="60"/>
      <c r="H6" s="60"/>
      <c r="I6" s="61"/>
    </row>
    <row r="7" spans="1:9" ht="13.5" thickBot="1" x14ac:dyDescent="0.35">
      <c r="B7" s="69" t="s">
        <v>54</v>
      </c>
      <c r="C7" s="68">
        <v>67700</v>
      </c>
      <c r="D7" s="68">
        <v>228320</v>
      </c>
      <c r="F7" s="59" t="s">
        <v>55</v>
      </c>
      <c r="G7" s="60"/>
      <c r="H7" s="60"/>
      <c r="I7" s="61"/>
    </row>
    <row r="8" spans="1:9" x14ac:dyDescent="0.25">
      <c r="F8" s="59" t="s">
        <v>56</v>
      </c>
      <c r="G8" s="60"/>
      <c r="H8" s="60"/>
      <c r="I8" s="61"/>
    </row>
    <row r="9" spans="1:9" x14ac:dyDescent="0.25">
      <c r="F9" s="59" t="s">
        <v>57</v>
      </c>
      <c r="G9" s="60"/>
      <c r="H9" s="60"/>
      <c r="I9" s="61"/>
    </row>
    <row r="10" spans="1:9" x14ac:dyDescent="0.25">
      <c r="F10" s="59" t="s">
        <v>58</v>
      </c>
      <c r="G10" s="60"/>
      <c r="H10" s="60"/>
      <c r="I10" s="61"/>
    </row>
    <row r="11" spans="1:9" x14ac:dyDescent="0.25">
      <c r="F11" s="59" t="s">
        <v>59</v>
      </c>
      <c r="G11" s="60"/>
      <c r="H11" s="60"/>
      <c r="I11" s="61"/>
    </row>
    <row r="12" spans="1:9" x14ac:dyDescent="0.25">
      <c r="F12" s="59" t="s">
        <v>60</v>
      </c>
      <c r="G12" s="60"/>
      <c r="H12" s="60"/>
      <c r="I12" s="61"/>
    </row>
    <row r="13" spans="1:9" x14ac:dyDescent="0.25">
      <c r="F13" s="59" t="s">
        <v>61</v>
      </c>
      <c r="G13" s="60"/>
      <c r="H13" s="60"/>
      <c r="I13" s="61"/>
    </row>
    <row r="14" spans="1:9" x14ac:dyDescent="0.25">
      <c r="F14" s="59" t="s">
        <v>62</v>
      </c>
      <c r="G14" s="60"/>
      <c r="H14" s="60"/>
      <c r="I14" s="61"/>
    </row>
    <row r="15" spans="1:9" x14ac:dyDescent="0.25">
      <c r="F15" s="59" t="s">
        <v>63</v>
      </c>
      <c r="G15" s="60"/>
      <c r="H15" s="60"/>
      <c r="I15" s="61"/>
    </row>
    <row r="16" spans="1:9" x14ac:dyDescent="0.25">
      <c r="F16" s="62" t="s">
        <v>64</v>
      </c>
      <c r="G16" s="63"/>
      <c r="H16" s="63"/>
      <c r="I16" s="64"/>
    </row>
  </sheetData>
  <sheetProtection objects="1"/>
  <printOptions gridLines="1" gridLinesSet="0"/>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Contents</vt:lpstr>
      <vt:lpstr>wsSubTotal</vt:lpstr>
      <vt:lpstr>wsPivot</vt:lpstr>
      <vt:lpstr>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SubTotals using Database Function</dc:title>
  <dc:subject/>
  <dc:creator>Ganesh Ram (Baarns India)</dc:creator>
  <cp:keywords/>
  <dc:description>Example showing SubTotals using Database Function and using Pivot Tables. (c) 1996 Baarns Consulting Group, Inc. Dev: Ganesh Ram</dc:description>
  <cp:lastModifiedBy>Carina Negreanu</cp:lastModifiedBy>
  <dcterms:created xsi:type="dcterms:W3CDTF">2020-01-27T12:43:22Z</dcterms:created>
  <dcterms:modified xsi:type="dcterms:W3CDTF">2020-01-27T12:43:22Z</dcterms:modified>
</cp:coreProperties>
</file>