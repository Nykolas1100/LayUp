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C84C573-6D6B-4ECA-8BB9-66E3D1E34207}" xr6:coauthVersionLast="45" xr6:coauthVersionMax="45" xr10:uidLastSave="{00000000-0000-0000-0000-000000000000}"/>
  <bookViews>
    <workbookView xWindow="3040" yWindow="304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Sheet1!$A:$A,Sheet1!$1:$1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71" i="1" l="1"/>
  <c r="AJ71" i="1"/>
  <c r="AH71" i="1"/>
  <c r="AI70" i="1"/>
  <c r="AJ70" i="1"/>
  <c r="AH70" i="1"/>
  <c r="AI69" i="1"/>
  <c r="AH69" i="1"/>
  <c r="AJ69" i="1"/>
  <c r="W68" i="1"/>
  <c r="X68" i="1"/>
  <c r="Y68" i="1"/>
  <c r="Z68" i="1"/>
  <c r="AA68" i="1"/>
  <c r="AB68" i="1"/>
  <c r="AC68" i="1"/>
  <c r="AD68" i="1"/>
  <c r="V68" i="1"/>
</calcChain>
</file>

<file path=xl/sharedStrings.xml><?xml version="1.0" encoding="utf-8"?>
<sst xmlns="http://schemas.openxmlformats.org/spreadsheetml/2006/main" count="1404" uniqueCount="482">
  <si>
    <t>source</t>
  </si>
  <si>
    <t>volume</t>
  </si>
  <si>
    <t>issue</t>
  </si>
  <si>
    <t>date</t>
  </si>
  <si>
    <t>Taylor</t>
  </si>
  <si>
    <t>B.M.; Beach, R.W.</t>
  </si>
  <si>
    <t>Reading Research Quarterly</t>
  </si>
  <si>
    <t>Winter 1984</t>
  </si>
  <si>
    <t>134-146</t>
  </si>
  <si>
    <t>Schatz</t>
  </si>
  <si>
    <t>E.K.; Baldwin, R.W.</t>
  </si>
  <si>
    <t>Fall 1986</t>
  </si>
  <si>
    <t>439-453</t>
  </si>
  <si>
    <t>3-5</t>
  </si>
  <si>
    <t>Does text structure/summarization instruction facilitate learning from expository text?</t>
  </si>
  <si>
    <t>Armbruster</t>
  </si>
  <si>
    <t>B.B.; Anderson, T.H.; Ostertag, J.</t>
  </si>
  <si>
    <t>Summer 1987</t>
  </si>
  <si>
    <t>331-346</t>
  </si>
  <si>
    <t>4</t>
  </si>
  <si>
    <t>5</t>
  </si>
  <si>
    <t>Context clues are unreliable predictors of word meanings</t>
  </si>
  <si>
    <t>Dole</t>
  </si>
  <si>
    <t>J.A.; Valencia, S.W.; Greer, E.A.; Wardrop, J.L.</t>
  </si>
  <si>
    <t>142-159</t>
  </si>
  <si>
    <t>X</t>
  </si>
  <si>
    <t>The effects of strategy instruction on the comprehension performance of at-risk students</t>
  </si>
  <si>
    <t>J.A.; Brown, K.J.; Trathen, W.</t>
  </si>
  <si>
    <t>62-88</t>
  </si>
  <si>
    <t>2</t>
  </si>
  <si>
    <t>Middle and high school students' perceptions of how they experience text-based discussions:  A multicase study</t>
  </si>
  <si>
    <t>Alvermann</t>
  </si>
  <si>
    <t>D.E.; Young, J.P.; Weaver, D.; Hinchman, K.A.; Moore, D.W.; Phelps, S.F.; Thrash, E.C.; Zalewski, P.</t>
  </si>
  <si>
    <t>July/Aug/Sept 1996</t>
  </si>
  <si>
    <t>244-267</t>
  </si>
  <si>
    <t>Investigating techniques for teaching word meanings</t>
  </si>
  <si>
    <t>Gipe</t>
  </si>
  <si>
    <t>J.</t>
  </si>
  <si>
    <t>1978-1979</t>
  </si>
  <si>
    <t>624-644</t>
  </si>
  <si>
    <t>1-2</t>
  </si>
  <si>
    <t>Strategies for increasing text-based interest and students' recall of expository texts</t>
  </si>
  <si>
    <t>Hidi</t>
  </si>
  <si>
    <t>S.; Baird, W.</t>
  </si>
  <si>
    <t>Fall 1988</t>
  </si>
  <si>
    <t>465-483</t>
  </si>
  <si>
    <t>NA</t>
  </si>
  <si>
    <t>Awareness of four text structures:  Effects on recall of expository text</t>
  </si>
  <si>
    <t>Richgels</t>
  </si>
  <si>
    <t>D.; McGee, L.; Lomax, R.; Sheard, C.</t>
  </si>
  <si>
    <t>177-196</t>
  </si>
  <si>
    <t>1</t>
  </si>
  <si>
    <t>3</t>
  </si>
  <si>
    <t>Activating background knowledge in reading comprehension assessment</t>
  </si>
  <si>
    <t>Rowe</t>
  </si>
  <si>
    <t>D.W.; Rayford, L.</t>
  </si>
  <si>
    <t>Spring 1987</t>
  </si>
  <si>
    <t>160-176</t>
  </si>
  <si>
    <t>What happens when students read multiple source documents in history?</t>
  </si>
  <si>
    <t>Stahl</t>
  </si>
  <si>
    <t>S.A.; Hynd, C.R.; Britton, B.K.; McNish, M.M.; Bosquet, D.</t>
  </si>
  <si>
    <t>Oct/Nov/Dec 1996</t>
  </si>
  <si>
    <t>430-456</t>
  </si>
  <si>
    <t>Investigating a synthesized comprehension instructional strategy:  The cloze story map</t>
  </si>
  <si>
    <t>Reutzel</t>
  </si>
  <si>
    <t>D.R.</t>
  </si>
  <si>
    <t>Journal of Educational Research</t>
  </si>
  <si>
    <t>343-349</t>
  </si>
  <si>
    <t>Effects of question-generation training on reading comprehension</t>
  </si>
  <si>
    <t>Davey</t>
  </si>
  <si>
    <t>B.; McBride, S.</t>
  </si>
  <si>
    <t>Journal of Educational Psychology</t>
  </si>
  <si>
    <t>256-262</t>
  </si>
  <si>
    <t>Effects of computer-assisted vocabulary training on word knowledge</t>
  </si>
  <si>
    <t>Kolish</t>
  </si>
  <si>
    <t>E.M.</t>
  </si>
  <si>
    <t>177-182</t>
  </si>
  <si>
    <t>Strategy fading and progress feedback:  Effects on self-efficacy and comprehension among students receiving remedial reading services</t>
  </si>
  <si>
    <t>Schunk</t>
  </si>
  <si>
    <t>D.H.; Rice, J.M.</t>
  </si>
  <si>
    <t>Journal of Special Education</t>
  </si>
  <si>
    <t>Fall 1993</t>
  </si>
  <si>
    <t>257-276</t>
  </si>
  <si>
    <t>Teaching high school students to identify main ideas in expository text</t>
  </si>
  <si>
    <t>Sjostrom</t>
  </si>
  <si>
    <t>C.L.; Hare, V.C.</t>
  </si>
  <si>
    <t>Nov/Dec 1984</t>
  </si>
  <si>
    <t>114-118</t>
  </si>
  <si>
    <t>Effects of interactive discussion and text type on learning counterintuitive science concepts</t>
  </si>
  <si>
    <t>D.E.; Hynd, C.E.</t>
  </si>
  <si>
    <t>Jan/Feb 1995</t>
  </si>
  <si>
    <t>146-154</t>
  </si>
  <si>
    <t>3+</t>
  </si>
  <si>
    <t>Fall</t>
  </si>
  <si>
    <t>Group discussions and large-scale language arts assessments:  Effects on students' comprehension</t>
  </si>
  <si>
    <t>R.; Webb, N.M.; Chudowsky, N.</t>
  </si>
  <si>
    <t>American Education Research Journal</t>
  </si>
  <si>
    <t>Winter 2000</t>
  </si>
  <si>
    <t>911-941</t>
  </si>
  <si>
    <t>Teaching children to learn word meanings from context:  A synthesis and some questions</t>
  </si>
  <si>
    <t>Kuhn</t>
  </si>
  <si>
    <t>Melanie A.; Stahl, Steven A.</t>
  </si>
  <si>
    <t>Journal of Literacy Research</t>
  </si>
  <si>
    <t>119-138</t>
  </si>
  <si>
    <t>Overcoming the reading comprehension barriers of expository texts</t>
  </si>
  <si>
    <t>Franklin</t>
  </si>
  <si>
    <t>M.R.; Roach, P.B.; Clary, Jr., E.; Ley, T.C.</t>
  </si>
  <si>
    <t>Educational Research Quarterly</t>
  </si>
  <si>
    <t>4+</t>
  </si>
  <si>
    <t>Intensive vocabulary instruction as a prewriting technique</t>
  </si>
  <si>
    <t>Duin</t>
  </si>
  <si>
    <t>A.H.; Graves, M.F.</t>
  </si>
  <si>
    <t>311-333</t>
  </si>
  <si>
    <t>5-14</t>
  </si>
  <si>
    <t>Monitoring and resolving comprehension obstacles:  An investigation of spontaneous text lookbacks among upper-grade good and poor comprehenders</t>
  </si>
  <si>
    <t>Garner</t>
  </si>
  <si>
    <t>R.; Reis, R.</t>
  </si>
  <si>
    <t>569-582</t>
  </si>
  <si>
    <t>MISSING</t>
  </si>
  <si>
    <t>PQR4 as it affects comprehension of social studies reading material</t>
  </si>
  <si>
    <t>Pelow</t>
  </si>
  <si>
    <t>R.A.; McVey, H.</t>
  </si>
  <si>
    <t>Social Studies Journal</t>
  </si>
  <si>
    <t>14-22</t>
  </si>
  <si>
    <t>Effects of a mnemonic imagery strategy on good and poor readers' prose recall</t>
  </si>
  <si>
    <t>Peters</t>
  </si>
  <si>
    <t>E.E.; Levin, J.R.</t>
  </si>
  <si>
    <t>179-192</t>
  </si>
  <si>
    <t>Reciprocal teaching improves standardized reading comprehension performance in poor comprehenders</t>
  </si>
  <si>
    <t>Lysynchuk</t>
  </si>
  <si>
    <t>L.M.; Pressley, M.; Vye, N.J.</t>
  </si>
  <si>
    <t>The Elementary School Journal</t>
  </si>
  <si>
    <t>469-484</t>
  </si>
  <si>
    <t>Some effects of summarization training on reading and studying</t>
  </si>
  <si>
    <t>Rinehart</t>
  </si>
  <si>
    <t>S.D.; Stahl, S.A.; Erickson, L.G.</t>
  </si>
  <si>
    <t>422-438</t>
  </si>
  <si>
    <t>Gambrell</t>
  </si>
  <si>
    <t>L.B.; Bales, R.J.</t>
  </si>
  <si>
    <t>454-464</t>
  </si>
  <si>
    <t>Carnine</t>
  </si>
  <si>
    <t>D.; Kinder, D.</t>
  </si>
  <si>
    <t>Remedial &amp; Special Education</t>
  </si>
  <si>
    <t>20-30</t>
  </si>
  <si>
    <t>Improving reading comprehension by using paragraph restatements</t>
  </si>
  <si>
    <t>Jenkins</t>
  </si>
  <si>
    <t>J.R.; Heliotis, J.D.; Stein, M.L.; Haynes, M.C.</t>
  </si>
  <si>
    <t>Exceptional Children</t>
  </si>
  <si>
    <t>54-59</t>
  </si>
  <si>
    <t>Effects of two instructional approaches and peer tutoring on gifted and nongifted sixth-grade students' analogy performance</t>
  </si>
  <si>
    <t>Judy</t>
  </si>
  <si>
    <t xml:space="preserve">J.E.; Alexander, P.A.; Kulikowich, J.M.; Willson, V.L. </t>
  </si>
  <si>
    <t>Spring 1988</t>
  </si>
  <si>
    <t>236-257</t>
  </si>
  <si>
    <t>Teaching students to generate questions:  A review of the intervention studies</t>
  </si>
  <si>
    <t>Rosenshine</t>
  </si>
  <si>
    <t>B.; Meister, C.; Chapman, S.</t>
  </si>
  <si>
    <t>Review of Educational Research</t>
  </si>
  <si>
    <t>Summer 1996</t>
  </si>
  <si>
    <t>181-221</t>
  </si>
  <si>
    <t>Reading for meaning:  The efficacy of reciprocal teaching in fostering reading comprehension in high school students in remedial reading classes</t>
  </si>
  <si>
    <t>Alfassi</t>
  </si>
  <si>
    <t>M.</t>
  </si>
  <si>
    <t>309-332</t>
  </si>
  <si>
    <t>4-5</t>
  </si>
  <si>
    <t>Reciprocal teaching:  A review of the research</t>
  </si>
  <si>
    <t>B.; Meister, C.</t>
  </si>
  <si>
    <t>479-530</t>
  </si>
  <si>
    <t>NO RATING</t>
  </si>
  <si>
    <t>Thinking Aloud &amp; Reading Comprehension Research:  Inquiry, Instruction, &amp; Social Interaction</t>
  </si>
  <si>
    <t>Kucan</t>
  </si>
  <si>
    <t>L.; Beck, I.</t>
  </si>
  <si>
    <t>271-299</t>
  </si>
  <si>
    <t>Improving content-area reading using instructional graphics</t>
  </si>
  <si>
    <t>B.B.; Anderson, T.H.; Meyer, J.L.</t>
  </si>
  <si>
    <t>393-416</t>
  </si>
  <si>
    <t>The effects of instruction using semantic mapping on vocabulary and comprehension</t>
  </si>
  <si>
    <t>Margosein</t>
  </si>
  <si>
    <t>C.M.; Pascarella, E.T.; Pfaum, S.W.</t>
  </si>
  <si>
    <t>US Department of Education - National Institute of Education - Educational Resources Information Center (ERIC) - ED217390</t>
  </si>
  <si>
    <t>1-24</t>
  </si>
  <si>
    <t>Reading instruction that increases thinking abilities</t>
  </si>
  <si>
    <t>Collins</t>
  </si>
  <si>
    <t>C.</t>
  </si>
  <si>
    <t>Journal of Reading</t>
  </si>
  <si>
    <t>April 1991</t>
  </si>
  <si>
    <t>510-516</t>
  </si>
  <si>
    <t>2-5</t>
  </si>
  <si>
    <t>The role of graphic organizers and social structure in content area instruction</t>
  </si>
  <si>
    <t>Darch</t>
  </si>
  <si>
    <t>C.B.; Carnine, D.W.; Kameenui, E.J.</t>
  </si>
  <si>
    <t>Journal of Reading Behavior</t>
  </si>
  <si>
    <t>275-295</t>
  </si>
  <si>
    <t>Effects of instruction in text organization on sixth-grade students' memory for expository reading</t>
  </si>
  <si>
    <t>Berkowitz</t>
  </si>
  <si>
    <t>S.J.</t>
  </si>
  <si>
    <t>161-178</t>
  </si>
  <si>
    <t>3-4</t>
  </si>
  <si>
    <t>The effect of inference training on children's comprehension of expository text</t>
  </si>
  <si>
    <t>Carr</t>
  </si>
  <si>
    <t xml:space="preserve"> E.M.; Dewitz, P.; Patberg, J.P.</t>
  </si>
  <si>
    <t>1-18</t>
  </si>
  <si>
    <t>The potential for directing study in combined reading and writing activity</t>
  </si>
  <si>
    <t>Hayes</t>
  </si>
  <si>
    <t>D.A.</t>
  </si>
  <si>
    <t>333-352</t>
  </si>
  <si>
    <t>Active comprehension:  Problem-solving schema with question generation for comprehension of complex short stories</t>
  </si>
  <si>
    <t>Singer</t>
  </si>
  <si>
    <t>H.; Donlan, D.</t>
  </si>
  <si>
    <t>166-186</t>
  </si>
  <si>
    <t>A comparison of semantic- and mnemonic-based vocabulary-learning strategies</t>
  </si>
  <si>
    <t>Levin</t>
  </si>
  <si>
    <t>J.R.; Johnson, D.D.; Pittelman, S.D.; Levin, K.M.; Shriberg, L.K.; Toms-Bronowski, S.; Hayes, B.L.</t>
  </si>
  <si>
    <t>Reading Psychology</t>
  </si>
  <si>
    <t>1-15</t>
  </si>
  <si>
    <t>Raphael</t>
  </si>
  <si>
    <t>T.E.; McKinney, J.</t>
  </si>
  <si>
    <t>67-87</t>
  </si>
  <si>
    <t>The compensatory effect of graphic organizers on descriptive text</t>
  </si>
  <si>
    <t>D.E.</t>
  </si>
  <si>
    <t>Sept/Oct 1981</t>
  </si>
  <si>
    <t>44-48</t>
  </si>
  <si>
    <t>Effects of text construction and instructional procedures for teaching word meanings on comprehension and recall</t>
  </si>
  <si>
    <t>Kameenui</t>
  </si>
  <si>
    <t>E.J.; Carnin, D.W.; Freschi, R.</t>
  </si>
  <si>
    <t>367-388</t>
  </si>
  <si>
    <t>Increasing students' awareness of sources of information for answering questions</t>
  </si>
  <si>
    <t>T.E.; Pearson, D.P.</t>
  </si>
  <si>
    <t>217-235</t>
  </si>
  <si>
    <t>Is October brown Chinese?  A cultural modeling activity system for underachieving students</t>
  </si>
  <si>
    <t>Lee</t>
  </si>
  <si>
    <t>C.D.</t>
  </si>
  <si>
    <t>Spring 2001</t>
  </si>
  <si>
    <t>97-141</t>
  </si>
  <si>
    <t>Are good texts always better?  Interactions of text coherence, background knowledge, and levels of understanding in learning from text</t>
  </si>
  <si>
    <t>McNamara</t>
  </si>
  <si>
    <t>D.S.; Kintsch, E.; Songer, N.B.; Kintsch, W.</t>
  </si>
  <si>
    <t>Cognition and Instruction</t>
  </si>
  <si>
    <t>1-43</t>
  </si>
  <si>
    <t>The effects of vocabulary instruction:  A model-based meta-analysis</t>
  </si>
  <si>
    <t>S.A.; Fairbanks, M.M.</t>
  </si>
  <si>
    <t>Spring 1986</t>
  </si>
  <si>
    <t>72-110</t>
  </si>
  <si>
    <t>Instructional strategies for studying content area texts in the middle grades</t>
  </si>
  <si>
    <t>Adams</t>
  </si>
  <si>
    <t>A.; Carnine, C.; Gersten, R.</t>
  </si>
  <si>
    <t>27-55</t>
  </si>
  <si>
    <t>Baumann</t>
  </si>
  <si>
    <t>J.F.</t>
  </si>
  <si>
    <t>Fall 1984</t>
  </si>
  <si>
    <t>93-115</t>
  </si>
  <si>
    <t>Comprehension strategy instruction in the intermediate grades</t>
  </si>
  <si>
    <t>B.M.; Frye, B.J.</t>
  </si>
  <si>
    <t>Reading Research and Instruction</t>
  </si>
  <si>
    <t>39-48</t>
  </si>
  <si>
    <t>The effects of prior knowledge and schema activation strategies on the inferential reading comprehension of children with and without learning disabilities</t>
  </si>
  <si>
    <t>S.C.; Thompson, B.</t>
  </si>
  <si>
    <t>Learning Disabilities Quarterly</t>
  </si>
  <si>
    <t>Winter 1996</t>
  </si>
  <si>
    <t>48-61</t>
  </si>
  <si>
    <t>Students making sense of informational text:  Relations between processing and representation</t>
  </si>
  <si>
    <t>Cote</t>
  </si>
  <si>
    <t>N.; Goldman, S.R.; Saul, E. U.</t>
  </si>
  <si>
    <t>Discourse Processes</t>
  </si>
  <si>
    <t>1-53</t>
  </si>
  <si>
    <t>Andre</t>
  </si>
  <si>
    <t>M.; Anderson, T.H.</t>
  </si>
  <si>
    <t>The development and evaluation of a self-questioning study technique</t>
  </si>
  <si>
    <t>605-623</t>
  </si>
  <si>
    <t>Cultural schemata and reading comprehension</t>
  </si>
  <si>
    <t>Reynolds</t>
  </si>
  <si>
    <t>R.E.; Taylor, M.A.; Steffensen, M.S.; Shirey, L.L.; Anderson, R.C.</t>
  </si>
  <si>
    <t>353-366</t>
  </si>
  <si>
    <t>The interaction of domain-specific knowledge in academic performance</t>
  </si>
  <si>
    <t>Alexander</t>
  </si>
  <si>
    <t>P.A.; Judy, J.E.</t>
  </si>
  <si>
    <t>Winter 1988</t>
  </si>
  <si>
    <t>375-404</t>
  </si>
  <si>
    <t>Direct instruction of summarization skills</t>
  </si>
  <si>
    <t>Hare</t>
  </si>
  <si>
    <t xml:space="preserve"> V.C.; Borchardt, K.M.</t>
  </si>
  <si>
    <t>62-78</t>
  </si>
  <si>
    <t>Notetaking and depth of processing</t>
  </si>
  <si>
    <t>Bretzing</t>
  </si>
  <si>
    <t>B.H.; Kulhavy, R.W.</t>
  </si>
  <si>
    <t>Contemporary Educational Psychology</t>
  </si>
  <si>
    <t>145-153</t>
  </si>
  <si>
    <t>Comparison of the effects of episodic organizers and traditional notetaking on story recall</t>
  </si>
  <si>
    <t>Denner</t>
  </si>
  <si>
    <t>P.R.</t>
  </si>
  <si>
    <t>Report submitted to Idaho State University Research Committee - June 4, 1986 (Eric Document #ED270731)</t>
  </si>
  <si>
    <t>3.5</t>
  </si>
  <si>
    <t>The efficacy of a self-questioning summarization strategy for use by underachievers and learning disabled adolescents in social studies</t>
  </si>
  <si>
    <t>Wong</t>
  </si>
  <si>
    <t>B.Y.; Wong, R.; Nancy Perry, N.; Saarvatsky, D.</t>
  </si>
  <si>
    <t>Learning Disabilities Focus</t>
  </si>
  <si>
    <t>20-35</t>
  </si>
  <si>
    <t>Review #</t>
  </si>
  <si>
    <t>Author (Last)</t>
  </si>
  <si>
    <t>Author (First)</t>
  </si>
  <si>
    <t>Title</t>
  </si>
  <si>
    <t>see# 03</t>
  </si>
  <si>
    <t>see #15</t>
  </si>
  <si>
    <t>pgs</t>
  </si>
  <si>
    <t>Independent reading</t>
  </si>
  <si>
    <t>Metacognition</t>
  </si>
  <si>
    <t>Prior knowledge</t>
  </si>
  <si>
    <t>Questioning</t>
  </si>
  <si>
    <t>Reading aloud</t>
  </si>
  <si>
    <t>Summarizing/synthesizing</t>
  </si>
  <si>
    <t>Text structure</t>
  </si>
  <si>
    <t>Visual representations</t>
  </si>
  <si>
    <t>Vocabulary</t>
  </si>
  <si>
    <t>Writing</t>
  </si>
  <si>
    <t>Other</t>
  </si>
  <si>
    <t>Instructional Strategy</t>
  </si>
  <si>
    <t>Model</t>
  </si>
  <si>
    <t>Program</t>
  </si>
  <si>
    <t>Classroom</t>
  </si>
  <si>
    <t>Intervention</t>
  </si>
  <si>
    <t>Deductive</t>
  </si>
  <si>
    <t>Inductive</t>
  </si>
  <si>
    <t>Inferencing</t>
  </si>
  <si>
    <t>Predicting</t>
  </si>
  <si>
    <t>article</t>
  </si>
  <si>
    <t xml:space="preserve"> </t>
  </si>
  <si>
    <t>Subject(s)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</si>
  <si>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</si>
  <si>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</si>
  <si>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</si>
  <si>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</si>
  <si>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</si>
  <si>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</si>
  <si>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</si>
  <si>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</si>
  <si>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Grades 11-12</t>
  </si>
  <si>
    <t>MS/HS</t>
  </si>
  <si>
    <t>MS</t>
  </si>
  <si>
    <t>HS</t>
  </si>
  <si>
    <t>The effects of text structure instruction on middle-grade students' comprehension and production of expository text</t>
  </si>
  <si>
    <t>Effects of two types of prereading instruction on the comprehension of narrative and expository text</t>
  </si>
  <si>
    <t>Y</t>
  </si>
  <si>
    <t>N</t>
  </si>
  <si>
    <t>Total "Yes"</t>
  </si>
  <si>
    <t>Total "No"</t>
  </si>
  <si>
    <t>Total "NA"</t>
  </si>
  <si>
    <t>Total:</t>
  </si>
  <si>
    <t>Mental imagery and the comprehension-monitoring performance of fourth- and fifth-grade poor readers</t>
  </si>
  <si>
    <t>Teaching low-performing students to apply generative &amp; schema strategies to narrative an expository materials</t>
  </si>
  <si>
    <t>The effectiveness of a direct instruction paradigm for teaching main idea comprehension</t>
  </si>
  <si>
    <t>An examination of fifth- and eighth-grade children's question-answering behavior:  An instructional study in metacognition</t>
  </si>
  <si>
    <t>Reviewer Name(s)</t>
  </si>
  <si>
    <t>Ryerson, Jann</t>
  </si>
  <si>
    <t>McVeigh; Prothero</t>
  </si>
  <si>
    <t>Perret, Kathy; Jasnoch, Marilou</t>
  </si>
  <si>
    <t>Henson; Howell</t>
  </si>
  <si>
    <t>Merkley; Niday</t>
  </si>
  <si>
    <t>Hartwig, Micki; Wood, Donna</t>
  </si>
  <si>
    <t>Wood, Donna; Ryerson, Jann</t>
  </si>
  <si>
    <t>Davey, Beth; McBride, Susan</t>
  </si>
  <si>
    <t>Fall, Randy; Webb, Noreen; Chudowsky, Naomi</t>
  </si>
  <si>
    <t>Ryerson, Jann; Hartwig, Micki</t>
  </si>
  <si>
    <t>Merkley</t>
  </si>
  <si>
    <t>Hartwig, Micki; Wood, Donna; Ryerson, Jann</t>
  </si>
  <si>
    <t>Wood, Donna</t>
  </si>
  <si>
    <t>Hartwig, Micki; Ryerson, Jann</t>
  </si>
  <si>
    <t>Niday, Donna</t>
  </si>
  <si>
    <t>review</t>
  </si>
  <si>
    <t>summary</t>
  </si>
  <si>
    <t>Description (of strategy, model, or program)</t>
  </si>
  <si>
    <t>Hierarchical summary</t>
  </si>
  <si>
    <t>Vocab/Contact Clues - strategies to pursue</t>
  </si>
  <si>
    <t>Explicit Instruction in Text Structure</t>
  </si>
  <si>
    <t>Teacher directed strategy and instructional strategy</t>
  </si>
  <si>
    <t>Story Map approach (student centered strategy)</t>
  </si>
  <si>
    <t>classroom discussion</t>
  </si>
  <si>
    <t>Vocabulary (word meanings)</t>
  </si>
  <si>
    <t>Text Strategies (text structure)</t>
  </si>
  <si>
    <t>Schema elaboration</t>
  </si>
  <si>
    <t>Multiple source documents (primary source documents)</t>
  </si>
  <si>
    <t>DRA (and cloze story map)</t>
  </si>
  <si>
    <t>question generation training group (QT)</t>
  </si>
  <si>
    <t>word attack (software program)</t>
  </si>
  <si>
    <t>direct explanation - identifying main ideas</t>
  </si>
  <si>
    <t>text discussion (discussion webs)</t>
  </si>
  <si>
    <t>interactive group discussion (peer collaboration)</t>
  </si>
  <si>
    <t>Context Clues</t>
  </si>
  <si>
    <t>Graphic Organizers; conceptual mapping; text structure; and summary mapping</t>
  </si>
  <si>
    <t>Intensive Vocab Instruction (pre-writing)</t>
  </si>
  <si>
    <t>PQ4R</t>
  </si>
  <si>
    <t>Mnemonic Inquiry</t>
  </si>
  <si>
    <t>Reciprocal Teaching</t>
  </si>
  <si>
    <t>Summarization Training</t>
  </si>
  <si>
    <t>Mental imagery for comprehension monitoring</t>
  </si>
  <si>
    <t>Schema treatment</t>
  </si>
  <si>
    <t>paragraph restatements</t>
  </si>
  <si>
    <t>Direct instruction vs. inquiry approach</t>
  </si>
  <si>
    <t>(review of multiple studies)</t>
  </si>
  <si>
    <t>Think Aloud</t>
  </si>
  <si>
    <t>Instructional Graphics</t>
  </si>
  <si>
    <t>Thinking Abilities</t>
  </si>
  <si>
    <t>Graphic Organizers; Directed Reading; SQ3R</t>
  </si>
  <si>
    <t>Map construction for ideas (Q-A, map study and re-reading)</t>
  </si>
  <si>
    <t>inference training</t>
  </si>
  <si>
    <t>paraphrasing, questioning, and comparing after reading</t>
  </si>
  <si>
    <t>Problem-solving question generation</t>
  </si>
  <si>
    <t>vocal strategies (mnemonic and semantic-based)</t>
  </si>
  <si>
    <t>Direct Instruction recognizing/summarizing text structure</t>
  </si>
  <si>
    <t>QAR (Question Answer Relationship)</t>
  </si>
  <si>
    <t>Graphic Organizers</t>
  </si>
  <si>
    <t>Teaching Word Meanings</t>
  </si>
  <si>
    <t>Text Comprehension (Construction/Integration models)</t>
  </si>
  <si>
    <t>Strategy fading; progress feedback</t>
  </si>
  <si>
    <t>Vocabulary instruction</t>
  </si>
  <si>
    <t>Systemic Instruction</t>
  </si>
  <si>
    <t>Direct Instruction (p. 97)</t>
  </si>
  <si>
    <t>Reciprocal Teaching; Comprehension Monitoring; Self questions; summarizing</t>
  </si>
  <si>
    <t>Prior knowledge and Schema Strategies</t>
  </si>
  <si>
    <t>Self Questioning</t>
  </si>
  <si>
    <t>Cultural Schema</t>
  </si>
  <si>
    <t>Domain Specific Strategic and background knowledge</t>
  </si>
  <si>
    <t>Inductive &amp; deductive Thinking</t>
  </si>
  <si>
    <t>Note-taking skills</t>
  </si>
  <si>
    <t>graphic organizers</t>
  </si>
  <si>
    <t>Self Questioning; summarization</t>
  </si>
  <si>
    <t>Length of Study</t>
  </si>
  <si>
    <t>BLUE -- Design = 4+, Education = 5</t>
  </si>
  <si>
    <t>GREEN -- Design and Education = 5</t>
  </si>
  <si>
    <r>
      <t xml:space="preserve">Reported gains </t>
    </r>
    <r>
      <rPr>
        <i/>
        <sz val="10"/>
        <rFont val="Arial"/>
        <family val="2"/>
      </rPr>
      <t>over time</t>
    </r>
    <r>
      <rPr>
        <sz val="10"/>
        <rFont val="Arial"/>
        <family val="2"/>
      </rPr>
      <t>? (Q#7b)</t>
    </r>
  </si>
  <si>
    <t>Replication of earlier study? (Q#8)</t>
  </si>
  <si>
    <t>7 weeks (1 hr. sessions)</t>
  </si>
  <si>
    <t>11 days</t>
  </si>
  <si>
    <t>3 weeks (2x/week)</t>
  </si>
  <si>
    <t>5 weeks</t>
  </si>
  <si>
    <t>2 months (15 mins/day)</t>
  </si>
  <si>
    <t>8 weeks (1x/week)</t>
  </si>
  <si>
    <t>One time event?</t>
  </si>
  <si>
    <t>?</t>
  </si>
  <si>
    <t>4 days</t>
  </si>
  <si>
    <t>5 lessons (over 2 week period)</t>
  </si>
  <si>
    <t>12 sessions (35 mins each over 3 weeks)</t>
  </si>
  <si>
    <t>4 sessions (1x/week for 4 weeks)</t>
  </si>
  <si>
    <t>1 schoolyear (?)</t>
  </si>
  <si>
    <t>24 days (8 days x 3 treatments)</t>
  </si>
  <si>
    <t>-</t>
  </si>
  <si>
    <t>4 weeks (45 mins/day)</t>
  </si>
  <si>
    <t>1 semester?</t>
  </si>
  <si>
    <t>5 days</t>
  </si>
  <si>
    <t>(no treatment used?)</t>
  </si>
  <si>
    <t>19 sessions (3-4 times/week for 20-30 mins)</t>
  </si>
  <si>
    <t>10-15 days (about 20 mins/day)</t>
  </si>
  <si>
    <t>a few days?</t>
  </si>
  <si>
    <t>20 days (p.318) 5 + 15 more days (45 min periods)</t>
  </si>
  <si>
    <t>8 weeks (3x/week, 16 min sessions)</t>
  </si>
  <si>
    <t>8 lessons</t>
  </si>
  <si>
    <t>15 lessons (45 mins/day)</t>
  </si>
  <si>
    <t>6 sessions (1x/week for 6 weeks)</t>
  </si>
  <si>
    <t>8 weeks (40 mins/day)</t>
  </si>
  <si>
    <t>2 weeks (students read 6 short stories)</t>
  </si>
  <si>
    <t>2 days treatment and 2 days testing and 1 day delayed testing</t>
  </si>
  <si>
    <t>11 days (45 mins/day)</t>
  </si>
  <si>
    <t>10 week program</t>
  </si>
  <si>
    <t>2 sessions</t>
  </si>
  <si>
    <t>4 sessions (40 mins each)</t>
  </si>
  <si>
    <t>3 year project</t>
  </si>
  <si>
    <t>1 hour</t>
  </si>
  <si>
    <t>12 sessions</t>
  </si>
  <si>
    <t>4 sessions (30-40 minutes)</t>
  </si>
  <si>
    <t>4 days (30-40 mins/day) may have been repeated over 10 weeks</t>
  </si>
  <si>
    <t>8 lessons (30 mins/lesson)</t>
  </si>
  <si>
    <t>13 lessons</t>
  </si>
  <si>
    <t>1 session/student (45-90 mins)</t>
  </si>
  <si>
    <t>2 sessions (30 mins each)</t>
  </si>
  <si>
    <t>5 sessions (2 hrs each)</t>
  </si>
  <si>
    <t>unclear - 2 sessions????</t>
  </si>
  <si>
    <t>2-3 months (then replicated at another grade level)</t>
  </si>
  <si>
    <t>Quality of Research Design</t>
  </si>
  <si>
    <t>Educational Significance</t>
  </si>
  <si>
    <t>Evaluation of Implementation? (Q#6)</t>
  </si>
  <si>
    <t>multiple times (teacher discretion on frequency of use)</t>
  </si>
  <si>
    <t>strategy verbalization</t>
  </si>
  <si>
    <t>Semantic mapping and context clues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</si>
</sst>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0"/>
  </numFmts>
  <fonts count="10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2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lightUp"/>
    </fill>
    <fill>
      <patternFill patternType="lightUp"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64">
    <xf numFmtId="0" fontId="0" fillId="0" borderId="0" xfId="0"/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49" fontId="2" fillId="2" borderId="1" xfId="1" applyNumberFormat="1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textRotation="75" wrapText="1"/>
    </xf>
    <xf numFmtId="0" fontId="6" fillId="3" borderId="1" xfId="0" applyFont="1" applyFill="1" applyBorder="1" applyAlignment="1">
      <alignment horizontal="center" textRotation="75" wrapText="1"/>
    </xf>
    <xf numFmtId="0" fontId="6" fillId="4" borderId="1" xfId="0" applyFont="1" applyFill="1" applyBorder="1" applyAlignment="1">
      <alignment horizontal="center" textRotation="75" wrapText="1"/>
    </xf>
    <xf numFmtId="0" fontId="6" fillId="5" borderId="1" xfId="0" applyFont="1" applyFill="1" applyBorder="1" applyAlignment="1">
      <alignment horizontal="center" textRotation="75" wrapText="1"/>
    </xf>
    <xf numFmtId="17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0" fontId="6" fillId="6" borderId="1" xfId="0" applyFont="1" applyFill="1" applyBorder="1" applyAlignment="1">
      <alignment horizontal="center" textRotation="75" wrapText="1"/>
    </xf>
    <xf numFmtId="0" fontId="1" fillId="7" borderId="1" xfId="0" applyFont="1" applyFill="1" applyBorder="1" applyAlignment="1">
      <alignment horizontal="center" textRotation="75" wrapText="1"/>
    </xf>
    <xf numFmtId="0" fontId="1" fillId="8" borderId="1" xfId="0" applyFont="1" applyFill="1" applyBorder="1" applyAlignment="1">
      <alignment horizontal="center" textRotation="75" wrapText="1"/>
    </xf>
    <xf numFmtId="0" fontId="1" fillId="9" borderId="1" xfId="0" applyFont="1" applyFill="1" applyBorder="1" applyAlignment="1">
      <alignment horizontal="center" textRotation="75" wrapText="1"/>
    </xf>
    <xf numFmtId="16" fontId="1" fillId="9" borderId="1" xfId="0" applyNumberFormat="1" applyFont="1" applyFill="1" applyBorder="1" applyAlignment="1">
      <alignment horizontal="center" textRotation="75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72" fontId="4" fillId="0" borderId="2" xfId="0" applyNumberFormat="1" applyFont="1" applyBorder="1" applyAlignment="1">
      <alignment horizontal="center"/>
    </xf>
    <xf numFmtId="0" fontId="0" fillId="0" borderId="2" xfId="0" applyBorder="1"/>
    <xf numFmtId="0" fontId="1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1" xfId="0" applyFont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10" borderId="1" xfId="0" applyFont="1" applyFill="1" applyBorder="1" applyAlignment="1">
      <alignment horizontal="center" textRotation="75" wrapText="1"/>
    </xf>
    <xf numFmtId="0" fontId="0" fillId="11" borderId="0" xfId="0" applyFill="1"/>
    <xf numFmtId="0" fontId="1" fillId="11" borderId="0" xfId="0" applyFont="1" applyFill="1" applyAlignment="1">
      <alignment horizontal="center" wrapText="1"/>
    </xf>
    <xf numFmtId="0" fontId="1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5" fillId="11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49" fontId="0" fillId="11" borderId="0" xfId="0" applyNumberFormat="1" applyFill="1" applyAlignment="1">
      <alignment horizontal="center"/>
    </xf>
    <xf numFmtId="0" fontId="0" fillId="11" borderId="0" xfId="0" applyFill="1" applyAlignment="1">
      <alignment wrapText="1"/>
    </xf>
    <xf numFmtId="0" fontId="0" fillId="11" borderId="0" xfId="0" applyFill="1" applyAlignment="1">
      <alignment horizontal="center" wrapText="1"/>
    </xf>
    <xf numFmtId="0" fontId="8" fillId="0" borderId="1" xfId="0" applyFont="1" applyBorder="1" applyAlignment="1">
      <alignment horizontal="right"/>
    </xf>
    <xf numFmtId="172" fontId="4" fillId="12" borderId="0" xfId="0" applyNumberFormat="1" applyFont="1" applyFill="1" applyAlignment="1">
      <alignment horizont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11" borderId="0" xfId="0" applyFill="1" applyAlignment="1">
      <alignment horizontal="left" wrapText="1"/>
    </xf>
    <xf numFmtId="0" fontId="9" fillId="7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 wrapText="1"/>
    </xf>
    <xf numFmtId="0" fontId="1" fillId="7" borderId="2" xfId="0" applyFont="1" applyFill="1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1" fillId="13" borderId="1" xfId="0" applyFont="1" applyFill="1" applyBorder="1" applyAlignment="1">
      <alignment horizontal="center" textRotation="75" wrapText="1"/>
    </xf>
    <xf numFmtId="49" fontId="1" fillId="14" borderId="1" xfId="0" applyNumberFormat="1" applyFont="1" applyFill="1" applyBorder="1" applyAlignment="1">
      <alignment horizontal="center" textRotation="75" wrapText="1"/>
    </xf>
    <xf numFmtId="0" fontId="1" fillId="0" borderId="0" xfId="0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1" fillId="15" borderId="1" xfId="0" applyFont="1" applyFill="1" applyBorder="1" applyAlignment="1">
      <alignment horizontal="center" textRotation="75" wrapText="1"/>
    </xf>
    <xf numFmtId="0" fontId="1" fillId="16" borderId="1" xfId="0" applyFont="1" applyFill="1" applyBorder="1" applyAlignment="1">
      <alignment horizontal="center" textRotation="75" wrapText="1"/>
    </xf>
    <xf numFmtId="49" fontId="0" fillId="0" borderId="0" xfId="0" applyNumberFormat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10"/>
  <sheetViews>
    <sheetView tabSelected="1" zoomScale="85" zoomScaleNormal="85" workbookViewId="0">
      <pane xSplit="1" ySplit="1" topLeftCell="AB2" activePane="bottomRight" state="frozen"/>
      <selection pane="topRight" activeCell="B1" sqref="B1"/>
      <selection pane="bottomLeft" activeCell="A2" sqref="A2"/>
      <selection pane="bottomRight" activeCell="AM1" sqref="AM1"/>
    </sheetView>
  </sheetViews>
  <sheetFormatPr defaultRowHeight="18" x14ac:dyDescent="0.4"/>
  <cols>
    <col min="1" max="1" width="4.1796875" style="2" customWidth="1"/>
    <col min="2" max="21" width="3.81640625" customWidth="1"/>
    <col min="22" max="31" width="4.26953125" style="21" customWidth="1"/>
    <col min="32" max="32" width="14.54296875" style="51" customWidth="1"/>
    <col min="33" max="33" width="9.7265625" style="22" customWidth="1"/>
    <col min="34" max="36" width="6" style="21" customWidth="1"/>
    <col min="37" max="37" width="14.54296875" style="51" customWidth="1"/>
    <col min="38" max="38" width="10" style="1" customWidth="1"/>
    <col min="39" max="39" width="10" style="1" hidden="1" customWidth="1"/>
    <col min="40" max="40" width="29.1796875" style="4" customWidth="1"/>
    <col min="41" max="41" width="11.7265625" style="4" customWidth="1"/>
    <col min="42" max="42" width="18.81640625" style="4" customWidth="1"/>
    <col min="43" max="43" width="18.26953125" style="4" customWidth="1"/>
    <col min="44" max="44" width="6.7265625" customWidth="1"/>
    <col min="45" max="45" width="5.453125" customWidth="1"/>
    <col min="46" max="46" width="7.81640625" style="7" customWidth="1"/>
    <col min="47" max="47" width="7.54296875" style="3" customWidth="1"/>
    <col min="48" max="48" width="16.1796875" hidden="1" customWidth="1"/>
    <col min="49" max="50" width="7" style="9" hidden="1" customWidth="1"/>
    <col min="51" max="53" width="3.81640625" style="3" customWidth="1"/>
  </cols>
  <sheetData>
    <row r="1" spans="1:53" ht="113" x14ac:dyDescent="0.25">
      <c r="A1" s="10" t="s">
        <v>297</v>
      </c>
      <c r="B1" s="11" t="s">
        <v>320</v>
      </c>
      <c r="C1" s="11" t="s">
        <v>321</v>
      </c>
      <c r="D1" s="11" t="s">
        <v>322</v>
      </c>
      <c r="E1" s="11" t="s">
        <v>323</v>
      </c>
      <c r="F1" s="11" t="s">
        <v>304</v>
      </c>
      <c r="G1" s="11" t="s">
        <v>305</v>
      </c>
      <c r="H1" s="11" t="s">
        <v>306</v>
      </c>
      <c r="I1" s="11" t="s">
        <v>307</v>
      </c>
      <c r="J1" s="11" t="s">
        <v>308</v>
      </c>
      <c r="K1" s="11" t="s">
        <v>309</v>
      </c>
      <c r="L1" s="11" t="s">
        <v>310</v>
      </c>
      <c r="M1" s="11" t="s">
        <v>311</v>
      </c>
      <c r="N1" s="11" t="s">
        <v>312</v>
      </c>
      <c r="O1" s="11" t="s">
        <v>313</v>
      </c>
      <c r="P1" s="11" t="s">
        <v>314</v>
      </c>
      <c r="Q1" s="12" t="s">
        <v>315</v>
      </c>
      <c r="R1" s="12" t="s">
        <v>316</v>
      </c>
      <c r="S1" s="12" t="s">
        <v>317</v>
      </c>
      <c r="T1" s="13" t="s">
        <v>318</v>
      </c>
      <c r="U1" s="13" t="s">
        <v>319</v>
      </c>
      <c r="V1" s="19" t="s">
        <v>327</v>
      </c>
      <c r="W1" s="19" t="s">
        <v>328</v>
      </c>
      <c r="X1" s="19" t="s">
        <v>329</v>
      </c>
      <c r="Y1" s="19" t="s">
        <v>330</v>
      </c>
      <c r="Z1" s="19" t="s">
        <v>331</v>
      </c>
      <c r="AA1" s="19" t="s">
        <v>332</v>
      </c>
      <c r="AB1" s="19" t="s">
        <v>333</v>
      </c>
      <c r="AC1" s="19" t="s">
        <v>334</v>
      </c>
      <c r="AD1" s="20" t="s">
        <v>335</v>
      </c>
      <c r="AE1" s="19" t="s">
        <v>314</v>
      </c>
      <c r="AF1" s="61" t="s">
        <v>425</v>
      </c>
      <c r="AG1" s="17" t="s">
        <v>326</v>
      </c>
      <c r="AH1" s="57" t="s">
        <v>478</v>
      </c>
      <c r="AI1" s="57" t="s">
        <v>428</v>
      </c>
      <c r="AJ1" s="57" t="s">
        <v>429</v>
      </c>
      <c r="AK1" s="62" t="s">
        <v>369</v>
      </c>
      <c r="AL1" s="58" t="s">
        <v>476</v>
      </c>
      <c r="AM1" s="58" t="s">
        <v>477</v>
      </c>
      <c r="AN1" s="6" t="s">
        <v>300</v>
      </c>
      <c r="AO1" s="6" t="s">
        <v>298</v>
      </c>
      <c r="AP1" s="6" t="s">
        <v>299</v>
      </c>
      <c r="AQ1" s="6" t="s">
        <v>0</v>
      </c>
      <c r="AR1" s="6" t="s">
        <v>1</v>
      </c>
      <c r="AS1" s="6" t="s">
        <v>2</v>
      </c>
      <c r="AT1" s="5" t="s">
        <v>3</v>
      </c>
      <c r="AU1" s="5" t="s">
        <v>303</v>
      </c>
      <c r="AV1" s="6" t="s">
        <v>351</v>
      </c>
      <c r="AW1" s="38" t="s">
        <v>426</v>
      </c>
      <c r="AX1" s="18" t="s">
        <v>427</v>
      </c>
      <c r="AY1" s="16" t="s">
        <v>324</v>
      </c>
      <c r="AZ1" s="16" t="s">
        <v>367</v>
      </c>
      <c r="BA1" s="16" t="s">
        <v>368</v>
      </c>
    </row>
    <row r="2" spans="1:53" ht="52.5" x14ac:dyDescent="0.5">
      <c r="A2" s="14">
        <v>1</v>
      </c>
      <c r="K2" t="s">
        <v>25</v>
      </c>
      <c r="L2" t="s">
        <v>25</v>
      </c>
      <c r="O2" t="s">
        <v>25</v>
      </c>
      <c r="Q2" t="s">
        <v>25</v>
      </c>
      <c r="T2" t="s">
        <v>25</v>
      </c>
      <c r="V2" s="22"/>
      <c r="W2" s="22"/>
      <c r="X2" s="22"/>
      <c r="Y2" s="22"/>
      <c r="Z2" s="22" t="s">
        <v>25</v>
      </c>
      <c r="AA2" s="22"/>
      <c r="AB2" s="22"/>
      <c r="AC2" s="22"/>
      <c r="AD2" s="22"/>
      <c r="AE2" s="22"/>
      <c r="AF2" s="50" t="s">
        <v>430</v>
      </c>
      <c r="AG2" s="53"/>
      <c r="AH2" s="21" t="s">
        <v>341</v>
      </c>
      <c r="AI2" s="21" t="s">
        <v>341</v>
      </c>
      <c r="AJ2" s="21" t="s">
        <v>341</v>
      </c>
      <c r="AK2" s="50" t="s">
        <v>370</v>
      </c>
      <c r="AL2" s="1">
        <v>4</v>
      </c>
      <c r="AM2" s="1">
        <v>3</v>
      </c>
      <c r="AN2" s="4" t="s">
        <v>339</v>
      </c>
      <c r="AO2" s="4" t="s">
        <v>4</v>
      </c>
      <c r="AP2" s="4" t="s">
        <v>5</v>
      </c>
      <c r="AQ2" s="4" t="s">
        <v>6</v>
      </c>
      <c r="AR2">
        <v>19</v>
      </c>
      <c r="AS2">
        <v>2</v>
      </c>
      <c r="AT2" s="7" t="s">
        <v>7</v>
      </c>
      <c r="AU2" s="3" t="s">
        <v>8</v>
      </c>
      <c r="AV2" s="4" t="s">
        <v>352</v>
      </c>
      <c r="AY2" s="3" t="s">
        <v>25</v>
      </c>
      <c r="AZ2" s="33" t="s">
        <v>25</v>
      </c>
      <c r="BA2" s="33" t="s">
        <v>25</v>
      </c>
    </row>
    <row r="3" spans="1:53" ht="51.5" x14ac:dyDescent="0.4">
      <c r="A3" s="14">
        <v>2</v>
      </c>
      <c r="N3" t="s">
        <v>25</v>
      </c>
      <c r="P3" t="s">
        <v>25</v>
      </c>
      <c r="Q3" t="s">
        <v>25</v>
      </c>
      <c r="U3" t="s">
        <v>25</v>
      </c>
      <c r="V3" s="22"/>
      <c r="W3" s="22"/>
      <c r="X3" s="22"/>
      <c r="Y3" s="22"/>
      <c r="Z3" s="22"/>
      <c r="AA3" s="22"/>
      <c r="AB3" s="22"/>
      <c r="AC3" s="22" t="s">
        <v>25</v>
      </c>
      <c r="AD3" s="22" t="s">
        <v>25</v>
      </c>
      <c r="AE3" s="22"/>
      <c r="AG3" s="54"/>
      <c r="AH3" s="21" t="s">
        <v>342</v>
      </c>
      <c r="AI3" s="21" t="s">
        <v>46</v>
      </c>
      <c r="AJ3" s="21" t="s">
        <v>341</v>
      </c>
      <c r="AK3" s="51" t="s">
        <v>371</v>
      </c>
      <c r="AL3" s="1">
        <v>3</v>
      </c>
      <c r="AM3" s="1">
        <v>3</v>
      </c>
      <c r="AN3" s="4" t="s">
        <v>21</v>
      </c>
      <c r="AO3" s="4" t="s">
        <v>9</v>
      </c>
      <c r="AP3" s="4" t="s">
        <v>10</v>
      </c>
      <c r="AQ3" s="4" t="s">
        <v>6</v>
      </c>
      <c r="AR3">
        <v>21</v>
      </c>
      <c r="AS3">
        <v>4</v>
      </c>
      <c r="AT3" s="7" t="s">
        <v>11</v>
      </c>
      <c r="AU3" s="3" t="s">
        <v>12</v>
      </c>
      <c r="AV3" s="4" t="s">
        <v>353</v>
      </c>
      <c r="AY3" s="3" t="s">
        <v>25</v>
      </c>
      <c r="AZ3" s="33" t="s">
        <v>25</v>
      </c>
      <c r="BA3" s="33" t="s">
        <v>25</v>
      </c>
    </row>
    <row r="4" spans="1:53" ht="39" x14ac:dyDescent="0.4">
      <c r="A4" s="14">
        <v>3</v>
      </c>
      <c r="K4" t="s">
        <v>25</v>
      </c>
      <c r="L4" t="s">
        <v>25</v>
      </c>
      <c r="Q4" t="s">
        <v>25</v>
      </c>
      <c r="T4" t="s">
        <v>25</v>
      </c>
      <c r="V4" s="22"/>
      <c r="W4" s="22"/>
      <c r="X4" s="22" t="s">
        <v>25</v>
      </c>
      <c r="Y4" s="22"/>
      <c r="Z4" s="22"/>
      <c r="AA4" s="22"/>
      <c r="AB4" s="22"/>
      <c r="AC4" s="22"/>
      <c r="AD4" s="22"/>
      <c r="AE4" s="22"/>
      <c r="AF4" s="51" t="s">
        <v>431</v>
      </c>
      <c r="AG4" s="54"/>
      <c r="AH4" s="21" t="s">
        <v>342</v>
      </c>
      <c r="AI4" s="21" t="s">
        <v>342</v>
      </c>
      <c r="AJ4" s="21" t="s">
        <v>342</v>
      </c>
      <c r="AK4" s="51" t="s">
        <v>372</v>
      </c>
      <c r="AL4" s="1">
        <v>3</v>
      </c>
      <c r="AM4" s="1" t="s">
        <v>13</v>
      </c>
      <c r="AN4" s="4" t="s">
        <v>14</v>
      </c>
      <c r="AO4" s="4" t="s">
        <v>15</v>
      </c>
      <c r="AP4" s="4" t="s">
        <v>16</v>
      </c>
      <c r="AQ4" s="4" t="s">
        <v>6</v>
      </c>
      <c r="AR4">
        <v>22</v>
      </c>
      <c r="AS4">
        <v>3</v>
      </c>
      <c r="AT4" s="7" t="s">
        <v>17</v>
      </c>
      <c r="AU4" s="3" t="s">
        <v>18</v>
      </c>
      <c r="AV4" s="4" t="s">
        <v>354</v>
      </c>
      <c r="AY4" s="3" t="s">
        <v>25</v>
      </c>
      <c r="AZ4" s="33" t="s">
        <v>25</v>
      </c>
      <c r="BA4" s="33" t="s">
        <v>25</v>
      </c>
    </row>
    <row r="5" spans="1:53" ht="64" x14ac:dyDescent="0.4">
      <c r="A5" s="14">
        <v>4</v>
      </c>
      <c r="H5" t="s">
        <v>25</v>
      </c>
      <c r="Q5" t="s">
        <v>25</v>
      </c>
      <c r="T5" t="s">
        <v>25</v>
      </c>
      <c r="V5" s="22"/>
      <c r="W5" s="22"/>
      <c r="X5" s="22" t="s">
        <v>25</v>
      </c>
      <c r="Y5" s="22"/>
      <c r="Z5" s="22"/>
      <c r="AA5" s="22"/>
      <c r="AB5" s="22"/>
      <c r="AC5" s="22"/>
      <c r="AD5" s="22"/>
      <c r="AE5" s="22"/>
      <c r="AF5" s="51" t="s">
        <v>432</v>
      </c>
      <c r="AG5" s="54"/>
      <c r="AH5" s="21" t="s">
        <v>342</v>
      </c>
      <c r="AI5" s="21" t="s">
        <v>46</v>
      </c>
      <c r="AJ5" s="21" t="s">
        <v>341</v>
      </c>
      <c r="AK5" s="51" t="s">
        <v>373</v>
      </c>
      <c r="AL5" s="1" t="s">
        <v>19</v>
      </c>
      <c r="AM5" s="1" t="s">
        <v>20</v>
      </c>
      <c r="AN5" s="4" t="s">
        <v>340</v>
      </c>
      <c r="AO5" s="4" t="s">
        <v>22</v>
      </c>
      <c r="AP5" s="4" t="s">
        <v>23</v>
      </c>
      <c r="AQ5" s="4" t="s">
        <v>6</v>
      </c>
      <c r="AR5">
        <v>26</v>
      </c>
      <c r="AS5">
        <v>2</v>
      </c>
      <c r="AT5" s="7">
        <v>1991</v>
      </c>
      <c r="AU5" s="3" t="s">
        <v>24</v>
      </c>
      <c r="AV5" s="4" t="s">
        <v>355</v>
      </c>
      <c r="AW5" s="9" t="s">
        <v>25</v>
      </c>
      <c r="AY5" s="3" t="s">
        <v>25</v>
      </c>
      <c r="AZ5" s="33" t="s">
        <v>25</v>
      </c>
      <c r="BA5" s="33" t="s">
        <v>25</v>
      </c>
    </row>
    <row r="6" spans="1:53" ht="64" x14ac:dyDescent="0.4">
      <c r="A6" s="14">
        <v>5</v>
      </c>
      <c r="V6" s="22"/>
      <c r="W6" s="22"/>
      <c r="X6" s="22" t="s">
        <v>25</v>
      </c>
      <c r="Y6" s="22" t="s">
        <v>25</v>
      </c>
      <c r="Z6" s="22"/>
      <c r="AA6" s="22"/>
      <c r="AB6" s="22"/>
      <c r="AC6" s="22"/>
      <c r="AD6" s="22"/>
      <c r="AE6" s="22"/>
      <c r="AF6" s="51" t="s">
        <v>433</v>
      </c>
      <c r="AG6" s="54"/>
      <c r="AH6" s="21" t="s">
        <v>341</v>
      </c>
      <c r="AJ6" s="21" t="s">
        <v>342</v>
      </c>
      <c r="AK6" s="51" t="s">
        <v>374</v>
      </c>
      <c r="AL6" s="1" t="s">
        <v>19</v>
      </c>
      <c r="AM6" s="1" t="s">
        <v>19</v>
      </c>
      <c r="AN6" s="4" t="s">
        <v>26</v>
      </c>
      <c r="AO6" s="4" t="s">
        <v>22</v>
      </c>
      <c r="AP6" s="4" t="s">
        <v>27</v>
      </c>
      <c r="AQ6" s="4" t="s">
        <v>6</v>
      </c>
      <c r="AR6">
        <v>31</v>
      </c>
      <c r="AS6">
        <v>1</v>
      </c>
      <c r="AT6" s="7">
        <v>1996</v>
      </c>
      <c r="AU6" s="3" t="s">
        <v>28</v>
      </c>
      <c r="AV6" s="4" t="s">
        <v>356</v>
      </c>
      <c r="AY6" s="3" t="s">
        <v>25</v>
      </c>
      <c r="AZ6" s="33" t="s">
        <v>25</v>
      </c>
      <c r="BA6" s="33" t="s">
        <v>25</v>
      </c>
    </row>
    <row r="7" spans="1:53" ht="76.5" x14ac:dyDescent="0.4">
      <c r="A7" s="14">
        <v>6</v>
      </c>
      <c r="G7" t="s">
        <v>25</v>
      </c>
      <c r="Q7" t="s">
        <v>25</v>
      </c>
      <c r="T7" t="s">
        <v>25</v>
      </c>
      <c r="V7" s="22"/>
      <c r="W7" s="22"/>
      <c r="X7" s="22"/>
      <c r="Y7" s="22"/>
      <c r="Z7" s="22"/>
      <c r="AA7" s="22"/>
      <c r="AB7" s="22"/>
      <c r="AC7" s="22"/>
      <c r="AD7" s="22"/>
      <c r="AE7" s="22" t="s">
        <v>336</v>
      </c>
      <c r="AG7" s="54"/>
      <c r="AH7" s="21" t="s">
        <v>342</v>
      </c>
      <c r="AI7" s="21" t="s">
        <v>46</v>
      </c>
      <c r="AJ7" s="21" t="s">
        <v>342</v>
      </c>
      <c r="AK7" s="51" t="s">
        <v>375</v>
      </c>
      <c r="AL7" s="1" t="s">
        <v>29</v>
      </c>
      <c r="AM7" s="1" t="s">
        <v>29</v>
      </c>
      <c r="AN7" s="4" t="s">
        <v>30</v>
      </c>
      <c r="AO7" s="4" t="s">
        <v>31</v>
      </c>
      <c r="AP7" s="4" t="s">
        <v>32</v>
      </c>
      <c r="AQ7" s="4" t="s">
        <v>6</v>
      </c>
      <c r="AR7">
        <v>31</v>
      </c>
      <c r="AS7">
        <v>3</v>
      </c>
      <c r="AT7" s="7" t="s">
        <v>33</v>
      </c>
      <c r="AU7" s="3" t="s">
        <v>34</v>
      </c>
      <c r="AV7" s="4" t="s">
        <v>357</v>
      </c>
      <c r="AY7" s="3" t="s">
        <v>25</v>
      </c>
      <c r="AZ7" s="33" t="s">
        <v>25</v>
      </c>
      <c r="BA7" s="33" t="s">
        <v>25</v>
      </c>
    </row>
    <row r="8" spans="1:53" ht="26.5" x14ac:dyDescent="0.4">
      <c r="A8" s="14">
        <v>7</v>
      </c>
      <c r="V8" s="22" t="s">
        <v>25</v>
      </c>
      <c r="W8" s="22"/>
      <c r="X8" s="22" t="s">
        <v>25</v>
      </c>
      <c r="Y8" s="22"/>
      <c r="Z8" s="22"/>
      <c r="AA8" s="22"/>
      <c r="AB8" s="22"/>
      <c r="AC8" s="22"/>
      <c r="AD8" s="22"/>
      <c r="AE8" s="22"/>
      <c r="AF8" s="51" t="s">
        <v>434</v>
      </c>
      <c r="AG8" s="54"/>
      <c r="AH8" s="21" t="s">
        <v>342</v>
      </c>
      <c r="AI8" s="21" t="s">
        <v>46</v>
      </c>
      <c r="AK8" s="51" t="s">
        <v>376</v>
      </c>
      <c r="AL8" s="1" t="s">
        <v>29</v>
      </c>
      <c r="AM8" s="1" t="s">
        <v>29</v>
      </c>
      <c r="AN8" s="4" t="s">
        <v>35</v>
      </c>
      <c r="AO8" s="4" t="s">
        <v>36</v>
      </c>
      <c r="AP8" s="4" t="s">
        <v>37</v>
      </c>
      <c r="AQ8" s="4" t="s">
        <v>6</v>
      </c>
      <c r="AS8">
        <v>4</v>
      </c>
      <c r="AT8" s="7" t="s">
        <v>38</v>
      </c>
      <c r="AU8" s="3" t="s">
        <v>39</v>
      </c>
      <c r="AV8" s="4" t="s">
        <v>353</v>
      </c>
      <c r="AY8" s="33" t="s">
        <v>25</v>
      </c>
      <c r="AZ8" s="33" t="s">
        <v>25</v>
      </c>
      <c r="BA8" s="33" t="s">
        <v>25</v>
      </c>
    </row>
    <row r="9" spans="1:53" ht="39" x14ac:dyDescent="0.4">
      <c r="A9" s="14">
        <v>8</v>
      </c>
      <c r="L9" t="s">
        <v>25</v>
      </c>
      <c r="Q9" t="s">
        <v>25</v>
      </c>
      <c r="T9" t="s">
        <v>25</v>
      </c>
      <c r="V9" s="22"/>
      <c r="W9" s="22" t="s">
        <v>25</v>
      </c>
      <c r="X9" s="22"/>
      <c r="Y9" s="22" t="s">
        <v>25</v>
      </c>
      <c r="Z9" s="22"/>
      <c r="AA9" s="22"/>
      <c r="AB9" s="22"/>
      <c r="AC9" s="22"/>
      <c r="AD9" s="22"/>
      <c r="AE9" s="22"/>
      <c r="AG9" s="54"/>
      <c r="AH9" s="21" t="s">
        <v>341</v>
      </c>
      <c r="AI9" s="21" t="s">
        <v>46</v>
      </c>
      <c r="AJ9" s="21" t="s">
        <v>341</v>
      </c>
      <c r="AK9" s="51" t="s">
        <v>377</v>
      </c>
      <c r="AL9" s="1" t="s">
        <v>19</v>
      </c>
      <c r="AM9" s="1" t="s">
        <v>40</v>
      </c>
      <c r="AN9" s="4" t="s">
        <v>41</v>
      </c>
      <c r="AO9" s="4" t="s">
        <v>42</v>
      </c>
      <c r="AP9" s="4" t="s">
        <v>43</v>
      </c>
      <c r="AQ9" s="4" t="s">
        <v>6</v>
      </c>
      <c r="AR9">
        <v>24</v>
      </c>
      <c r="AS9">
        <v>3</v>
      </c>
      <c r="AT9" s="7" t="s">
        <v>44</v>
      </c>
      <c r="AU9" s="3" t="s">
        <v>45</v>
      </c>
      <c r="AV9" s="4" t="s">
        <v>354</v>
      </c>
      <c r="AY9" s="3" t="s">
        <v>25</v>
      </c>
      <c r="AZ9" s="33" t="s">
        <v>25</v>
      </c>
      <c r="BA9" s="33" t="s">
        <v>25</v>
      </c>
    </row>
    <row r="10" spans="1:53" ht="39" x14ac:dyDescent="0.4">
      <c r="A10" s="14">
        <v>9</v>
      </c>
      <c r="V10" s="22"/>
      <c r="W10" s="22"/>
      <c r="X10" s="22"/>
      <c r="Y10" s="22" t="s">
        <v>25</v>
      </c>
      <c r="Z10" s="22"/>
      <c r="AA10" s="22"/>
      <c r="AB10" s="22"/>
      <c r="AC10" s="22"/>
      <c r="AD10" s="22"/>
      <c r="AE10" s="22"/>
      <c r="AF10" s="51" t="s">
        <v>435</v>
      </c>
      <c r="AG10" s="54"/>
      <c r="AH10" s="21" t="s">
        <v>46</v>
      </c>
      <c r="AI10" s="21" t="s">
        <v>46</v>
      </c>
      <c r="AJ10" s="21" t="s">
        <v>341</v>
      </c>
      <c r="AL10" s="1" t="s">
        <v>46</v>
      </c>
      <c r="AM10" s="1" t="s">
        <v>19</v>
      </c>
      <c r="AN10" s="4" t="s">
        <v>47</v>
      </c>
      <c r="AO10" s="4" t="s">
        <v>48</v>
      </c>
      <c r="AP10" s="4" t="s">
        <v>49</v>
      </c>
      <c r="AQ10" s="4" t="s">
        <v>6</v>
      </c>
      <c r="AR10">
        <v>22</v>
      </c>
      <c r="AS10">
        <v>2</v>
      </c>
      <c r="AT10" s="7">
        <v>1987</v>
      </c>
      <c r="AU10" s="3" t="s">
        <v>50</v>
      </c>
      <c r="AV10" s="4" t="s">
        <v>356</v>
      </c>
      <c r="AY10" s="3" t="s">
        <v>25</v>
      </c>
      <c r="AZ10" s="33" t="s">
        <v>25</v>
      </c>
      <c r="BA10" s="33" t="s">
        <v>25</v>
      </c>
    </row>
    <row r="11" spans="1:53" ht="39" x14ac:dyDescent="0.4">
      <c r="A11" s="14">
        <v>10</v>
      </c>
      <c r="V11" s="22"/>
      <c r="W11" s="22"/>
      <c r="X11" s="22"/>
      <c r="Y11" s="22" t="s">
        <v>25</v>
      </c>
      <c r="Z11" s="22"/>
      <c r="AA11" s="22"/>
      <c r="AB11" s="22"/>
      <c r="AC11" s="22"/>
      <c r="AD11" s="22"/>
      <c r="AE11" s="22"/>
      <c r="AF11" s="51" t="s">
        <v>436</v>
      </c>
      <c r="AG11" s="54"/>
      <c r="AH11" s="21" t="s">
        <v>342</v>
      </c>
      <c r="AI11" s="21" t="s">
        <v>342</v>
      </c>
      <c r="AJ11" s="21" t="s">
        <v>342</v>
      </c>
      <c r="AK11" s="51" t="s">
        <v>378</v>
      </c>
      <c r="AL11" s="1" t="s">
        <v>51</v>
      </c>
      <c r="AM11" s="1" t="s">
        <v>52</v>
      </c>
      <c r="AN11" s="4" t="s">
        <v>53</v>
      </c>
      <c r="AO11" s="4" t="s">
        <v>54</v>
      </c>
      <c r="AP11" s="4" t="s">
        <v>55</v>
      </c>
      <c r="AQ11" s="4" t="s">
        <v>6</v>
      </c>
      <c r="AR11">
        <v>22</v>
      </c>
      <c r="AS11">
        <v>2</v>
      </c>
      <c r="AT11" s="7" t="s">
        <v>56</v>
      </c>
      <c r="AU11" s="3" t="s">
        <v>57</v>
      </c>
      <c r="AV11" s="4" t="s">
        <v>358</v>
      </c>
      <c r="AY11" s="3" t="s">
        <v>25</v>
      </c>
      <c r="AZ11" s="33" t="s">
        <v>25</v>
      </c>
      <c r="BA11" s="33" t="s">
        <v>25</v>
      </c>
    </row>
    <row r="12" spans="1:53" ht="51.5" x14ac:dyDescent="0.4">
      <c r="A12" s="14">
        <v>11</v>
      </c>
      <c r="K12" t="s">
        <v>25</v>
      </c>
      <c r="Q12" t="s">
        <v>25</v>
      </c>
      <c r="T12" t="s">
        <v>25</v>
      </c>
      <c r="V12" s="22"/>
      <c r="W12" s="22"/>
      <c r="X12" s="22"/>
      <c r="Y12" s="22"/>
      <c r="Z12" s="22"/>
      <c r="AA12" s="22"/>
      <c r="AB12" s="22"/>
      <c r="AC12" s="22" t="s">
        <v>25</v>
      </c>
      <c r="AD12" s="22"/>
      <c r="AE12" s="22"/>
      <c r="AF12" s="51" t="s">
        <v>437</v>
      </c>
      <c r="AG12" s="54"/>
      <c r="AH12" s="21" t="s">
        <v>342</v>
      </c>
      <c r="AI12" s="21" t="s">
        <v>46</v>
      </c>
      <c r="AJ12" s="21" t="s">
        <v>342</v>
      </c>
      <c r="AK12" s="51" t="s">
        <v>379</v>
      </c>
      <c r="AL12" s="1" t="s">
        <v>29</v>
      </c>
      <c r="AM12" s="1" t="s">
        <v>52</v>
      </c>
      <c r="AN12" s="4" t="s">
        <v>58</v>
      </c>
      <c r="AO12" s="4" t="s">
        <v>59</v>
      </c>
      <c r="AP12" s="4" t="s">
        <v>60</v>
      </c>
      <c r="AQ12" s="4" t="s">
        <v>6</v>
      </c>
      <c r="AR12">
        <v>31</v>
      </c>
      <c r="AS12">
        <v>4</v>
      </c>
      <c r="AT12" s="7" t="s">
        <v>61</v>
      </c>
      <c r="AU12" s="3" t="s">
        <v>62</v>
      </c>
      <c r="AV12" s="4" t="s">
        <v>355</v>
      </c>
      <c r="AY12" s="33" t="s">
        <v>25</v>
      </c>
      <c r="AZ12" s="33" t="s">
        <v>25</v>
      </c>
      <c r="BA12" s="33" t="s">
        <v>25</v>
      </c>
    </row>
    <row r="13" spans="1:53" ht="39" x14ac:dyDescent="0.4">
      <c r="A13" s="14">
        <v>12</v>
      </c>
      <c r="E13" t="s">
        <v>25</v>
      </c>
      <c r="H13" t="s">
        <v>25</v>
      </c>
      <c r="L13" t="s">
        <v>25</v>
      </c>
      <c r="Q13" t="s">
        <v>25</v>
      </c>
      <c r="U13" t="s">
        <v>25</v>
      </c>
      <c r="V13" s="22"/>
      <c r="W13" s="22"/>
      <c r="X13" s="22" t="s">
        <v>25</v>
      </c>
      <c r="Y13" s="22"/>
      <c r="Z13" s="22"/>
      <c r="AA13" s="22"/>
      <c r="AB13" s="22"/>
      <c r="AC13" s="22"/>
      <c r="AD13" s="22"/>
      <c r="AE13" s="22"/>
      <c r="AF13" s="51" t="s">
        <v>438</v>
      </c>
      <c r="AG13" s="54"/>
      <c r="AI13" s="21" t="s">
        <v>342</v>
      </c>
      <c r="AJ13" s="21" t="s">
        <v>342</v>
      </c>
      <c r="AK13" s="51" t="s">
        <v>380</v>
      </c>
      <c r="AL13" s="1" t="s">
        <v>52</v>
      </c>
      <c r="AM13" s="1" t="s">
        <v>52</v>
      </c>
      <c r="AN13" s="4" t="s">
        <v>63</v>
      </c>
      <c r="AO13" s="4" t="s">
        <v>64</v>
      </c>
      <c r="AP13" s="4" t="s">
        <v>65</v>
      </c>
      <c r="AQ13" s="4" t="s">
        <v>66</v>
      </c>
      <c r="AR13">
        <v>79</v>
      </c>
      <c r="AS13">
        <v>6</v>
      </c>
      <c r="AT13" s="7">
        <v>1986</v>
      </c>
      <c r="AU13" s="3" t="s">
        <v>67</v>
      </c>
      <c r="AV13" s="4" t="s">
        <v>353</v>
      </c>
      <c r="AY13" s="3" t="s">
        <v>25</v>
      </c>
      <c r="AZ13" s="33" t="s">
        <v>25</v>
      </c>
      <c r="BA13" s="33" t="s">
        <v>25</v>
      </c>
    </row>
    <row r="14" spans="1:53" ht="51.5" x14ac:dyDescent="0.4">
      <c r="A14" s="14">
        <v>13</v>
      </c>
      <c r="I14" t="s">
        <v>25</v>
      </c>
      <c r="K14" t="s">
        <v>25</v>
      </c>
      <c r="Q14" t="s">
        <v>25</v>
      </c>
      <c r="T14" t="s">
        <v>25</v>
      </c>
      <c r="V14" s="22"/>
      <c r="W14" s="22"/>
      <c r="X14" s="22"/>
      <c r="Y14" s="22" t="s">
        <v>25</v>
      </c>
      <c r="Z14" s="22"/>
      <c r="AA14" s="22"/>
      <c r="AB14" s="22"/>
      <c r="AC14" s="22"/>
      <c r="AD14" s="22"/>
      <c r="AE14" s="22"/>
      <c r="AF14" s="51" t="s">
        <v>439</v>
      </c>
      <c r="AG14" s="54"/>
      <c r="AH14" s="21" t="s">
        <v>341</v>
      </c>
      <c r="AI14" s="21" t="s">
        <v>342</v>
      </c>
      <c r="AJ14" s="21" t="s">
        <v>341</v>
      </c>
      <c r="AK14" s="51" t="s">
        <v>381</v>
      </c>
      <c r="AL14" s="1" t="s">
        <v>52</v>
      </c>
      <c r="AM14" s="1" t="s">
        <v>19</v>
      </c>
      <c r="AN14" s="4" t="s">
        <v>68</v>
      </c>
      <c r="AO14" s="4" t="s">
        <v>69</v>
      </c>
      <c r="AP14" s="4" t="s">
        <v>70</v>
      </c>
      <c r="AQ14" s="4" t="s">
        <v>71</v>
      </c>
      <c r="AR14">
        <v>78</v>
      </c>
      <c r="AS14">
        <v>4</v>
      </c>
      <c r="AT14" s="7">
        <v>1986</v>
      </c>
      <c r="AU14" s="3" t="s">
        <v>72</v>
      </c>
      <c r="AV14" s="4" t="s">
        <v>359</v>
      </c>
      <c r="AY14" s="3" t="s">
        <v>25</v>
      </c>
      <c r="AZ14" s="33" t="s">
        <v>25</v>
      </c>
      <c r="BA14" s="33" t="s">
        <v>25</v>
      </c>
    </row>
    <row r="15" spans="1:53" ht="39" x14ac:dyDescent="0.4">
      <c r="A15" s="14">
        <v>14</v>
      </c>
      <c r="V15" s="22"/>
      <c r="W15" s="22"/>
      <c r="X15" s="22"/>
      <c r="Y15" s="22"/>
      <c r="Z15" s="22"/>
      <c r="AA15" s="22"/>
      <c r="AB15" s="22"/>
      <c r="AC15" s="22"/>
      <c r="AD15" s="22" t="s">
        <v>25</v>
      </c>
      <c r="AE15" s="22"/>
      <c r="AF15" s="51" t="s">
        <v>437</v>
      </c>
      <c r="AG15" s="54"/>
      <c r="AH15" s="21" t="s">
        <v>342</v>
      </c>
      <c r="AI15" s="21" t="s">
        <v>341</v>
      </c>
      <c r="AJ15" s="21" t="s">
        <v>342</v>
      </c>
      <c r="AK15" s="51" t="s">
        <v>382</v>
      </c>
      <c r="AL15" s="1" t="s">
        <v>29</v>
      </c>
      <c r="AM15" s="1" t="s">
        <v>51</v>
      </c>
      <c r="AN15" s="4" t="s">
        <v>73</v>
      </c>
      <c r="AO15" s="4" t="s">
        <v>74</v>
      </c>
      <c r="AP15" s="4" t="s">
        <v>75</v>
      </c>
      <c r="AQ15" s="4" t="s">
        <v>66</v>
      </c>
      <c r="AR15">
        <v>84</v>
      </c>
      <c r="AS15">
        <v>3</v>
      </c>
      <c r="AT15" s="7">
        <v>1991</v>
      </c>
      <c r="AU15" s="3" t="s">
        <v>76</v>
      </c>
      <c r="AV15" s="4" t="s">
        <v>356</v>
      </c>
      <c r="AY15" s="3" t="s">
        <v>25</v>
      </c>
      <c r="AZ15" s="33" t="s">
        <v>25</v>
      </c>
      <c r="BA15" s="33" t="s">
        <v>25</v>
      </c>
    </row>
    <row r="16" spans="1:53" ht="64" x14ac:dyDescent="0.4">
      <c r="A16" s="14">
        <v>15</v>
      </c>
      <c r="G16" t="s">
        <v>25</v>
      </c>
      <c r="L16" t="s">
        <v>25</v>
      </c>
      <c r="P16" t="s">
        <v>25</v>
      </c>
      <c r="Q16" t="s">
        <v>25</v>
      </c>
      <c r="U16" t="s">
        <v>25</v>
      </c>
      <c r="V16" s="22"/>
      <c r="W16" s="22"/>
      <c r="X16" s="22" t="s">
        <v>25</v>
      </c>
      <c r="Y16" s="22"/>
      <c r="Z16" s="22"/>
      <c r="AA16" s="22"/>
      <c r="AB16" s="22"/>
      <c r="AC16" s="22"/>
      <c r="AD16" s="22"/>
      <c r="AE16" s="22"/>
      <c r="AF16" s="51" t="s">
        <v>440</v>
      </c>
      <c r="AG16" s="54"/>
      <c r="AH16" s="21" t="s">
        <v>342</v>
      </c>
      <c r="AI16" s="21" t="s">
        <v>341</v>
      </c>
      <c r="AJ16" s="21" t="s">
        <v>341</v>
      </c>
      <c r="AK16" s="51" t="s">
        <v>480</v>
      </c>
      <c r="AL16" s="1" t="s">
        <v>19</v>
      </c>
      <c r="AM16" s="1" t="s">
        <v>19</v>
      </c>
      <c r="AN16" s="4" t="s">
        <v>77</v>
      </c>
      <c r="AO16" s="4" t="s">
        <v>78</v>
      </c>
      <c r="AP16" s="4" t="s">
        <v>79</v>
      </c>
      <c r="AQ16" s="4" t="s">
        <v>80</v>
      </c>
      <c r="AR16">
        <v>27</v>
      </c>
      <c r="AS16">
        <v>3</v>
      </c>
      <c r="AT16" s="7" t="s">
        <v>81</v>
      </c>
      <c r="AU16" s="3" t="s">
        <v>82</v>
      </c>
      <c r="AV16" s="4" t="s">
        <v>352</v>
      </c>
      <c r="AY16" s="3" t="s">
        <v>25</v>
      </c>
      <c r="AZ16" s="33" t="s">
        <v>25</v>
      </c>
      <c r="BA16" s="33" t="s">
        <v>25</v>
      </c>
    </row>
    <row r="17" spans="1:53" ht="51.5" x14ac:dyDescent="0.4">
      <c r="A17" s="14">
        <v>16</v>
      </c>
      <c r="D17" t="s">
        <v>25</v>
      </c>
      <c r="K17" t="s">
        <v>25</v>
      </c>
      <c r="N17" t="s">
        <v>25</v>
      </c>
      <c r="Q17" t="s">
        <v>25</v>
      </c>
      <c r="T17" t="s">
        <v>25</v>
      </c>
      <c r="V17" s="22"/>
      <c r="W17" s="22"/>
      <c r="X17" s="22"/>
      <c r="Y17" s="22"/>
      <c r="Z17" s="22"/>
      <c r="AA17" s="22"/>
      <c r="AB17" s="22" t="s">
        <v>25</v>
      </c>
      <c r="AC17" s="22" t="s">
        <v>25</v>
      </c>
      <c r="AD17" s="22"/>
      <c r="AE17" s="22"/>
      <c r="AF17" s="51" t="s">
        <v>441</v>
      </c>
      <c r="AG17" s="54"/>
      <c r="AH17" s="21" t="s">
        <v>342</v>
      </c>
      <c r="AI17" s="21" t="s">
        <v>342</v>
      </c>
      <c r="AJ17" s="21" t="s">
        <v>341</v>
      </c>
      <c r="AK17" s="51" t="s">
        <v>383</v>
      </c>
      <c r="AL17" s="1" t="s">
        <v>29</v>
      </c>
      <c r="AM17" s="1" t="s">
        <v>52</v>
      </c>
      <c r="AN17" s="4" t="s">
        <v>83</v>
      </c>
      <c r="AO17" s="4" t="s">
        <v>84</v>
      </c>
      <c r="AP17" s="4" t="s">
        <v>85</v>
      </c>
      <c r="AQ17" s="4" t="s">
        <v>66</v>
      </c>
      <c r="AR17">
        <v>78</v>
      </c>
      <c r="AS17">
        <v>2</v>
      </c>
      <c r="AT17" s="7" t="s">
        <v>86</v>
      </c>
      <c r="AU17" s="3" t="s">
        <v>87</v>
      </c>
      <c r="AV17" s="4" t="s">
        <v>355</v>
      </c>
      <c r="AY17" s="33" t="s">
        <v>25</v>
      </c>
      <c r="AZ17" s="33" t="s">
        <v>25</v>
      </c>
      <c r="BA17" s="33" t="s">
        <v>25</v>
      </c>
    </row>
    <row r="18" spans="1:53" ht="39" x14ac:dyDescent="0.4">
      <c r="A18" s="14">
        <v>17</v>
      </c>
      <c r="E18" t="s">
        <v>25</v>
      </c>
      <c r="H18" t="s">
        <v>25</v>
      </c>
      <c r="L18" t="s">
        <v>25</v>
      </c>
      <c r="P18" t="s">
        <v>25</v>
      </c>
      <c r="Q18" t="s">
        <v>25</v>
      </c>
      <c r="T18" t="s">
        <v>25</v>
      </c>
      <c r="V18" s="22"/>
      <c r="W18" s="22"/>
      <c r="X18" s="22"/>
      <c r="Y18" s="22"/>
      <c r="Z18" s="22"/>
      <c r="AA18" s="22"/>
      <c r="AB18" s="22" t="s">
        <v>25</v>
      </c>
      <c r="AC18" s="22"/>
      <c r="AD18" s="22"/>
      <c r="AE18" s="22"/>
      <c r="AF18" s="51" t="s">
        <v>437</v>
      </c>
      <c r="AG18" s="54"/>
      <c r="AH18" s="21" t="s">
        <v>341</v>
      </c>
      <c r="AI18" s="21" t="s">
        <v>341</v>
      </c>
      <c r="AJ18" s="21" t="s">
        <v>341</v>
      </c>
      <c r="AK18" s="51" t="s">
        <v>384</v>
      </c>
      <c r="AL18" s="1" t="s">
        <v>20</v>
      </c>
      <c r="AM18" s="1" t="s">
        <v>19</v>
      </c>
      <c r="AN18" s="4" t="s">
        <v>88</v>
      </c>
      <c r="AO18" s="4" t="s">
        <v>31</v>
      </c>
      <c r="AP18" s="4" t="s">
        <v>89</v>
      </c>
      <c r="AQ18" s="4" t="s">
        <v>66</v>
      </c>
      <c r="AR18">
        <v>88</v>
      </c>
      <c r="AS18">
        <v>3</v>
      </c>
      <c r="AT18" s="7" t="s">
        <v>90</v>
      </c>
      <c r="AU18" s="3" t="s">
        <v>91</v>
      </c>
      <c r="AV18" s="4" t="s">
        <v>353</v>
      </c>
      <c r="AY18" s="3" t="s">
        <v>25</v>
      </c>
      <c r="AZ18" s="33" t="s">
        <v>25</v>
      </c>
      <c r="BA18" s="33" t="s">
        <v>25</v>
      </c>
    </row>
    <row r="19" spans="1:53" ht="51.5" x14ac:dyDescent="0.4">
      <c r="A19" s="14">
        <v>18</v>
      </c>
      <c r="I19" t="s">
        <v>25</v>
      </c>
      <c r="K19" t="s">
        <v>25</v>
      </c>
      <c r="P19" t="s">
        <v>25</v>
      </c>
      <c r="Q19" t="s">
        <v>25</v>
      </c>
      <c r="T19" t="s">
        <v>25</v>
      </c>
      <c r="V19" s="22"/>
      <c r="W19" s="22"/>
      <c r="X19" s="22"/>
      <c r="Y19" s="22"/>
      <c r="Z19" s="22"/>
      <c r="AA19" s="22"/>
      <c r="AB19" s="22"/>
      <c r="AC19" s="22" t="s">
        <v>25</v>
      </c>
      <c r="AD19" s="22"/>
      <c r="AE19" s="22"/>
      <c r="AF19" s="51" t="s">
        <v>437</v>
      </c>
      <c r="AG19" s="54"/>
      <c r="AH19" s="21" t="s">
        <v>342</v>
      </c>
      <c r="AI19" s="21" t="s">
        <v>342</v>
      </c>
      <c r="AJ19" s="21" t="s">
        <v>342</v>
      </c>
      <c r="AK19" s="51" t="s">
        <v>385</v>
      </c>
      <c r="AL19" s="1" t="s">
        <v>19</v>
      </c>
      <c r="AM19" s="1" t="s">
        <v>92</v>
      </c>
      <c r="AN19" s="4" t="s">
        <v>94</v>
      </c>
      <c r="AO19" s="4" t="s">
        <v>93</v>
      </c>
      <c r="AP19" s="4" t="s">
        <v>95</v>
      </c>
      <c r="AQ19" s="4" t="s">
        <v>96</v>
      </c>
      <c r="AR19">
        <v>37</v>
      </c>
      <c r="AS19">
        <v>4</v>
      </c>
      <c r="AT19" s="7" t="s">
        <v>97</v>
      </c>
      <c r="AU19" s="1" t="s">
        <v>98</v>
      </c>
      <c r="AV19" s="4" t="s">
        <v>360</v>
      </c>
      <c r="AY19" s="3" t="s">
        <v>25</v>
      </c>
      <c r="AZ19" s="33" t="s">
        <v>25</v>
      </c>
      <c r="BA19" s="33" t="s">
        <v>25</v>
      </c>
    </row>
    <row r="20" spans="1:53" ht="39" x14ac:dyDescent="0.4">
      <c r="A20" s="14">
        <v>19</v>
      </c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51" t="s">
        <v>442</v>
      </c>
      <c r="AG20" s="54"/>
      <c r="AH20" s="21" t="s">
        <v>341</v>
      </c>
      <c r="AI20" s="21" t="s">
        <v>342</v>
      </c>
      <c r="AJ20" s="21" t="s">
        <v>342</v>
      </c>
      <c r="AK20" s="51" t="s">
        <v>386</v>
      </c>
      <c r="AL20" s="1" t="s">
        <v>46</v>
      </c>
      <c r="AM20" s="1" t="s">
        <v>20</v>
      </c>
      <c r="AN20" s="4" t="s">
        <v>99</v>
      </c>
      <c r="AO20" s="4" t="s">
        <v>100</v>
      </c>
      <c r="AP20" s="4" t="s">
        <v>101</v>
      </c>
      <c r="AQ20" s="4" t="s">
        <v>102</v>
      </c>
      <c r="AR20">
        <v>30</v>
      </c>
      <c r="AS20">
        <v>1</v>
      </c>
      <c r="AT20" s="7">
        <v>1998</v>
      </c>
      <c r="AU20" s="3" t="s">
        <v>103</v>
      </c>
      <c r="AV20" s="4" t="s">
        <v>356</v>
      </c>
      <c r="AW20" s="9" t="s">
        <v>25</v>
      </c>
      <c r="AY20" s="3" t="s">
        <v>25</v>
      </c>
      <c r="AZ20" s="33" t="s">
        <v>25</v>
      </c>
      <c r="BA20" s="33" t="s">
        <v>25</v>
      </c>
    </row>
    <row r="21" spans="1:53" ht="89" x14ac:dyDescent="0.4">
      <c r="A21" s="14">
        <v>20</v>
      </c>
      <c r="G21" t="s">
        <v>25</v>
      </c>
      <c r="L21" t="s">
        <v>25</v>
      </c>
      <c r="Q21" t="s">
        <v>25</v>
      </c>
      <c r="T21" t="s">
        <v>25</v>
      </c>
      <c r="V21" s="22"/>
      <c r="W21" s="22"/>
      <c r="X21" s="22" t="s">
        <v>25</v>
      </c>
      <c r="Y21" s="22" t="s">
        <v>25</v>
      </c>
      <c r="Z21" s="22"/>
      <c r="AA21" s="22"/>
      <c r="AB21" s="22"/>
      <c r="AC21" s="22"/>
      <c r="AD21" s="22"/>
      <c r="AE21" s="22"/>
      <c r="AF21" s="51" t="s">
        <v>443</v>
      </c>
      <c r="AG21" s="54"/>
      <c r="AH21" s="21" t="s">
        <v>341</v>
      </c>
      <c r="AI21" s="21" t="s">
        <v>341</v>
      </c>
      <c r="AJ21" s="21" t="s">
        <v>341</v>
      </c>
      <c r="AK21" s="51" t="s">
        <v>387</v>
      </c>
      <c r="AL21" s="1" t="s">
        <v>19</v>
      </c>
      <c r="AM21" s="1" t="s">
        <v>52</v>
      </c>
      <c r="AN21" s="4" t="s">
        <v>104</v>
      </c>
      <c r="AO21" s="4" t="s">
        <v>105</v>
      </c>
      <c r="AP21" s="4" t="s">
        <v>106</v>
      </c>
      <c r="AQ21" s="4" t="s">
        <v>107</v>
      </c>
      <c r="AR21">
        <v>16</v>
      </c>
      <c r="AS21">
        <v>1</v>
      </c>
      <c r="AT21" s="7">
        <v>1992</v>
      </c>
      <c r="AU21" s="1" t="s">
        <v>113</v>
      </c>
      <c r="AV21" s="4" t="s">
        <v>357</v>
      </c>
      <c r="AY21" s="3" t="s">
        <v>25</v>
      </c>
      <c r="AZ21" s="33" t="s">
        <v>25</v>
      </c>
      <c r="BA21" s="33" t="s">
        <v>25</v>
      </c>
    </row>
    <row r="22" spans="1:53" ht="39" x14ac:dyDescent="0.4">
      <c r="A22" s="14">
        <v>21</v>
      </c>
      <c r="N22" t="s">
        <v>25</v>
      </c>
      <c r="O22" t="s">
        <v>25</v>
      </c>
      <c r="Q22" t="s">
        <v>25</v>
      </c>
      <c r="T22" t="s">
        <v>25</v>
      </c>
      <c r="V22" s="22"/>
      <c r="W22" s="22"/>
      <c r="X22" s="22"/>
      <c r="Y22" s="22"/>
      <c r="Z22" s="22" t="s">
        <v>25</v>
      </c>
      <c r="AA22" s="22"/>
      <c r="AB22" s="22"/>
      <c r="AC22" s="22"/>
      <c r="AD22" s="22"/>
      <c r="AE22" s="22"/>
      <c r="AF22" s="51" t="s">
        <v>444</v>
      </c>
      <c r="AG22" s="54"/>
      <c r="AH22" s="21" t="s">
        <v>342</v>
      </c>
      <c r="AI22" s="21" t="s">
        <v>342</v>
      </c>
      <c r="AJ22" s="21" t="s">
        <v>341</v>
      </c>
      <c r="AK22" s="51" t="s">
        <v>388</v>
      </c>
      <c r="AL22" s="1" t="s">
        <v>19</v>
      </c>
      <c r="AM22" s="1" t="s">
        <v>108</v>
      </c>
      <c r="AN22" s="4" t="s">
        <v>109</v>
      </c>
      <c r="AO22" s="4" t="s">
        <v>110</v>
      </c>
      <c r="AP22" s="4" t="s">
        <v>111</v>
      </c>
      <c r="AQ22" s="4" t="s">
        <v>6</v>
      </c>
      <c r="AR22">
        <v>22</v>
      </c>
      <c r="AS22">
        <v>3</v>
      </c>
      <c r="AT22" s="7" t="s">
        <v>17</v>
      </c>
      <c r="AU22" s="3" t="s">
        <v>112</v>
      </c>
      <c r="AV22" s="4" t="s">
        <v>355</v>
      </c>
      <c r="AY22" s="33" t="s">
        <v>25</v>
      </c>
      <c r="AZ22" s="33" t="s">
        <v>25</v>
      </c>
      <c r="BA22" s="33" t="s">
        <v>25</v>
      </c>
    </row>
    <row r="23" spans="1:53" s="39" customFormat="1" x14ac:dyDescent="0.4">
      <c r="A23" s="49">
        <v>22</v>
      </c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52"/>
      <c r="AG23" s="54"/>
      <c r="AH23" s="41"/>
      <c r="AI23" s="41"/>
      <c r="AJ23" s="41"/>
      <c r="AK23" s="52"/>
      <c r="AL23" s="45"/>
      <c r="AM23" s="45"/>
      <c r="AN23" s="46"/>
      <c r="AO23" s="46"/>
      <c r="AP23" s="46"/>
      <c r="AQ23" s="46"/>
      <c r="AT23" s="47"/>
      <c r="AU23" s="42"/>
      <c r="AV23" s="46"/>
      <c r="AW23" s="43"/>
      <c r="AX23" s="44" t="s">
        <v>118</v>
      </c>
      <c r="AY23" s="42"/>
      <c r="AZ23" s="42"/>
      <c r="BA23" s="42"/>
    </row>
    <row r="24" spans="1:53" ht="64" x14ac:dyDescent="0.4">
      <c r="A24" s="14">
        <v>23</v>
      </c>
      <c r="C24" t="s">
        <v>25</v>
      </c>
      <c r="D24" t="s">
        <v>25</v>
      </c>
      <c r="L24" t="s">
        <v>25</v>
      </c>
      <c r="P24" t="s">
        <v>25</v>
      </c>
      <c r="Q24" t="s">
        <v>25</v>
      </c>
      <c r="T24" t="s">
        <v>25</v>
      </c>
      <c r="V24" s="22"/>
      <c r="W24" s="22" t="s">
        <v>25</v>
      </c>
      <c r="X24" s="22" t="s">
        <v>25</v>
      </c>
      <c r="Y24" s="22" t="s">
        <v>25</v>
      </c>
      <c r="Z24" s="22" t="s">
        <v>25</v>
      </c>
      <c r="AA24" s="22" t="s">
        <v>25</v>
      </c>
      <c r="AB24" s="22"/>
      <c r="AC24" s="22"/>
      <c r="AD24" s="22"/>
      <c r="AE24" s="22"/>
      <c r="AG24" s="54"/>
      <c r="AH24" s="21" t="s">
        <v>341</v>
      </c>
      <c r="AI24" s="21" t="s">
        <v>342</v>
      </c>
      <c r="AJ24" s="21" t="s">
        <v>341</v>
      </c>
      <c r="AL24" s="1" t="s">
        <v>29</v>
      </c>
      <c r="AM24" s="1" t="s">
        <v>19</v>
      </c>
      <c r="AN24" s="4" t="s">
        <v>114</v>
      </c>
      <c r="AO24" s="4" t="s">
        <v>115</v>
      </c>
      <c r="AP24" s="4" t="s">
        <v>116</v>
      </c>
      <c r="AQ24" s="4" t="s">
        <v>6</v>
      </c>
      <c r="AR24">
        <v>16</v>
      </c>
      <c r="AS24">
        <v>4</v>
      </c>
      <c r="AT24" s="7">
        <v>1981</v>
      </c>
      <c r="AU24" s="1" t="s">
        <v>117</v>
      </c>
      <c r="AV24" s="4" t="s">
        <v>354</v>
      </c>
      <c r="AY24" s="3" t="s">
        <v>25</v>
      </c>
      <c r="AZ24" s="33" t="s">
        <v>25</v>
      </c>
      <c r="BA24" s="33" t="s">
        <v>25</v>
      </c>
    </row>
    <row r="25" spans="1:53" ht="26.5" x14ac:dyDescent="0.4">
      <c r="A25" s="14">
        <v>24</v>
      </c>
      <c r="V25" s="22"/>
      <c r="W25" s="22"/>
      <c r="X25" s="22"/>
      <c r="Y25" s="22" t="s">
        <v>25</v>
      </c>
      <c r="Z25" s="22"/>
      <c r="AA25" s="22"/>
      <c r="AB25" s="22"/>
      <c r="AC25" s="22"/>
      <c r="AD25" s="22"/>
      <c r="AE25" s="22"/>
      <c r="AF25" s="51" t="s">
        <v>445</v>
      </c>
      <c r="AG25" s="54"/>
      <c r="AH25" s="21" t="s">
        <v>342</v>
      </c>
      <c r="AI25" s="21" t="s">
        <v>46</v>
      </c>
      <c r="AJ25" s="21" t="s">
        <v>342</v>
      </c>
      <c r="AK25" s="51" t="s">
        <v>389</v>
      </c>
      <c r="AL25" s="1" t="s">
        <v>52</v>
      </c>
      <c r="AM25" s="1" t="s">
        <v>29</v>
      </c>
      <c r="AN25" s="4" t="s">
        <v>119</v>
      </c>
      <c r="AO25" s="4" t="s">
        <v>120</v>
      </c>
      <c r="AP25" s="4" t="s">
        <v>121</v>
      </c>
      <c r="AQ25" s="4" t="s">
        <v>122</v>
      </c>
      <c r="AR25">
        <v>12</v>
      </c>
      <c r="AT25" s="7">
        <v>1983</v>
      </c>
      <c r="AU25" s="1" t="s">
        <v>123</v>
      </c>
      <c r="AV25" s="4" t="s">
        <v>356</v>
      </c>
      <c r="AY25" s="3" t="s">
        <v>25</v>
      </c>
      <c r="AZ25" s="33" t="s">
        <v>25</v>
      </c>
      <c r="BA25" s="33" t="s">
        <v>25</v>
      </c>
    </row>
    <row r="26" spans="1:53" ht="39" x14ac:dyDescent="0.4">
      <c r="A26" s="14">
        <v>25</v>
      </c>
      <c r="V26" s="22"/>
      <c r="W26" s="22"/>
      <c r="X26" s="22"/>
      <c r="Y26" s="22"/>
      <c r="Z26" s="22"/>
      <c r="AA26" s="22"/>
      <c r="AB26" s="22"/>
      <c r="AC26" s="22"/>
      <c r="AD26" s="22"/>
      <c r="AE26" s="22" t="s">
        <v>337</v>
      </c>
      <c r="AF26" s="51" t="s">
        <v>446</v>
      </c>
      <c r="AG26" s="54"/>
      <c r="AH26" s="21" t="s">
        <v>342</v>
      </c>
      <c r="AI26" s="21" t="s">
        <v>341</v>
      </c>
      <c r="AJ26" s="21" t="s">
        <v>341</v>
      </c>
      <c r="AK26" s="51" t="s">
        <v>390</v>
      </c>
      <c r="AL26" s="1" t="s">
        <v>52</v>
      </c>
      <c r="AM26" s="1" t="s">
        <v>29</v>
      </c>
      <c r="AN26" s="4" t="s">
        <v>124</v>
      </c>
      <c r="AO26" s="4" t="s">
        <v>125</v>
      </c>
      <c r="AP26" s="4" t="s">
        <v>126</v>
      </c>
      <c r="AQ26" s="4" t="s">
        <v>6</v>
      </c>
      <c r="AR26">
        <v>21</v>
      </c>
      <c r="AS26">
        <v>2</v>
      </c>
      <c r="AT26" s="7">
        <v>1986</v>
      </c>
      <c r="AU26" s="3" t="s">
        <v>127</v>
      </c>
      <c r="AV26" s="4" t="s">
        <v>358</v>
      </c>
      <c r="AY26" s="3" t="s">
        <v>25</v>
      </c>
      <c r="AZ26" s="33" t="s">
        <v>25</v>
      </c>
      <c r="BA26" s="33" t="s">
        <v>25</v>
      </c>
    </row>
    <row r="27" spans="1:53" ht="51.5" x14ac:dyDescent="0.4">
      <c r="A27" s="14">
        <v>26</v>
      </c>
      <c r="V27" s="22"/>
      <c r="W27" s="22" t="s">
        <v>25</v>
      </c>
      <c r="X27" s="22"/>
      <c r="Y27" s="22"/>
      <c r="Z27" s="22" t="s">
        <v>25</v>
      </c>
      <c r="AA27" s="22"/>
      <c r="AB27" s="22"/>
      <c r="AC27" s="22"/>
      <c r="AD27" s="22"/>
      <c r="AE27" s="22"/>
      <c r="AG27" s="54"/>
      <c r="AH27" s="21" t="s">
        <v>342</v>
      </c>
      <c r="AI27" s="21" t="s">
        <v>342</v>
      </c>
      <c r="AJ27" s="21" t="s">
        <v>341</v>
      </c>
      <c r="AK27" s="51" t="s">
        <v>391</v>
      </c>
      <c r="AL27" s="1" t="s">
        <v>19</v>
      </c>
      <c r="AM27" s="1" t="s">
        <v>20</v>
      </c>
      <c r="AN27" s="4" t="s">
        <v>128</v>
      </c>
      <c r="AO27" s="4" t="s">
        <v>129</v>
      </c>
      <c r="AP27" s="4" t="s">
        <v>130</v>
      </c>
      <c r="AQ27" s="4" t="s">
        <v>131</v>
      </c>
      <c r="AR27">
        <v>90</v>
      </c>
      <c r="AS27">
        <v>5</v>
      </c>
      <c r="AT27" s="7">
        <v>1990</v>
      </c>
      <c r="AU27" s="3" t="s">
        <v>132</v>
      </c>
      <c r="AV27" s="4" t="s">
        <v>355</v>
      </c>
      <c r="AW27" s="9" t="s">
        <v>25</v>
      </c>
      <c r="AY27" s="33" t="s">
        <v>25</v>
      </c>
      <c r="AZ27" s="33" t="s">
        <v>25</v>
      </c>
      <c r="BA27" s="33" t="s">
        <v>25</v>
      </c>
    </row>
    <row r="28" spans="1:53" ht="26.5" x14ac:dyDescent="0.4">
      <c r="A28" s="14">
        <v>27</v>
      </c>
      <c r="V28" s="22"/>
      <c r="W28" s="22"/>
      <c r="X28" s="22"/>
      <c r="Y28" s="22" t="s">
        <v>25</v>
      </c>
      <c r="Z28" s="22"/>
      <c r="AA28" s="22"/>
      <c r="AB28" s="22"/>
      <c r="AC28" s="22"/>
      <c r="AD28" s="22"/>
      <c r="AE28" s="22"/>
      <c r="AF28" s="51" t="s">
        <v>447</v>
      </c>
      <c r="AG28" s="54"/>
      <c r="AH28" s="21" t="s">
        <v>342</v>
      </c>
      <c r="AI28" s="21" t="s">
        <v>46</v>
      </c>
      <c r="AJ28" s="21" t="s">
        <v>342</v>
      </c>
      <c r="AK28" s="51" t="s">
        <v>392</v>
      </c>
      <c r="AL28" s="1" t="s">
        <v>52</v>
      </c>
      <c r="AM28" s="1" t="s">
        <v>52</v>
      </c>
      <c r="AN28" s="4" t="s">
        <v>133</v>
      </c>
      <c r="AO28" s="4" t="s">
        <v>134</v>
      </c>
      <c r="AP28" s="4" t="s">
        <v>135</v>
      </c>
      <c r="AQ28" s="4" t="s">
        <v>6</v>
      </c>
      <c r="AR28">
        <v>21</v>
      </c>
      <c r="AS28">
        <v>4</v>
      </c>
      <c r="AT28" s="7" t="s">
        <v>11</v>
      </c>
      <c r="AU28" s="3" t="s">
        <v>136</v>
      </c>
      <c r="AV28" s="4" t="s">
        <v>353</v>
      </c>
      <c r="AY28" s="33" t="s">
        <v>25</v>
      </c>
      <c r="AZ28" s="33" t="s">
        <v>25</v>
      </c>
      <c r="BA28" s="33" t="s">
        <v>25</v>
      </c>
    </row>
    <row r="29" spans="1:53" ht="51.5" x14ac:dyDescent="0.4">
      <c r="A29" s="14">
        <v>28</v>
      </c>
      <c r="F29" t="s">
        <v>25</v>
      </c>
      <c r="G29" t="s">
        <v>25</v>
      </c>
      <c r="M29" t="s">
        <v>25</v>
      </c>
      <c r="Q29" t="s">
        <v>25</v>
      </c>
      <c r="U29" t="s">
        <v>25</v>
      </c>
      <c r="V29" s="22"/>
      <c r="W29" s="22" t="s">
        <v>25</v>
      </c>
      <c r="X29" s="22" t="s">
        <v>25</v>
      </c>
      <c r="Y29" s="22"/>
      <c r="Z29" s="22"/>
      <c r="AA29" s="22"/>
      <c r="AB29" s="22"/>
      <c r="AC29" s="22"/>
      <c r="AD29" s="22"/>
      <c r="AE29" s="22"/>
      <c r="AF29" s="51" t="s">
        <v>448</v>
      </c>
      <c r="AG29" s="54"/>
      <c r="AH29" s="21" t="s">
        <v>342</v>
      </c>
      <c r="AI29" s="21" t="s">
        <v>46</v>
      </c>
      <c r="AJ29" s="21" t="s">
        <v>341</v>
      </c>
      <c r="AK29" s="51" t="s">
        <v>393</v>
      </c>
      <c r="AL29" s="1" t="s">
        <v>19</v>
      </c>
      <c r="AM29" s="1" t="s">
        <v>20</v>
      </c>
      <c r="AN29" s="4" t="s">
        <v>347</v>
      </c>
      <c r="AO29" s="4" t="s">
        <v>137</v>
      </c>
      <c r="AP29" s="4" t="s">
        <v>138</v>
      </c>
      <c r="AQ29" s="4" t="s">
        <v>6</v>
      </c>
      <c r="AR29">
        <v>21</v>
      </c>
      <c r="AS29">
        <v>4</v>
      </c>
      <c r="AT29" s="7" t="s">
        <v>11</v>
      </c>
      <c r="AU29" s="3" t="s">
        <v>139</v>
      </c>
      <c r="AV29" s="4" t="s">
        <v>354</v>
      </c>
      <c r="AW29" s="9" t="s">
        <v>25</v>
      </c>
      <c r="AY29" s="33" t="s">
        <v>25</v>
      </c>
      <c r="AZ29" s="33" t="s">
        <v>25</v>
      </c>
      <c r="BA29" s="33" t="s">
        <v>25</v>
      </c>
    </row>
    <row r="30" spans="1:53" ht="51.5" x14ac:dyDescent="0.4">
      <c r="A30" s="14">
        <v>29</v>
      </c>
      <c r="V30" s="22"/>
      <c r="W30" s="22" t="s">
        <v>25</v>
      </c>
      <c r="X30" s="22" t="s">
        <v>25</v>
      </c>
      <c r="Y30" s="22" t="s">
        <v>25</v>
      </c>
      <c r="Z30" s="22"/>
      <c r="AA30" s="22"/>
      <c r="AB30" s="22"/>
      <c r="AC30" s="22"/>
      <c r="AD30" s="22"/>
      <c r="AE30" s="22"/>
      <c r="AF30" s="51" t="s">
        <v>449</v>
      </c>
      <c r="AG30" s="54"/>
      <c r="AH30" s="21" t="s">
        <v>342</v>
      </c>
      <c r="AI30" s="21" t="s">
        <v>341</v>
      </c>
      <c r="AJ30" s="21" t="s">
        <v>341</v>
      </c>
      <c r="AK30" s="51" t="s">
        <v>394</v>
      </c>
      <c r="AL30" s="1" t="s">
        <v>52</v>
      </c>
      <c r="AM30" s="1" t="s">
        <v>20</v>
      </c>
      <c r="AN30" s="4" t="s">
        <v>348</v>
      </c>
      <c r="AO30" s="4" t="s">
        <v>140</v>
      </c>
      <c r="AP30" s="4" t="s">
        <v>141</v>
      </c>
      <c r="AQ30" s="4" t="s">
        <v>142</v>
      </c>
      <c r="AR30">
        <v>6</v>
      </c>
      <c r="AS30">
        <v>1</v>
      </c>
      <c r="AT30" s="7">
        <v>1985</v>
      </c>
      <c r="AU30" s="3" t="s">
        <v>143</v>
      </c>
      <c r="AV30" s="4" t="s">
        <v>356</v>
      </c>
      <c r="AY30" s="33" t="s">
        <v>25</v>
      </c>
      <c r="AZ30" s="33" t="s">
        <v>25</v>
      </c>
      <c r="BA30" s="33" t="s">
        <v>25</v>
      </c>
    </row>
    <row r="31" spans="1:53" ht="39" x14ac:dyDescent="0.4">
      <c r="A31" s="14">
        <v>30</v>
      </c>
      <c r="K31" t="s">
        <v>25</v>
      </c>
      <c r="Q31" t="s">
        <v>25</v>
      </c>
      <c r="T31" t="s">
        <v>25</v>
      </c>
      <c r="U31" t="s">
        <v>25</v>
      </c>
      <c r="V31" s="22" t="s">
        <v>25</v>
      </c>
      <c r="W31" s="22" t="s">
        <v>25</v>
      </c>
      <c r="X31" s="22" t="s">
        <v>25</v>
      </c>
      <c r="Y31" s="22" t="s">
        <v>25</v>
      </c>
      <c r="Z31" s="22"/>
      <c r="AA31" s="22"/>
      <c r="AB31" s="22"/>
      <c r="AC31" s="22"/>
      <c r="AD31" s="22"/>
      <c r="AE31" s="22"/>
      <c r="AF31" s="51" t="s">
        <v>450</v>
      </c>
      <c r="AG31" s="54"/>
      <c r="AH31" s="21" t="s">
        <v>342</v>
      </c>
      <c r="AI31" s="21" t="s">
        <v>342</v>
      </c>
      <c r="AJ31" s="21" t="s">
        <v>341</v>
      </c>
      <c r="AK31" s="51" t="s">
        <v>395</v>
      </c>
      <c r="AL31" s="1" t="s">
        <v>19</v>
      </c>
      <c r="AM31" s="1" t="s">
        <v>19</v>
      </c>
      <c r="AN31" s="4" t="s">
        <v>144</v>
      </c>
      <c r="AO31" s="4" t="s">
        <v>145</v>
      </c>
      <c r="AP31" s="4" t="s">
        <v>146</v>
      </c>
      <c r="AQ31" s="4" t="s">
        <v>147</v>
      </c>
      <c r="AR31">
        <v>54</v>
      </c>
      <c r="AS31">
        <v>1</v>
      </c>
      <c r="AT31" s="7">
        <v>1987</v>
      </c>
      <c r="AU31" s="3" t="s">
        <v>148</v>
      </c>
      <c r="AV31" s="4" t="s">
        <v>355</v>
      </c>
      <c r="AY31" s="33" t="s">
        <v>25</v>
      </c>
      <c r="AZ31" s="33" t="s">
        <v>25</v>
      </c>
      <c r="BA31" s="33" t="s">
        <v>25</v>
      </c>
    </row>
    <row r="32" spans="1:53" ht="51.5" x14ac:dyDescent="0.4">
      <c r="A32" s="14">
        <v>31</v>
      </c>
      <c r="C32" t="s">
        <v>25</v>
      </c>
      <c r="K32" t="s">
        <v>25</v>
      </c>
      <c r="N32" t="s">
        <v>25</v>
      </c>
      <c r="P32" t="s">
        <v>25</v>
      </c>
      <c r="Q32" t="s">
        <v>25</v>
      </c>
      <c r="T32" t="s">
        <v>25</v>
      </c>
      <c r="U32" t="s">
        <v>25</v>
      </c>
      <c r="V32" s="22"/>
      <c r="W32" s="22"/>
      <c r="X32" s="22"/>
      <c r="Y32" s="22" t="s">
        <v>25</v>
      </c>
      <c r="Z32" s="22"/>
      <c r="AA32" s="22"/>
      <c r="AB32" s="22"/>
      <c r="AC32" s="22"/>
      <c r="AD32" s="22"/>
      <c r="AE32" s="22"/>
      <c r="AF32" s="51" t="s">
        <v>451</v>
      </c>
      <c r="AG32" s="54"/>
      <c r="AH32" s="21" t="s">
        <v>341</v>
      </c>
      <c r="AI32" s="21" t="s">
        <v>341</v>
      </c>
      <c r="AJ32" s="21" t="s">
        <v>341</v>
      </c>
      <c r="AK32" s="51" t="s">
        <v>396</v>
      </c>
      <c r="AL32" s="1" t="s">
        <v>20</v>
      </c>
      <c r="AM32" s="1" t="s">
        <v>20</v>
      </c>
      <c r="AN32" s="4" t="s">
        <v>149</v>
      </c>
      <c r="AO32" s="4" t="s">
        <v>150</v>
      </c>
      <c r="AP32" s="4" t="s">
        <v>151</v>
      </c>
      <c r="AQ32" s="4" t="s">
        <v>6</v>
      </c>
      <c r="AR32">
        <v>23</v>
      </c>
      <c r="AS32">
        <v>2</v>
      </c>
      <c r="AT32" s="7" t="s">
        <v>152</v>
      </c>
      <c r="AU32" s="3" t="s">
        <v>153</v>
      </c>
      <c r="AV32" s="4" t="s">
        <v>361</v>
      </c>
      <c r="AW32" s="9" t="s">
        <v>25</v>
      </c>
      <c r="AX32" s="9" t="s">
        <v>25</v>
      </c>
      <c r="AY32" s="3" t="s">
        <v>25</v>
      </c>
      <c r="AZ32" s="33" t="s">
        <v>25</v>
      </c>
      <c r="BA32" s="33" t="s">
        <v>25</v>
      </c>
    </row>
    <row r="33" spans="1:53" ht="39" x14ac:dyDescent="0.4">
      <c r="A33" s="14">
        <v>32</v>
      </c>
      <c r="I33" t="s">
        <v>25</v>
      </c>
      <c r="Q33" t="s">
        <v>25</v>
      </c>
      <c r="T33" t="s">
        <v>25</v>
      </c>
      <c r="V33" s="22" t="s">
        <v>25</v>
      </c>
      <c r="W33" s="22" t="s">
        <v>25</v>
      </c>
      <c r="X33" s="22" t="s">
        <v>25</v>
      </c>
      <c r="Y33" s="22" t="s">
        <v>25</v>
      </c>
      <c r="Z33" s="22" t="s">
        <v>25</v>
      </c>
      <c r="AA33" s="22" t="s">
        <v>25</v>
      </c>
      <c r="AB33" s="22" t="s">
        <v>25</v>
      </c>
      <c r="AC33" s="22" t="s">
        <v>25</v>
      </c>
      <c r="AD33" s="22" t="s">
        <v>25</v>
      </c>
      <c r="AE33" s="22"/>
      <c r="AG33" s="54"/>
      <c r="AH33" s="21" t="s">
        <v>341</v>
      </c>
      <c r="AI33" s="21" t="s">
        <v>341</v>
      </c>
      <c r="AJ33" s="21" t="s">
        <v>341</v>
      </c>
      <c r="AK33" s="51" t="s">
        <v>397</v>
      </c>
      <c r="AL33" s="1" t="s">
        <v>19</v>
      </c>
      <c r="AM33" s="1" t="s">
        <v>108</v>
      </c>
      <c r="AN33" s="4" t="s">
        <v>154</v>
      </c>
      <c r="AO33" s="4" t="s">
        <v>155</v>
      </c>
      <c r="AP33" s="4" t="s">
        <v>156</v>
      </c>
      <c r="AQ33" s="4" t="s">
        <v>157</v>
      </c>
      <c r="AR33">
        <v>66</v>
      </c>
      <c r="AS33">
        <v>2</v>
      </c>
      <c r="AT33" s="7" t="s">
        <v>158</v>
      </c>
      <c r="AU33" s="3" t="s">
        <v>159</v>
      </c>
      <c r="AV33" s="4" t="s">
        <v>355</v>
      </c>
      <c r="AW33" s="9" t="s">
        <v>25</v>
      </c>
      <c r="AY33" s="33" t="s">
        <v>25</v>
      </c>
      <c r="AZ33" s="33" t="s">
        <v>25</v>
      </c>
      <c r="BA33" s="33" t="s">
        <v>25</v>
      </c>
    </row>
    <row r="34" spans="1:53" ht="64" x14ac:dyDescent="0.4">
      <c r="A34" s="14">
        <v>33</v>
      </c>
      <c r="E34" t="s">
        <v>25</v>
      </c>
      <c r="H34" t="s">
        <v>25</v>
      </c>
      <c r="I34" t="s">
        <v>25</v>
      </c>
      <c r="K34" t="s">
        <v>25</v>
      </c>
      <c r="P34" t="s">
        <v>25</v>
      </c>
      <c r="R34" t="s">
        <v>25</v>
      </c>
      <c r="T34" t="s">
        <v>25</v>
      </c>
      <c r="U34" t="s">
        <v>25</v>
      </c>
      <c r="V34" s="22"/>
      <c r="W34" s="22"/>
      <c r="X34" s="22"/>
      <c r="Y34" s="22"/>
      <c r="Z34" s="22"/>
      <c r="AA34" s="22"/>
      <c r="AB34" s="22" t="s">
        <v>25</v>
      </c>
      <c r="AC34" s="22"/>
      <c r="AD34" s="22"/>
      <c r="AE34" s="22"/>
      <c r="AF34" s="51" t="s">
        <v>452</v>
      </c>
      <c r="AG34" s="54"/>
      <c r="AH34" s="21" t="s">
        <v>342</v>
      </c>
      <c r="AI34" s="21" t="s">
        <v>341</v>
      </c>
      <c r="AJ34" s="21" t="s">
        <v>341</v>
      </c>
      <c r="AK34" s="51" t="s">
        <v>391</v>
      </c>
      <c r="AL34" s="1" t="s">
        <v>20</v>
      </c>
      <c r="AM34" s="1" t="s">
        <v>20</v>
      </c>
      <c r="AN34" s="4" t="s">
        <v>160</v>
      </c>
      <c r="AO34" s="4" t="s">
        <v>161</v>
      </c>
      <c r="AP34" s="4" t="s">
        <v>162</v>
      </c>
      <c r="AQ34" s="4" t="s">
        <v>96</v>
      </c>
      <c r="AR34">
        <v>35</v>
      </c>
      <c r="AS34">
        <v>2</v>
      </c>
      <c r="AT34" s="7">
        <v>1998</v>
      </c>
      <c r="AU34" s="3" t="s">
        <v>163</v>
      </c>
      <c r="AV34" s="4" t="s">
        <v>353</v>
      </c>
      <c r="AW34" s="9" t="s">
        <v>25</v>
      </c>
      <c r="AX34" s="9" t="s">
        <v>25</v>
      </c>
      <c r="AY34" s="3" t="s">
        <v>25</v>
      </c>
      <c r="AZ34" s="33" t="s">
        <v>25</v>
      </c>
      <c r="BA34" s="33" t="s">
        <v>25</v>
      </c>
    </row>
    <row r="35" spans="1:53" ht="39" x14ac:dyDescent="0.4">
      <c r="A35" s="14">
        <v>34</v>
      </c>
      <c r="B35" t="s">
        <v>25</v>
      </c>
      <c r="C35" t="s">
        <v>25</v>
      </c>
      <c r="D35" t="s">
        <v>25</v>
      </c>
      <c r="E35" t="s">
        <v>25</v>
      </c>
      <c r="I35" t="s">
        <v>25</v>
      </c>
      <c r="K35" t="s">
        <v>25</v>
      </c>
      <c r="R35" t="s">
        <v>25</v>
      </c>
      <c r="T35" t="s">
        <v>25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51" t="s">
        <v>46</v>
      </c>
      <c r="AG35" s="54"/>
      <c r="AH35" s="21" t="s">
        <v>46</v>
      </c>
      <c r="AI35" s="21" t="s">
        <v>46</v>
      </c>
      <c r="AJ35" s="21" t="s">
        <v>342</v>
      </c>
      <c r="AK35" s="51" t="s">
        <v>391</v>
      </c>
      <c r="AL35" s="1" t="s">
        <v>19</v>
      </c>
      <c r="AM35" s="1" t="s">
        <v>164</v>
      </c>
      <c r="AN35" s="4" t="s">
        <v>165</v>
      </c>
      <c r="AO35" s="4" t="s">
        <v>155</v>
      </c>
      <c r="AP35" s="4" t="s">
        <v>166</v>
      </c>
      <c r="AQ35" s="4" t="s">
        <v>157</v>
      </c>
      <c r="AR35">
        <v>64</v>
      </c>
      <c r="AS35">
        <v>4</v>
      </c>
      <c r="AT35" s="7">
        <v>1994</v>
      </c>
      <c r="AU35" s="3" t="s">
        <v>167</v>
      </c>
      <c r="AV35" s="4" t="s">
        <v>354</v>
      </c>
      <c r="AW35" s="9" t="s">
        <v>25</v>
      </c>
      <c r="AY35" s="33" t="s">
        <v>25</v>
      </c>
      <c r="AZ35" s="33" t="s">
        <v>25</v>
      </c>
      <c r="BA35" s="33" t="s">
        <v>25</v>
      </c>
    </row>
    <row r="36" spans="1:53" ht="51.5" x14ac:dyDescent="0.4">
      <c r="A36" s="14">
        <v>35</v>
      </c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51" t="s">
        <v>46</v>
      </c>
      <c r="AG36" s="54"/>
      <c r="AK36" s="51" t="s">
        <v>398</v>
      </c>
      <c r="AL36" s="63" t="s">
        <v>168</v>
      </c>
      <c r="AM36" s="63"/>
      <c r="AN36" s="4" t="s">
        <v>169</v>
      </c>
      <c r="AO36" s="4" t="s">
        <v>170</v>
      </c>
      <c r="AP36" s="4" t="s">
        <v>171</v>
      </c>
      <c r="AQ36" s="4" t="s">
        <v>157</v>
      </c>
      <c r="AR36">
        <v>67</v>
      </c>
      <c r="AS36">
        <v>3</v>
      </c>
      <c r="AT36" s="7">
        <v>1997</v>
      </c>
      <c r="AU36" s="3" t="s">
        <v>172</v>
      </c>
      <c r="AV36" s="4" t="s">
        <v>362</v>
      </c>
      <c r="AY36" s="3" t="s">
        <v>25</v>
      </c>
      <c r="AZ36" s="32"/>
      <c r="BA36" s="32"/>
    </row>
    <row r="37" spans="1:53" ht="64" x14ac:dyDescent="0.4">
      <c r="A37" s="14">
        <v>36</v>
      </c>
      <c r="V37" s="22"/>
      <c r="W37" s="22" t="s">
        <v>25</v>
      </c>
      <c r="X37" s="22" t="s">
        <v>25</v>
      </c>
      <c r="Y37" s="22"/>
      <c r="Z37" s="22"/>
      <c r="AA37" s="22"/>
      <c r="AB37" s="22"/>
      <c r="AC37" s="22"/>
      <c r="AD37" s="22"/>
      <c r="AE37" s="22"/>
      <c r="AF37" s="51" t="s">
        <v>479</v>
      </c>
      <c r="AG37" s="54"/>
      <c r="AK37" s="51" t="s">
        <v>399</v>
      </c>
      <c r="AL37" s="1" t="s">
        <v>20</v>
      </c>
      <c r="AM37" s="1" t="s">
        <v>20</v>
      </c>
      <c r="AN37" s="4" t="s">
        <v>173</v>
      </c>
      <c r="AO37" s="4" t="s">
        <v>15</v>
      </c>
      <c r="AP37" s="4" t="s">
        <v>174</v>
      </c>
      <c r="AQ37" s="4" t="s">
        <v>6</v>
      </c>
      <c r="AR37">
        <v>26</v>
      </c>
      <c r="AS37">
        <v>4</v>
      </c>
      <c r="AT37" s="7">
        <v>1991</v>
      </c>
      <c r="AU37" s="3" t="s">
        <v>175</v>
      </c>
      <c r="AV37" s="4"/>
      <c r="AW37" s="9" t="s">
        <v>25</v>
      </c>
      <c r="AX37" s="9" t="s">
        <v>25</v>
      </c>
      <c r="AY37" s="33" t="s">
        <v>25</v>
      </c>
      <c r="AZ37" s="33" t="s">
        <v>25</v>
      </c>
      <c r="BA37" s="33" t="s">
        <v>25</v>
      </c>
    </row>
    <row r="38" spans="1:53" ht="89" x14ac:dyDescent="0.4">
      <c r="A38" s="14">
        <v>37</v>
      </c>
      <c r="G38" t="s">
        <v>25</v>
      </c>
      <c r="P38" t="s">
        <v>325</v>
      </c>
      <c r="Q38" t="s">
        <v>25</v>
      </c>
      <c r="T38" t="s">
        <v>25</v>
      </c>
      <c r="V38" s="22"/>
      <c r="W38" s="22"/>
      <c r="X38" s="22"/>
      <c r="Y38" s="22"/>
      <c r="Z38" s="22" t="s">
        <v>25</v>
      </c>
      <c r="AA38" s="22" t="s">
        <v>25</v>
      </c>
      <c r="AB38" s="22"/>
      <c r="AC38" s="22"/>
      <c r="AD38" s="22"/>
      <c r="AE38" s="22"/>
      <c r="AF38" s="51" t="s">
        <v>453</v>
      </c>
      <c r="AG38" s="54"/>
      <c r="AH38" s="21" t="s">
        <v>341</v>
      </c>
      <c r="AI38" s="21" t="s">
        <v>342</v>
      </c>
      <c r="AJ38" s="21" t="s">
        <v>341</v>
      </c>
      <c r="AK38" s="51" t="s">
        <v>481</v>
      </c>
      <c r="AL38" s="1" t="s">
        <v>52</v>
      </c>
      <c r="AM38" s="1" t="s">
        <v>92</v>
      </c>
      <c r="AN38" s="4" t="s">
        <v>176</v>
      </c>
      <c r="AO38" s="4" t="s">
        <v>177</v>
      </c>
      <c r="AP38" s="4" t="s">
        <v>178</v>
      </c>
      <c r="AQ38" s="4" t="s">
        <v>179</v>
      </c>
      <c r="AU38" s="1" t="s">
        <v>180</v>
      </c>
      <c r="AV38" s="4" t="s">
        <v>363</v>
      </c>
      <c r="AY38" s="33" t="s">
        <v>25</v>
      </c>
      <c r="AZ38" s="33" t="s">
        <v>25</v>
      </c>
      <c r="BA38" s="33" t="s">
        <v>25</v>
      </c>
    </row>
    <row r="39" spans="1:53" ht="26.5" x14ac:dyDescent="0.4">
      <c r="A39" s="14">
        <v>38</v>
      </c>
      <c r="V39" s="22"/>
      <c r="W39" s="22"/>
      <c r="X39" s="22"/>
      <c r="Y39" s="22" t="s">
        <v>25</v>
      </c>
      <c r="Z39" s="22" t="s">
        <v>25</v>
      </c>
      <c r="AA39" s="22"/>
      <c r="AB39" s="22"/>
      <c r="AC39" s="22"/>
      <c r="AD39" s="22"/>
      <c r="AE39" s="22"/>
      <c r="AF39" s="51" t="s">
        <v>454</v>
      </c>
      <c r="AG39" s="54"/>
      <c r="AH39" s="21" t="s">
        <v>342</v>
      </c>
      <c r="AI39" s="21" t="s">
        <v>46</v>
      </c>
      <c r="AJ39" s="21" t="s">
        <v>342</v>
      </c>
      <c r="AK39" s="51" t="s">
        <v>400</v>
      </c>
      <c r="AL39" s="1" t="s">
        <v>19</v>
      </c>
      <c r="AM39" s="1" t="s">
        <v>20</v>
      </c>
      <c r="AN39" s="4" t="s">
        <v>181</v>
      </c>
      <c r="AO39" s="4" t="s">
        <v>182</v>
      </c>
      <c r="AP39" s="4" t="s">
        <v>183</v>
      </c>
      <c r="AQ39" s="4" t="s">
        <v>184</v>
      </c>
      <c r="AR39">
        <v>34</v>
      </c>
      <c r="AS39">
        <v>7</v>
      </c>
      <c r="AT39" s="8" t="s">
        <v>185</v>
      </c>
      <c r="AU39" s="3" t="s">
        <v>186</v>
      </c>
      <c r="AV39" s="4" t="s">
        <v>353</v>
      </c>
      <c r="AW39" s="9" t="s">
        <v>25</v>
      </c>
      <c r="AY39" s="33" t="s">
        <v>25</v>
      </c>
      <c r="AZ39" s="33" t="s">
        <v>25</v>
      </c>
      <c r="BA39" s="33" t="s">
        <v>25</v>
      </c>
    </row>
    <row r="40" spans="1:53" ht="51.5" x14ac:dyDescent="0.4">
      <c r="A40" s="14">
        <v>39</v>
      </c>
      <c r="K40" t="s">
        <v>25</v>
      </c>
      <c r="M40" t="s">
        <v>25</v>
      </c>
      <c r="Q40" t="s">
        <v>25</v>
      </c>
      <c r="T40" t="s">
        <v>25</v>
      </c>
      <c r="V40" s="22"/>
      <c r="W40" s="22"/>
      <c r="X40" s="22"/>
      <c r="Y40" s="22" t="s">
        <v>25</v>
      </c>
      <c r="Z40" s="22"/>
      <c r="AA40" s="22"/>
      <c r="AB40" s="22"/>
      <c r="AC40" s="22"/>
      <c r="AD40" s="22"/>
      <c r="AE40" s="22"/>
      <c r="AF40" s="51" t="s">
        <v>455</v>
      </c>
      <c r="AG40" s="54"/>
      <c r="AH40" s="21" t="s">
        <v>341</v>
      </c>
      <c r="AI40" s="21" t="s">
        <v>342</v>
      </c>
      <c r="AJ40" s="21" t="s">
        <v>342</v>
      </c>
      <c r="AK40" s="51" t="s">
        <v>401</v>
      </c>
      <c r="AL40" s="1" t="s">
        <v>29</v>
      </c>
      <c r="AM40" s="1" t="s">
        <v>187</v>
      </c>
      <c r="AN40" s="4" t="s">
        <v>188</v>
      </c>
      <c r="AO40" s="4" t="s">
        <v>189</v>
      </c>
      <c r="AP40" s="4" t="s">
        <v>190</v>
      </c>
      <c r="AQ40" s="4" t="s">
        <v>191</v>
      </c>
      <c r="AR40">
        <v>18</v>
      </c>
      <c r="AS40">
        <v>4</v>
      </c>
      <c r="AT40" s="7">
        <v>1986</v>
      </c>
      <c r="AU40" s="3" t="s">
        <v>192</v>
      </c>
      <c r="AV40" s="4" t="s">
        <v>354</v>
      </c>
      <c r="AY40" s="33" t="s">
        <v>25</v>
      </c>
      <c r="AZ40" s="33" t="s">
        <v>25</v>
      </c>
      <c r="BA40" s="33" t="s">
        <v>25</v>
      </c>
    </row>
    <row r="41" spans="1:53" ht="64" x14ac:dyDescent="0.4">
      <c r="A41" s="14">
        <v>40</v>
      </c>
      <c r="V41" s="22"/>
      <c r="W41" s="22"/>
      <c r="X41" s="22"/>
      <c r="Y41" s="22" t="s">
        <v>25</v>
      </c>
      <c r="Z41" s="22"/>
      <c r="AA41" s="22"/>
      <c r="AB41" s="22"/>
      <c r="AC41" s="22"/>
      <c r="AD41" s="22"/>
      <c r="AE41" s="22"/>
      <c r="AF41" s="51" t="s">
        <v>456</v>
      </c>
      <c r="AG41" s="54"/>
      <c r="AH41" s="21" t="s">
        <v>341</v>
      </c>
      <c r="AI41" s="21" t="s">
        <v>341</v>
      </c>
      <c r="AJ41" s="21" t="s">
        <v>341</v>
      </c>
      <c r="AK41" s="51" t="s">
        <v>402</v>
      </c>
      <c r="AL41" s="1" t="s">
        <v>20</v>
      </c>
      <c r="AM41" s="1" t="s">
        <v>20</v>
      </c>
      <c r="AN41" s="4" t="s">
        <v>193</v>
      </c>
      <c r="AO41" s="4" t="s">
        <v>194</v>
      </c>
      <c r="AP41" s="4" t="s">
        <v>195</v>
      </c>
      <c r="AQ41" s="4" t="s">
        <v>6</v>
      </c>
      <c r="AR41">
        <v>21</v>
      </c>
      <c r="AS41">
        <v>2</v>
      </c>
      <c r="AT41" s="7">
        <v>1986</v>
      </c>
      <c r="AU41" s="3" t="s">
        <v>196</v>
      </c>
      <c r="AV41" s="4" t="s">
        <v>356</v>
      </c>
      <c r="AW41" s="9" t="s">
        <v>25</v>
      </c>
      <c r="AX41" s="9" t="s">
        <v>25</v>
      </c>
      <c r="AY41" s="33" t="s">
        <v>25</v>
      </c>
      <c r="AZ41" s="33" t="s">
        <v>25</v>
      </c>
      <c r="BA41" s="33" t="s">
        <v>25</v>
      </c>
    </row>
    <row r="42" spans="1:53" ht="39" x14ac:dyDescent="0.4">
      <c r="A42" s="14">
        <v>41</v>
      </c>
      <c r="D42" t="s">
        <v>25</v>
      </c>
      <c r="F42" t="s">
        <v>25</v>
      </c>
      <c r="G42" t="s">
        <v>25</v>
      </c>
      <c r="H42" t="s">
        <v>25</v>
      </c>
      <c r="Q42" t="s">
        <v>25</v>
      </c>
      <c r="R42" t="s">
        <v>25</v>
      </c>
      <c r="T42" t="s">
        <v>25</v>
      </c>
      <c r="V42" s="22"/>
      <c r="W42" s="22"/>
      <c r="X42" s="22"/>
      <c r="Y42" s="22" t="s">
        <v>25</v>
      </c>
      <c r="Z42" s="22"/>
      <c r="AA42" s="22"/>
      <c r="AB42" s="22"/>
      <c r="AC42" s="22"/>
      <c r="AD42" s="22"/>
      <c r="AE42" s="22"/>
      <c r="AF42" s="51" t="s">
        <v>457</v>
      </c>
      <c r="AG42" s="54"/>
      <c r="AH42" s="21" t="s">
        <v>342</v>
      </c>
      <c r="AI42" s="21" t="s">
        <v>341</v>
      </c>
      <c r="AJ42" s="21" t="s">
        <v>342</v>
      </c>
      <c r="AK42" s="51" t="s">
        <v>403</v>
      </c>
      <c r="AL42" s="1" t="s">
        <v>197</v>
      </c>
      <c r="AM42" s="1" t="s">
        <v>164</v>
      </c>
      <c r="AN42" s="4" t="s">
        <v>198</v>
      </c>
      <c r="AO42" s="4" t="s">
        <v>199</v>
      </c>
      <c r="AP42" s="4" t="s">
        <v>200</v>
      </c>
      <c r="AQ42" s="4" t="s">
        <v>191</v>
      </c>
      <c r="AR42">
        <v>15</v>
      </c>
      <c r="AS42">
        <v>3</v>
      </c>
      <c r="AT42" s="7">
        <v>1983</v>
      </c>
      <c r="AU42" s="1" t="s">
        <v>201</v>
      </c>
      <c r="AV42" s="4" t="s">
        <v>358</v>
      </c>
      <c r="AY42" s="33" t="s">
        <v>25</v>
      </c>
      <c r="AZ42" s="33" t="s">
        <v>25</v>
      </c>
      <c r="BA42" s="33" t="s">
        <v>25</v>
      </c>
    </row>
    <row r="43" spans="1:53" ht="51.5" x14ac:dyDescent="0.4">
      <c r="A43" s="14">
        <v>42</v>
      </c>
      <c r="I43" t="s">
        <v>25</v>
      </c>
      <c r="K43" t="s">
        <v>25</v>
      </c>
      <c r="P43" t="s">
        <v>25</v>
      </c>
      <c r="Q43" t="s">
        <v>25</v>
      </c>
      <c r="T43" t="s">
        <v>25</v>
      </c>
      <c r="V43" s="22"/>
      <c r="W43" s="22"/>
      <c r="X43" s="22"/>
      <c r="Y43" s="22"/>
      <c r="Z43" s="22"/>
      <c r="AA43" s="22"/>
      <c r="AB43" s="22"/>
      <c r="AC43" s="22" t="s">
        <v>25</v>
      </c>
      <c r="AD43" s="22"/>
      <c r="AE43" s="22"/>
      <c r="AG43" s="54"/>
      <c r="AH43" s="21" t="s">
        <v>342</v>
      </c>
      <c r="AI43" s="21" t="s">
        <v>46</v>
      </c>
      <c r="AJ43" s="21" t="s">
        <v>342</v>
      </c>
      <c r="AK43" s="51" t="s">
        <v>404</v>
      </c>
      <c r="AL43" s="1" t="s">
        <v>19</v>
      </c>
      <c r="AM43" s="1" t="s">
        <v>19</v>
      </c>
      <c r="AN43" s="4" t="s">
        <v>202</v>
      </c>
      <c r="AO43" s="4" t="s">
        <v>203</v>
      </c>
      <c r="AP43" s="4" t="s">
        <v>204</v>
      </c>
      <c r="AQ43" s="4" t="s">
        <v>191</v>
      </c>
      <c r="AR43">
        <v>19</v>
      </c>
      <c r="AS43">
        <v>4</v>
      </c>
      <c r="AT43" s="7">
        <v>1987</v>
      </c>
      <c r="AU43" s="3" t="s">
        <v>205</v>
      </c>
      <c r="AV43" s="4" t="s">
        <v>355</v>
      </c>
      <c r="AY43" s="33" t="s">
        <v>25</v>
      </c>
      <c r="AZ43" s="33" t="s">
        <v>25</v>
      </c>
      <c r="BA43" s="33" t="s">
        <v>25</v>
      </c>
    </row>
    <row r="44" spans="1:53" ht="51.5" x14ac:dyDescent="0.4">
      <c r="A44" s="14">
        <v>43</v>
      </c>
      <c r="G44" t="s">
        <v>25</v>
      </c>
      <c r="H44" t="s">
        <v>25</v>
      </c>
      <c r="I44" t="s">
        <v>25</v>
      </c>
      <c r="Q44" t="s">
        <v>25</v>
      </c>
      <c r="T44" t="s">
        <v>25</v>
      </c>
      <c r="U44" t="s">
        <v>25</v>
      </c>
      <c r="V44" s="22"/>
      <c r="W44" s="22"/>
      <c r="X44" s="22"/>
      <c r="Y44" s="22"/>
      <c r="Z44" s="22"/>
      <c r="AA44" s="22"/>
      <c r="AB44" s="22"/>
      <c r="AC44" s="22"/>
      <c r="AD44" s="22" t="s">
        <v>25</v>
      </c>
      <c r="AE44" s="22"/>
      <c r="AF44" s="51" t="s">
        <v>458</v>
      </c>
      <c r="AG44" s="54"/>
      <c r="AH44" s="21" t="s">
        <v>342</v>
      </c>
      <c r="AI44" s="21" t="s">
        <v>342</v>
      </c>
      <c r="AJ44" s="21" t="s">
        <v>342</v>
      </c>
      <c r="AK44" s="51" t="s">
        <v>405</v>
      </c>
      <c r="AL44" s="1" t="s">
        <v>19</v>
      </c>
      <c r="AM44" s="1" t="s">
        <v>19</v>
      </c>
      <c r="AN44" s="4" t="s">
        <v>206</v>
      </c>
      <c r="AO44" s="4" t="s">
        <v>207</v>
      </c>
      <c r="AP44" s="4" t="s">
        <v>208</v>
      </c>
      <c r="AQ44" s="4" t="s">
        <v>6</v>
      </c>
      <c r="AR44">
        <v>17</v>
      </c>
      <c r="AS44">
        <v>2</v>
      </c>
      <c r="AT44" s="7">
        <v>1982</v>
      </c>
      <c r="AU44" s="3" t="s">
        <v>209</v>
      </c>
      <c r="AV44" s="4" t="s">
        <v>353</v>
      </c>
      <c r="AY44" s="33" t="s">
        <v>25</v>
      </c>
      <c r="AZ44" s="33" t="s">
        <v>25</v>
      </c>
      <c r="BA44" s="33" t="s">
        <v>25</v>
      </c>
    </row>
    <row r="45" spans="1:53" ht="76.5" x14ac:dyDescent="0.4">
      <c r="A45" s="14">
        <v>44</v>
      </c>
      <c r="H45" t="s">
        <v>25</v>
      </c>
      <c r="M45" t="s">
        <v>25</v>
      </c>
      <c r="N45" t="s">
        <v>25</v>
      </c>
      <c r="Q45" t="s">
        <v>25</v>
      </c>
      <c r="T45" t="s">
        <v>25</v>
      </c>
      <c r="V45" s="22"/>
      <c r="W45" s="22" t="s">
        <v>25</v>
      </c>
      <c r="X45" s="22"/>
      <c r="Y45" s="22"/>
      <c r="Z45" s="22"/>
      <c r="AA45" s="22"/>
      <c r="AB45" s="22"/>
      <c r="AC45" s="22"/>
      <c r="AD45" s="22"/>
      <c r="AE45" s="22"/>
      <c r="AF45" s="51" t="s">
        <v>459</v>
      </c>
      <c r="AG45" s="54"/>
      <c r="AH45" s="21" t="s">
        <v>341</v>
      </c>
      <c r="AI45" s="21" t="s">
        <v>341</v>
      </c>
      <c r="AJ45" s="21" t="s">
        <v>341</v>
      </c>
      <c r="AK45" s="51" t="s">
        <v>406</v>
      </c>
      <c r="AL45" s="1" t="s">
        <v>52</v>
      </c>
      <c r="AM45" s="1" t="s">
        <v>19</v>
      </c>
      <c r="AN45" s="4" t="s">
        <v>210</v>
      </c>
      <c r="AO45" s="4" t="s">
        <v>211</v>
      </c>
      <c r="AP45" s="4" t="s">
        <v>212</v>
      </c>
      <c r="AQ45" s="4" t="s">
        <v>213</v>
      </c>
      <c r="AR45">
        <v>5</v>
      </c>
      <c r="AT45" s="7">
        <v>1984</v>
      </c>
      <c r="AU45" s="1" t="s">
        <v>214</v>
      </c>
      <c r="AV45" s="4" t="s">
        <v>354</v>
      </c>
      <c r="AY45" s="33" t="s">
        <v>25</v>
      </c>
      <c r="AZ45" s="33" t="s">
        <v>25</v>
      </c>
      <c r="BA45" s="33" t="s">
        <v>25</v>
      </c>
    </row>
    <row r="46" spans="1:53" s="39" customFormat="1" x14ac:dyDescent="0.4">
      <c r="A46" s="49">
        <v>45</v>
      </c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52"/>
      <c r="AG46" s="54"/>
      <c r="AH46" s="41"/>
      <c r="AI46" s="41"/>
      <c r="AJ46" s="41"/>
      <c r="AK46" s="52"/>
      <c r="AL46" s="45"/>
      <c r="AM46" s="45"/>
      <c r="AN46" s="46"/>
      <c r="AO46" s="46"/>
      <c r="AP46" s="46"/>
      <c r="AQ46" s="46"/>
      <c r="AT46" s="47"/>
      <c r="AU46" s="42"/>
      <c r="AV46" s="46"/>
      <c r="AW46" s="43"/>
      <c r="AX46" s="44" t="s">
        <v>118</v>
      </c>
      <c r="AY46" s="42"/>
      <c r="AZ46" s="42"/>
      <c r="BA46" s="42"/>
    </row>
    <row r="47" spans="1:53" ht="64" x14ac:dyDescent="0.4">
      <c r="A47" s="14">
        <v>46</v>
      </c>
      <c r="B47" t="s">
        <v>25</v>
      </c>
      <c r="K47" t="s">
        <v>25</v>
      </c>
      <c r="L47" t="s">
        <v>25</v>
      </c>
      <c r="M47" t="s">
        <v>25</v>
      </c>
      <c r="Q47" t="s">
        <v>25</v>
      </c>
      <c r="T47" t="s">
        <v>25</v>
      </c>
      <c r="V47" s="22"/>
      <c r="W47" s="22"/>
      <c r="X47" s="22" t="s">
        <v>25</v>
      </c>
      <c r="Y47" s="22"/>
      <c r="Z47" s="22"/>
      <c r="AA47" s="22"/>
      <c r="AB47" s="22"/>
      <c r="AC47" s="22"/>
      <c r="AD47" s="22"/>
      <c r="AE47" s="22"/>
      <c r="AF47" s="51" t="s">
        <v>460</v>
      </c>
      <c r="AG47" s="54"/>
      <c r="AH47" s="22" t="s">
        <v>341</v>
      </c>
      <c r="AI47" s="22" t="s">
        <v>341</v>
      </c>
      <c r="AJ47" s="22" t="s">
        <v>341</v>
      </c>
      <c r="AK47" s="51" t="s">
        <v>407</v>
      </c>
      <c r="AL47" s="1" t="s">
        <v>52</v>
      </c>
      <c r="AM47" s="1" t="s">
        <v>19</v>
      </c>
      <c r="AN47" s="4" t="s">
        <v>14</v>
      </c>
      <c r="AO47" s="4" t="s">
        <v>15</v>
      </c>
      <c r="AP47" s="4" t="s">
        <v>16</v>
      </c>
      <c r="AQ47" s="4" t="s">
        <v>6</v>
      </c>
      <c r="AR47">
        <v>22</v>
      </c>
      <c r="AS47">
        <v>3</v>
      </c>
      <c r="AT47" s="7" t="s">
        <v>17</v>
      </c>
      <c r="AU47" s="3" t="s">
        <v>18</v>
      </c>
      <c r="AV47" s="4" t="s">
        <v>361</v>
      </c>
      <c r="AX47" s="15" t="s">
        <v>301</v>
      </c>
      <c r="AY47" s="3" t="s">
        <v>25</v>
      </c>
      <c r="AZ47" s="33" t="s">
        <v>25</v>
      </c>
      <c r="BA47" s="33" t="s">
        <v>25</v>
      </c>
    </row>
    <row r="48" spans="1:53" ht="51.5" x14ac:dyDescent="0.4">
      <c r="A48" s="14">
        <v>47</v>
      </c>
      <c r="G48" t="s">
        <v>25</v>
      </c>
      <c r="I48" t="s">
        <v>25</v>
      </c>
      <c r="Q48" t="s">
        <v>25</v>
      </c>
      <c r="T48" t="s">
        <v>25</v>
      </c>
      <c r="V48" s="22"/>
      <c r="W48" s="22"/>
      <c r="X48" s="22" t="s">
        <v>25</v>
      </c>
      <c r="Y48" s="22"/>
      <c r="Z48" s="22"/>
      <c r="AA48" s="22" t="s">
        <v>25</v>
      </c>
      <c r="AB48" s="22"/>
      <c r="AC48" s="22"/>
      <c r="AD48" s="22"/>
      <c r="AE48" s="22"/>
      <c r="AF48" s="51" t="s">
        <v>461</v>
      </c>
      <c r="AG48" s="54"/>
      <c r="AH48" s="21" t="s">
        <v>342</v>
      </c>
      <c r="AI48" s="21" t="s">
        <v>342</v>
      </c>
      <c r="AJ48" s="21" t="s">
        <v>341</v>
      </c>
      <c r="AK48" s="51" t="s">
        <v>408</v>
      </c>
      <c r="AL48" s="1" t="s">
        <v>19</v>
      </c>
      <c r="AM48" s="1" t="s">
        <v>197</v>
      </c>
      <c r="AN48" s="4" t="s">
        <v>350</v>
      </c>
      <c r="AO48" s="4" t="s">
        <v>215</v>
      </c>
      <c r="AP48" s="4" t="s">
        <v>216</v>
      </c>
      <c r="AQ48" s="4" t="s">
        <v>191</v>
      </c>
      <c r="AR48">
        <v>15</v>
      </c>
      <c r="AS48">
        <v>3</v>
      </c>
      <c r="AT48" s="7">
        <v>1983</v>
      </c>
      <c r="AU48" s="3" t="s">
        <v>217</v>
      </c>
      <c r="AV48" s="4" t="s">
        <v>355</v>
      </c>
      <c r="AY48" s="33" t="s">
        <v>25</v>
      </c>
      <c r="AZ48" s="33" t="s">
        <v>25</v>
      </c>
      <c r="BA48" s="33" t="s">
        <v>25</v>
      </c>
    </row>
    <row r="49" spans="1:53" ht="39" x14ac:dyDescent="0.4">
      <c r="A49" s="14">
        <v>48</v>
      </c>
      <c r="K49" t="s">
        <v>25</v>
      </c>
      <c r="M49" t="s">
        <v>25</v>
      </c>
      <c r="Q49" t="s">
        <v>25</v>
      </c>
      <c r="T49" t="s">
        <v>25</v>
      </c>
      <c r="V49" s="22"/>
      <c r="W49" s="22"/>
      <c r="X49" s="22"/>
      <c r="Y49" s="22"/>
      <c r="Z49" s="22"/>
      <c r="AA49" s="22"/>
      <c r="AB49" s="22"/>
      <c r="AC49" s="22" t="s">
        <v>25</v>
      </c>
      <c r="AD49" s="22"/>
      <c r="AE49" s="22"/>
      <c r="AF49" s="51" t="s">
        <v>462</v>
      </c>
      <c r="AG49" s="54"/>
      <c r="AH49" s="21" t="s">
        <v>342</v>
      </c>
      <c r="AI49" s="21" t="s">
        <v>341</v>
      </c>
      <c r="AJ49" s="21" t="s">
        <v>341</v>
      </c>
      <c r="AK49" s="51" t="s">
        <v>409</v>
      </c>
      <c r="AL49" s="1" t="s">
        <v>19</v>
      </c>
      <c r="AM49" s="1" t="s">
        <v>164</v>
      </c>
      <c r="AN49" s="4" t="s">
        <v>218</v>
      </c>
      <c r="AO49" s="4" t="s">
        <v>31</v>
      </c>
      <c r="AP49" s="4" t="s">
        <v>219</v>
      </c>
      <c r="AQ49" s="4" t="s">
        <v>66</v>
      </c>
      <c r="AR49">
        <v>75</v>
      </c>
      <c r="AS49">
        <v>1</v>
      </c>
      <c r="AT49" s="7" t="s">
        <v>220</v>
      </c>
      <c r="AU49" s="3" t="s">
        <v>221</v>
      </c>
      <c r="AV49" s="4" t="s">
        <v>354</v>
      </c>
      <c r="AW49" s="9" t="s">
        <v>25</v>
      </c>
      <c r="AY49" s="3" t="s">
        <v>25</v>
      </c>
      <c r="AZ49" s="33" t="s">
        <v>25</v>
      </c>
      <c r="BA49" s="33" t="s">
        <v>25</v>
      </c>
    </row>
    <row r="50" spans="1:53" ht="51.5" x14ac:dyDescent="0.4">
      <c r="A50" s="14">
        <v>49</v>
      </c>
      <c r="L50" t="s">
        <v>25</v>
      </c>
      <c r="N50" t="s">
        <v>25</v>
      </c>
      <c r="Q50" t="s">
        <v>25</v>
      </c>
      <c r="U50" t="s">
        <v>25</v>
      </c>
      <c r="V50" s="22"/>
      <c r="W50" s="22" t="s">
        <v>25</v>
      </c>
      <c r="X50" s="22" t="s">
        <v>25</v>
      </c>
      <c r="Y50" s="22" t="s">
        <v>25</v>
      </c>
      <c r="Z50" s="22"/>
      <c r="AA50" s="22"/>
      <c r="AB50" s="22"/>
      <c r="AC50" s="22"/>
      <c r="AD50" s="22"/>
      <c r="AE50" s="22"/>
      <c r="AG50" s="54"/>
      <c r="AH50" s="21" t="s">
        <v>342</v>
      </c>
      <c r="AI50" s="21" t="s">
        <v>342</v>
      </c>
      <c r="AJ50" s="21" t="s">
        <v>341</v>
      </c>
      <c r="AK50" s="51" t="s">
        <v>410</v>
      </c>
      <c r="AL50" s="1" t="s">
        <v>19</v>
      </c>
      <c r="AM50" s="1" t="s">
        <v>20</v>
      </c>
      <c r="AN50" s="4" t="s">
        <v>222</v>
      </c>
      <c r="AO50" s="4" t="s">
        <v>223</v>
      </c>
      <c r="AP50" s="4" t="s">
        <v>224</v>
      </c>
      <c r="AQ50" s="4" t="s">
        <v>6</v>
      </c>
      <c r="AR50">
        <v>17</v>
      </c>
      <c r="AS50">
        <v>3</v>
      </c>
      <c r="AT50" s="7">
        <v>1982</v>
      </c>
      <c r="AU50" s="3" t="s">
        <v>225</v>
      </c>
      <c r="AV50" s="4" t="s">
        <v>353</v>
      </c>
      <c r="AW50" s="9" t="s">
        <v>25</v>
      </c>
      <c r="AY50" s="3" t="s">
        <v>25</v>
      </c>
      <c r="AZ50" s="33" t="s">
        <v>25</v>
      </c>
      <c r="BA50" s="33" t="s">
        <v>25</v>
      </c>
    </row>
    <row r="51" spans="1:53" ht="39" x14ac:dyDescent="0.4">
      <c r="A51" s="14">
        <v>50</v>
      </c>
      <c r="V51" s="22"/>
      <c r="W51" s="22"/>
      <c r="X51" s="22"/>
      <c r="Y51" s="22" t="s">
        <v>25</v>
      </c>
      <c r="Z51" s="22"/>
      <c r="AA51" s="22"/>
      <c r="AB51" s="22"/>
      <c r="AC51" s="22"/>
      <c r="AD51" s="22"/>
      <c r="AE51" s="22"/>
      <c r="AF51" s="51" t="s">
        <v>463</v>
      </c>
      <c r="AG51" s="54"/>
      <c r="AH51" s="21" t="s">
        <v>341</v>
      </c>
      <c r="AI51" s="21" t="s">
        <v>342</v>
      </c>
      <c r="AJ51" s="21" t="s">
        <v>341</v>
      </c>
      <c r="AK51" s="51" t="s">
        <v>408</v>
      </c>
      <c r="AL51" s="1" t="s">
        <v>52</v>
      </c>
      <c r="AM51" s="1" t="s">
        <v>20</v>
      </c>
      <c r="AN51" s="4" t="s">
        <v>226</v>
      </c>
      <c r="AO51" s="4" t="s">
        <v>215</v>
      </c>
      <c r="AP51" s="4" t="s">
        <v>227</v>
      </c>
      <c r="AQ51" s="4" t="s">
        <v>96</v>
      </c>
      <c r="AR51">
        <v>22</v>
      </c>
      <c r="AS51">
        <v>2</v>
      </c>
      <c r="AT51" s="7">
        <v>1985</v>
      </c>
      <c r="AU51" s="3" t="s">
        <v>228</v>
      </c>
      <c r="AV51" s="4" t="s">
        <v>356</v>
      </c>
      <c r="AW51" s="9" t="s">
        <v>25</v>
      </c>
      <c r="AY51" s="3" t="s">
        <v>25</v>
      </c>
      <c r="AZ51" s="33" t="s">
        <v>25</v>
      </c>
      <c r="BA51" s="33" t="s">
        <v>25</v>
      </c>
    </row>
    <row r="52" spans="1:53" ht="39" x14ac:dyDescent="0.4">
      <c r="A52" s="14">
        <v>51</v>
      </c>
      <c r="D52" t="s">
        <v>25</v>
      </c>
      <c r="G52" t="s">
        <v>25</v>
      </c>
      <c r="H52" t="s">
        <v>25</v>
      </c>
      <c r="K52" t="s">
        <v>25</v>
      </c>
      <c r="Q52" t="s">
        <v>25</v>
      </c>
      <c r="T52" t="s">
        <v>25</v>
      </c>
      <c r="V52" s="22"/>
      <c r="W52" s="22"/>
      <c r="X52" s="22"/>
      <c r="Y52" s="22"/>
      <c r="Z52" s="22"/>
      <c r="AA52" s="22"/>
      <c r="AB52" s="22"/>
      <c r="AC52" s="22"/>
      <c r="AD52" s="22"/>
      <c r="AE52" s="22" t="s">
        <v>338</v>
      </c>
      <c r="AF52" s="51" t="s">
        <v>464</v>
      </c>
      <c r="AG52" s="54"/>
      <c r="AH52" s="21" t="s">
        <v>342</v>
      </c>
      <c r="AI52" s="21" t="s">
        <v>342</v>
      </c>
      <c r="AJ52" s="21" t="s">
        <v>342</v>
      </c>
      <c r="AL52" s="1" t="s">
        <v>51</v>
      </c>
      <c r="AM52" s="1" t="s">
        <v>29</v>
      </c>
      <c r="AN52" s="4" t="s">
        <v>229</v>
      </c>
      <c r="AO52" s="4" t="s">
        <v>230</v>
      </c>
      <c r="AP52" s="4" t="s">
        <v>231</v>
      </c>
      <c r="AQ52" s="4" t="s">
        <v>96</v>
      </c>
      <c r="AR52">
        <v>38</v>
      </c>
      <c r="AS52">
        <v>1</v>
      </c>
      <c r="AT52" s="7" t="s">
        <v>232</v>
      </c>
      <c r="AU52" s="3" t="s">
        <v>233</v>
      </c>
      <c r="AV52" s="4" t="s">
        <v>357</v>
      </c>
      <c r="AY52" s="3" t="s">
        <v>25</v>
      </c>
      <c r="AZ52" s="33" t="s">
        <v>25</v>
      </c>
      <c r="BA52" s="33" t="s">
        <v>25</v>
      </c>
    </row>
    <row r="53" spans="1:53" ht="64" x14ac:dyDescent="0.4">
      <c r="A53" s="14">
        <v>52</v>
      </c>
      <c r="L53" t="s">
        <v>25</v>
      </c>
      <c r="Q53" t="s">
        <v>25</v>
      </c>
      <c r="T53" t="s">
        <v>25</v>
      </c>
      <c r="U53" t="s">
        <v>25</v>
      </c>
      <c r="V53" s="22"/>
      <c r="W53" s="22"/>
      <c r="X53" s="22"/>
      <c r="Y53" s="22"/>
      <c r="Z53" s="22"/>
      <c r="AA53" s="22"/>
      <c r="AB53" s="22"/>
      <c r="AC53" s="22"/>
      <c r="AD53" s="22"/>
      <c r="AE53" s="22" t="s">
        <v>337</v>
      </c>
      <c r="AF53" s="51" t="s">
        <v>465</v>
      </c>
      <c r="AG53" s="54"/>
      <c r="AH53" s="21" t="s">
        <v>342</v>
      </c>
      <c r="AI53" s="21" t="s">
        <v>342</v>
      </c>
      <c r="AJ53" s="21" t="s">
        <v>341</v>
      </c>
      <c r="AK53" s="51" t="s">
        <v>411</v>
      </c>
      <c r="AL53" s="1" t="s">
        <v>19</v>
      </c>
      <c r="AM53" s="1" t="s">
        <v>19</v>
      </c>
      <c r="AN53" s="4" t="s">
        <v>234</v>
      </c>
      <c r="AO53" s="4" t="s">
        <v>235</v>
      </c>
      <c r="AP53" s="4" t="s">
        <v>236</v>
      </c>
      <c r="AQ53" s="4" t="s">
        <v>237</v>
      </c>
      <c r="AR53">
        <v>14</v>
      </c>
      <c r="AS53">
        <v>1</v>
      </c>
      <c r="AT53" s="7">
        <v>1996</v>
      </c>
      <c r="AU53" s="1" t="s">
        <v>238</v>
      </c>
      <c r="AV53" s="4" t="s">
        <v>355</v>
      </c>
      <c r="AY53" s="33" t="s">
        <v>25</v>
      </c>
      <c r="AZ53" s="33" t="s">
        <v>25</v>
      </c>
      <c r="BA53" s="33" t="s">
        <v>25</v>
      </c>
    </row>
    <row r="54" spans="1:53" ht="64" x14ac:dyDescent="0.4">
      <c r="A54" s="14">
        <v>53</v>
      </c>
      <c r="G54" t="s">
        <v>25</v>
      </c>
      <c r="Q54" t="s">
        <v>25</v>
      </c>
      <c r="U54" t="s">
        <v>25</v>
      </c>
      <c r="V54" s="22"/>
      <c r="W54" s="22"/>
      <c r="X54" s="22" t="s">
        <v>25</v>
      </c>
      <c r="Y54" s="22"/>
      <c r="Z54" s="22"/>
      <c r="AA54" s="22"/>
      <c r="AB54" s="22"/>
      <c r="AC54" s="22"/>
      <c r="AD54" s="22"/>
      <c r="AE54" s="22"/>
      <c r="AF54" s="51" t="s">
        <v>466</v>
      </c>
      <c r="AG54" s="54"/>
      <c r="AH54" s="22" t="s">
        <v>341</v>
      </c>
      <c r="AI54" s="22" t="s">
        <v>341</v>
      </c>
      <c r="AJ54" s="22" t="s">
        <v>342</v>
      </c>
      <c r="AK54" s="51" t="s">
        <v>412</v>
      </c>
      <c r="AL54" s="1" t="s">
        <v>52</v>
      </c>
      <c r="AM54" s="1" t="s">
        <v>197</v>
      </c>
      <c r="AN54" s="4" t="s">
        <v>77</v>
      </c>
      <c r="AO54" s="4" t="s">
        <v>78</v>
      </c>
      <c r="AP54" s="4" t="s">
        <v>79</v>
      </c>
      <c r="AQ54" s="4" t="s">
        <v>80</v>
      </c>
      <c r="AR54">
        <v>27</v>
      </c>
      <c r="AS54">
        <v>3</v>
      </c>
      <c r="AT54" s="7" t="s">
        <v>81</v>
      </c>
      <c r="AU54" s="3" t="s">
        <v>82</v>
      </c>
      <c r="AV54" s="4" t="s">
        <v>354</v>
      </c>
      <c r="AX54" s="15" t="s">
        <v>302</v>
      </c>
      <c r="AY54" s="3" t="s">
        <v>25</v>
      </c>
      <c r="AZ54" s="33" t="s">
        <v>25</v>
      </c>
      <c r="BA54" s="33" t="s">
        <v>25</v>
      </c>
    </row>
    <row r="55" spans="1:53" ht="39" x14ac:dyDescent="0.4">
      <c r="A55" s="14">
        <v>54</v>
      </c>
      <c r="N55" t="s">
        <v>25</v>
      </c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51" t="s">
        <v>467</v>
      </c>
      <c r="AG55" s="54"/>
      <c r="AH55" s="21" t="s">
        <v>341</v>
      </c>
      <c r="AI55" s="21" t="s">
        <v>46</v>
      </c>
      <c r="AJ55" s="21" t="s">
        <v>342</v>
      </c>
      <c r="AK55" s="51" t="s">
        <v>413</v>
      </c>
      <c r="AL55" s="1" t="s">
        <v>19</v>
      </c>
      <c r="AM55" s="1" t="s">
        <v>19</v>
      </c>
      <c r="AN55" s="4" t="s">
        <v>239</v>
      </c>
      <c r="AO55" s="4" t="s">
        <v>59</v>
      </c>
      <c r="AP55" s="4" t="s">
        <v>240</v>
      </c>
      <c r="AQ55" s="4" t="s">
        <v>157</v>
      </c>
      <c r="AR55">
        <v>56</v>
      </c>
      <c r="AS55">
        <v>1</v>
      </c>
      <c r="AT55" s="7" t="s">
        <v>241</v>
      </c>
      <c r="AU55" s="3" t="s">
        <v>242</v>
      </c>
      <c r="AV55" s="4" t="s">
        <v>353</v>
      </c>
      <c r="AY55" s="3" t="s">
        <v>25</v>
      </c>
      <c r="AZ55" s="33" t="s">
        <v>25</v>
      </c>
      <c r="BA55" s="33" t="s">
        <v>25</v>
      </c>
    </row>
    <row r="56" spans="1:53" ht="64" x14ac:dyDescent="0.4">
      <c r="A56" s="14">
        <v>55</v>
      </c>
      <c r="V56" s="22"/>
      <c r="W56" s="22"/>
      <c r="X56" s="22" t="s">
        <v>25</v>
      </c>
      <c r="Y56" s="22"/>
      <c r="Z56" s="22"/>
      <c r="AA56" s="22"/>
      <c r="AB56" s="22"/>
      <c r="AC56" s="22"/>
      <c r="AD56" s="22"/>
      <c r="AE56" s="22"/>
      <c r="AF56" s="51" t="s">
        <v>468</v>
      </c>
      <c r="AG56" s="54"/>
      <c r="AH56" s="21" t="s">
        <v>341</v>
      </c>
      <c r="AI56" s="21" t="s">
        <v>342</v>
      </c>
      <c r="AK56" s="51" t="s">
        <v>414</v>
      </c>
      <c r="AL56" s="1" t="s">
        <v>52</v>
      </c>
      <c r="AM56" s="1" t="s">
        <v>52</v>
      </c>
      <c r="AN56" s="4" t="s">
        <v>243</v>
      </c>
      <c r="AO56" s="4" t="s">
        <v>244</v>
      </c>
      <c r="AP56" s="4" t="s">
        <v>245</v>
      </c>
      <c r="AQ56" s="4" t="s">
        <v>6</v>
      </c>
      <c r="AR56">
        <v>18</v>
      </c>
      <c r="AS56">
        <v>1</v>
      </c>
      <c r="AT56" s="7">
        <v>1982</v>
      </c>
      <c r="AU56" s="3" t="s">
        <v>246</v>
      </c>
      <c r="AV56" s="4" t="s">
        <v>356</v>
      </c>
      <c r="AY56" s="3" t="s">
        <v>25</v>
      </c>
      <c r="AZ56" s="33" t="s">
        <v>25</v>
      </c>
      <c r="BA56" s="33" t="s">
        <v>25</v>
      </c>
    </row>
    <row r="57" spans="1:53" ht="39" x14ac:dyDescent="0.4">
      <c r="A57" s="14">
        <v>56</v>
      </c>
      <c r="F57" t="s">
        <v>25</v>
      </c>
      <c r="K57" t="s">
        <v>25</v>
      </c>
      <c r="Q57" t="s">
        <v>25</v>
      </c>
      <c r="T57" t="s">
        <v>25</v>
      </c>
      <c r="V57" s="22"/>
      <c r="W57" s="22"/>
      <c r="X57" s="22"/>
      <c r="Y57" s="22" t="s">
        <v>25</v>
      </c>
      <c r="Z57" s="22"/>
      <c r="AA57" s="22"/>
      <c r="AB57" s="22"/>
      <c r="AC57" s="22"/>
      <c r="AD57" s="22"/>
      <c r="AE57" s="22"/>
      <c r="AF57" s="51" t="s">
        <v>469</v>
      </c>
      <c r="AG57" s="54"/>
      <c r="AH57" s="21" t="s">
        <v>342</v>
      </c>
      <c r="AI57" s="21" t="s">
        <v>46</v>
      </c>
      <c r="AJ57" s="21" t="s">
        <v>342</v>
      </c>
      <c r="AK57" s="51" t="s">
        <v>415</v>
      </c>
      <c r="AL57" s="1" t="s">
        <v>164</v>
      </c>
      <c r="AM57" s="1" t="s">
        <v>20</v>
      </c>
      <c r="AN57" s="4" t="s">
        <v>349</v>
      </c>
      <c r="AO57" s="4" t="s">
        <v>247</v>
      </c>
      <c r="AP57" s="4" t="s">
        <v>248</v>
      </c>
      <c r="AQ57" s="4" t="s">
        <v>6</v>
      </c>
      <c r="AR57">
        <v>20</v>
      </c>
      <c r="AS57">
        <v>1</v>
      </c>
      <c r="AT57" s="7" t="s">
        <v>249</v>
      </c>
      <c r="AU57" s="3" t="s">
        <v>250</v>
      </c>
      <c r="AV57" s="4" t="s">
        <v>364</v>
      </c>
      <c r="AW57" s="9" t="s">
        <v>25</v>
      </c>
      <c r="AX57" s="9" t="s">
        <v>25</v>
      </c>
      <c r="AY57" s="3" t="s">
        <v>25</v>
      </c>
      <c r="AZ57" s="33" t="s">
        <v>25</v>
      </c>
      <c r="BA57" s="33" t="s">
        <v>25</v>
      </c>
    </row>
    <row r="58" spans="1:53" ht="76.5" x14ac:dyDescent="0.4">
      <c r="A58" s="14">
        <v>57</v>
      </c>
      <c r="V58" s="22"/>
      <c r="W58" s="22"/>
      <c r="X58" s="22" t="s">
        <v>25</v>
      </c>
      <c r="Y58" s="22" t="s">
        <v>25</v>
      </c>
      <c r="Z58" s="22"/>
      <c r="AA58" s="22"/>
      <c r="AB58" s="22"/>
      <c r="AC58" s="22"/>
      <c r="AD58" s="22"/>
      <c r="AE58" s="22"/>
      <c r="AF58" s="51" t="s">
        <v>470</v>
      </c>
      <c r="AG58" s="54"/>
      <c r="AH58" s="21" t="s">
        <v>341</v>
      </c>
      <c r="AI58" s="21" t="s">
        <v>46</v>
      </c>
      <c r="AJ58" s="21" t="s">
        <v>341</v>
      </c>
      <c r="AK58" s="51" t="s">
        <v>416</v>
      </c>
      <c r="AL58" s="1" t="s">
        <v>20</v>
      </c>
      <c r="AM58" s="1" t="s">
        <v>20</v>
      </c>
      <c r="AN58" s="4" t="s">
        <v>251</v>
      </c>
      <c r="AO58" s="4" t="s">
        <v>4</v>
      </c>
      <c r="AP58" s="4" t="s">
        <v>252</v>
      </c>
      <c r="AQ58" s="4" t="s">
        <v>253</v>
      </c>
      <c r="AR58">
        <v>32</v>
      </c>
      <c r="AS58">
        <v>1</v>
      </c>
      <c r="AT58" s="7">
        <v>1992</v>
      </c>
      <c r="AU58" s="3" t="s">
        <v>254</v>
      </c>
      <c r="AV58" s="4" t="s">
        <v>353</v>
      </c>
      <c r="AW58" s="9" t="s">
        <v>25</v>
      </c>
      <c r="AX58" s="9" t="s">
        <v>25</v>
      </c>
      <c r="AY58" s="33" t="s">
        <v>25</v>
      </c>
      <c r="AZ58" s="33" t="s">
        <v>25</v>
      </c>
      <c r="BA58" s="33" t="s">
        <v>25</v>
      </c>
    </row>
    <row r="59" spans="1:53" ht="64" x14ac:dyDescent="0.4">
      <c r="A59" s="14">
        <v>58</v>
      </c>
      <c r="D59" t="s">
        <v>25</v>
      </c>
      <c r="H59" t="s">
        <v>25</v>
      </c>
      <c r="U59" t="s">
        <v>25</v>
      </c>
      <c r="V59" s="22"/>
      <c r="W59" s="22"/>
      <c r="X59" s="22"/>
      <c r="Y59" s="22"/>
      <c r="Z59" s="22" t="s">
        <v>25</v>
      </c>
      <c r="AA59" s="22" t="s">
        <v>25</v>
      </c>
      <c r="AB59" s="22"/>
      <c r="AC59" s="22"/>
      <c r="AD59" s="22"/>
      <c r="AE59" s="22"/>
      <c r="AF59" s="51" t="s">
        <v>437</v>
      </c>
      <c r="AG59" s="54"/>
      <c r="AH59" s="21" t="s">
        <v>342</v>
      </c>
      <c r="AI59" s="21" t="s">
        <v>342</v>
      </c>
      <c r="AJ59" s="21" t="s">
        <v>341</v>
      </c>
      <c r="AK59" s="51" t="s">
        <v>417</v>
      </c>
      <c r="AL59" s="1" t="s">
        <v>20</v>
      </c>
      <c r="AM59" s="1" t="s">
        <v>108</v>
      </c>
      <c r="AN59" s="4" t="s">
        <v>255</v>
      </c>
      <c r="AO59" s="4" t="s">
        <v>199</v>
      </c>
      <c r="AP59" s="4" t="s">
        <v>256</v>
      </c>
      <c r="AQ59" s="4" t="s">
        <v>257</v>
      </c>
      <c r="AR59">
        <v>19</v>
      </c>
      <c r="AT59" s="7" t="s">
        <v>258</v>
      </c>
      <c r="AU59" s="3" t="s">
        <v>259</v>
      </c>
      <c r="AV59" s="4" t="s">
        <v>355</v>
      </c>
      <c r="AX59" s="9" t="s">
        <v>25</v>
      </c>
      <c r="AY59" s="33" t="s">
        <v>25</v>
      </c>
      <c r="AZ59" s="33" t="s">
        <v>25</v>
      </c>
      <c r="BA59" s="33" t="s">
        <v>25</v>
      </c>
    </row>
    <row r="60" spans="1:53" ht="51.5" x14ac:dyDescent="0.4">
      <c r="A60" s="14">
        <v>59</v>
      </c>
      <c r="C60" t="s">
        <v>25</v>
      </c>
      <c r="D60" t="s">
        <v>25</v>
      </c>
      <c r="F60" t="s">
        <v>25</v>
      </c>
      <c r="G60" t="s">
        <v>25</v>
      </c>
      <c r="H60" t="s">
        <v>25</v>
      </c>
      <c r="K60" t="s">
        <v>25</v>
      </c>
      <c r="Q60" t="s">
        <v>25</v>
      </c>
      <c r="T60" t="s">
        <v>25</v>
      </c>
      <c r="V60" s="22"/>
      <c r="W60" s="22" t="s">
        <v>25</v>
      </c>
      <c r="X60" s="22"/>
      <c r="Y60" s="22" t="s">
        <v>25</v>
      </c>
      <c r="Z60" s="22"/>
      <c r="AA60" s="22"/>
      <c r="AB60" s="22"/>
      <c r="AC60" s="22"/>
      <c r="AD60" s="22"/>
      <c r="AE60" s="22"/>
      <c r="AF60" s="51" t="s">
        <v>471</v>
      </c>
      <c r="AG60" s="54"/>
      <c r="AH60" s="21" t="s">
        <v>341</v>
      </c>
      <c r="AI60" s="21" t="s">
        <v>342</v>
      </c>
      <c r="AJ60" s="21" t="s">
        <v>341</v>
      </c>
      <c r="AK60" s="51" t="s">
        <v>398</v>
      </c>
      <c r="AL60" s="1" t="s">
        <v>19</v>
      </c>
      <c r="AM60" s="1" t="s">
        <v>197</v>
      </c>
      <c r="AN60" s="4" t="s">
        <v>260</v>
      </c>
      <c r="AO60" s="4" t="s">
        <v>261</v>
      </c>
      <c r="AP60" s="4" t="s">
        <v>262</v>
      </c>
      <c r="AQ60" s="4" t="s">
        <v>263</v>
      </c>
      <c r="AR60">
        <v>25</v>
      </c>
      <c r="AS60">
        <v>1</v>
      </c>
      <c r="AT60" s="7">
        <v>1998</v>
      </c>
      <c r="AU60" s="1" t="s">
        <v>264</v>
      </c>
      <c r="AV60" s="4" t="s">
        <v>354</v>
      </c>
      <c r="AY60" s="3" t="s">
        <v>25</v>
      </c>
      <c r="AZ60" s="33" t="s">
        <v>25</v>
      </c>
      <c r="BA60" s="33" t="s">
        <v>25</v>
      </c>
    </row>
    <row r="61" spans="1:53" ht="39" x14ac:dyDescent="0.4">
      <c r="A61" s="14">
        <v>60</v>
      </c>
      <c r="V61" s="22"/>
      <c r="W61" s="22"/>
      <c r="X61" s="22"/>
      <c r="Y61" s="22"/>
      <c r="Z61" s="22"/>
      <c r="AA61" s="22"/>
      <c r="AB61" s="22"/>
      <c r="AC61" s="22"/>
      <c r="AD61" s="22" t="s">
        <v>25</v>
      </c>
      <c r="AE61" s="22"/>
      <c r="AF61" s="51" t="s">
        <v>472</v>
      </c>
      <c r="AG61" s="54"/>
      <c r="AH61" s="21" t="s">
        <v>342</v>
      </c>
      <c r="AI61" s="21" t="s">
        <v>342</v>
      </c>
      <c r="AJ61" s="21" t="s">
        <v>341</v>
      </c>
      <c r="AK61" s="51" t="s">
        <v>418</v>
      </c>
      <c r="AL61" s="1" t="s">
        <v>29</v>
      </c>
      <c r="AM61" s="1" t="s">
        <v>52</v>
      </c>
      <c r="AN61" s="4" t="s">
        <v>267</v>
      </c>
      <c r="AO61" s="4" t="s">
        <v>265</v>
      </c>
      <c r="AP61" s="4" t="s">
        <v>266</v>
      </c>
      <c r="AQ61" s="4" t="s">
        <v>6</v>
      </c>
      <c r="AR61">
        <v>14</v>
      </c>
      <c r="AS61">
        <v>4</v>
      </c>
      <c r="AT61" s="7" t="s">
        <v>38</v>
      </c>
      <c r="AU61" s="3" t="s">
        <v>268</v>
      </c>
      <c r="AV61" s="4" t="s">
        <v>356</v>
      </c>
      <c r="AY61" s="3" t="s">
        <v>25</v>
      </c>
      <c r="AZ61" s="33" t="s">
        <v>25</v>
      </c>
      <c r="BA61" s="33" t="s">
        <v>25</v>
      </c>
    </row>
    <row r="62" spans="1:53" ht="51.5" x14ac:dyDescent="0.4">
      <c r="A62" s="14">
        <v>61</v>
      </c>
      <c r="V62" s="22"/>
      <c r="W62" s="22"/>
      <c r="X62" s="22"/>
      <c r="Y62" s="22"/>
      <c r="Z62" s="22"/>
      <c r="AA62" s="22" t="s">
        <v>25</v>
      </c>
      <c r="AB62" s="22"/>
      <c r="AC62" s="22"/>
      <c r="AD62" s="22"/>
      <c r="AE62" s="22"/>
      <c r="AG62" s="54"/>
      <c r="AH62" s="21" t="s">
        <v>342</v>
      </c>
      <c r="AI62" s="21" t="s">
        <v>46</v>
      </c>
      <c r="AJ62" s="21" t="s">
        <v>341</v>
      </c>
      <c r="AK62" s="51" t="s">
        <v>419</v>
      </c>
      <c r="AL62" s="1" t="s">
        <v>29</v>
      </c>
      <c r="AM62" s="1" t="s">
        <v>29</v>
      </c>
      <c r="AN62" s="4" t="s">
        <v>269</v>
      </c>
      <c r="AO62" s="4" t="s">
        <v>270</v>
      </c>
      <c r="AP62" s="4" t="s">
        <v>271</v>
      </c>
      <c r="AQ62" s="4" t="s">
        <v>6</v>
      </c>
      <c r="AR62">
        <v>17</v>
      </c>
      <c r="AS62">
        <v>3</v>
      </c>
      <c r="AT62" s="7">
        <v>1982</v>
      </c>
      <c r="AU62" s="3" t="s">
        <v>272</v>
      </c>
      <c r="AV62" s="4" t="s">
        <v>365</v>
      </c>
      <c r="AY62" s="3" t="s">
        <v>25</v>
      </c>
      <c r="AZ62" s="33" t="s">
        <v>25</v>
      </c>
      <c r="BA62" s="33" t="s">
        <v>25</v>
      </c>
    </row>
    <row r="63" spans="1:53" ht="51.5" x14ac:dyDescent="0.4">
      <c r="A63" s="14">
        <v>62</v>
      </c>
      <c r="G63" t="s">
        <v>25</v>
      </c>
      <c r="H63" t="s">
        <v>25</v>
      </c>
      <c r="Q63" t="s">
        <v>25</v>
      </c>
      <c r="T63" t="s">
        <v>25</v>
      </c>
      <c r="V63" s="22"/>
      <c r="W63" s="22"/>
      <c r="X63" s="22"/>
      <c r="Y63" s="22"/>
      <c r="Z63" s="22" t="s">
        <v>25</v>
      </c>
      <c r="AA63" s="22" t="s">
        <v>25</v>
      </c>
      <c r="AB63" s="22" t="s">
        <v>25</v>
      </c>
      <c r="AC63" s="22" t="s">
        <v>25</v>
      </c>
      <c r="AD63" s="22" t="s">
        <v>25</v>
      </c>
      <c r="AE63" s="22"/>
      <c r="AG63" s="54"/>
      <c r="AH63" s="21" t="s">
        <v>342</v>
      </c>
      <c r="AI63" s="21" t="s">
        <v>46</v>
      </c>
      <c r="AJ63" s="21" t="s">
        <v>342</v>
      </c>
      <c r="AK63" s="51" t="s">
        <v>420</v>
      </c>
      <c r="AL63" s="1" t="s">
        <v>46</v>
      </c>
      <c r="AM63" s="1" t="s">
        <v>51</v>
      </c>
      <c r="AN63" s="4" t="s">
        <v>273</v>
      </c>
      <c r="AO63" s="4" t="s">
        <v>274</v>
      </c>
      <c r="AP63" s="4" t="s">
        <v>275</v>
      </c>
      <c r="AQ63" s="4" t="s">
        <v>157</v>
      </c>
      <c r="AR63">
        <v>58</v>
      </c>
      <c r="AS63">
        <v>4</v>
      </c>
      <c r="AT63" s="7" t="s">
        <v>276</v>
      </c>
      <c r="AU63" s="3" t="s">
        <v>277</v>
      </c>
      <c r="AV63" s="4" t="s">
        <v>355</v>
      </c>
      <c r="AY63" s="3" t="s">
        <v>25</v>
      </c>
      <c r="AZ63" s="33" t="s">
        <v>25</v>
      </c>
      <c r="BA63" s="33" t="s">
        <v>25</v>
      </c>
    </row>
    <row r="64" spans="1:53" ht="39" x14ac:dyDescent="0.4">
      <c r="A64" s="14">
        <v>63</v>
      </c>
      <c r="B64" t="s">
        <v>25</v>
      </c>
      <c r="C64" t="s">
        <v>25</v>
      </c>
      <c r="K64" t="s">
        <v>25</v>
      </c>
      <c r="Q64" t="s">
        <v>25</v>
      </c>
      <c r="U64" t="s">
        <v>25</v>
      </c>
      <c r="V64" s="22"/>
      <c r="W64" s="22"/>
      <c r="X64" s="22"/>
      <c r="Y64" s="22"/>
      <c r="Z64" s="22"/>
      <c r="AA64" s="22"/>
      <c r="AB64" s="22"/>
      <c r="AC64" s="22" t="s">
        <v>25</v>
      </c>
      <c r="AD64" s="22"/>
      <c r="AE64" s="22"/>
      <c r="AF64" s="51" t="s">
        <v>473</v>
      </c>
      <c r="AG64" s="54"/>
      <c r="AH64" s="21" t="s">
        <v>341</v>
      </c>
      <c r="AI64" s="21" t="s">
        <v>341</v>
      </c>
      <c r="AJ64" s="21" t="s">
        <v>341</v>
      </c>
      <c r="AK64" s="51" t="s">
        <v>421</v>
      </c>
      <c r="AL64" s="1" t="s">
        <v>19</v>
      </c>
      <c r="AM64" s="1" t="s">
        <v>20</v>
      </c>
      <c r="AN64" s="4" t="s">
        <v>278</v>
      </c>
      <c r="AO64" s="4" t="s">
        <v>279</v>
      </c>
      <c r="AP64" s="4" t="s">
        <v>280</v>
      </c>
      <c r="AQ64" s="4" t="s">
        <v>6</v>
      </c>
      <c r="AR64">
        <v>20</v>
      </c>
      <c r="AS64">
        <v>1</v>
      </c>
      <c r="AT64" s="7" t="s">
        <v>249</v>
      </c>
      <c r="AU64" s="3" t="s">
        <v>281</v>
      </c>
      <c r="AV64" s="4" t="s">
        <v>363</v>
      </c>
      <c r="AW64" s="9" t="s">
        <v>25</v>
      </c>
      <c r="AY64" s="33" t="s">
        <v>25</v>
      </c>
      <c r="AZ64" s="33" t="s">
        <v>25</v>
      </c>
      <c r="BA64" s="33" t="s">
        <v>25</v>
      </c>
    </row>
    <row r="65" spans="1:53" ht="39" x14ac:dyDescent="0.4">
      <c r="A65" s="14">
        <v>64</v>
      </c>
      <c r="K65" t="s">
        <v>25</v>
      </c>
      <c r="O65" t="s">
        <v>25</v>
      </c>
      <c r="P65" t="s">
        <v>25</v>
      </c>
      <c r="Q65" t="s">
        <v>25</v>
      </c>
      <c r="T65" t="s">
        <v>25</v>
      </c>
      <c r="V65" s="22"/>
      <c r="W65" s="22"/>
      <c r="X65" s="22"/>
      <c r="Y65" s="22"/>
      <c r="Z65" s="22"/>
      <c r="AA65" s="22"/>
      <c r="AB65" s="22"/>
      <c r="AC65" s="22"/>
      <c r="AD65" s="22"/>
      <c r="AE65" s="22" t="s">
        <v>336</v>
      </c>
      <c r="AF65" s="51" t="s">
        <v>462</v>
      </c>
      <c r="AG65" s="54"/>
      <c r="AH65" s="21" t="s">
        <v>342</v>
      </c>
      <c r="AI65" s="21" t="s">
        <v>46</v>
      </c>
      <c r="AJ65" s="21" t="s">
        <v>342</v>
      </c>
      <c r="AK65" s="51" t="s">
        <v>422</v>
      </c>
      <c r="AL65" s="1" t="s">
        <v>29</v>
      </c>
      <c r="AM65" s="1" t="s">
        <v>29</v>
      </c>
      <c r="AN65" s="4" t="s">
        <v>282</v>
      </c>
      <c r="AO65" s="4" t="s">
        <v>283</v>
      </c>
      <c r="AP65" s="4" t="s">
        <v>284</v>
      </c>
      <c r="AQ65" s="4" t="s">
        <v>285</v>
      </c>
      <c r="AR65">
        <v>4</v>
      </c>
      <c r="AT65" s="7">
        <v>1979</v>
      </c>
      <c r="AU65" s="3" t="s">
        <v>286</v>
      </c>
      <c r="AV65" s="4" t="s">
        <v>353</v>
      </c>
      <c r="AY65" s="33" t="s">
        <v>25</v>
      </c>
      <c r="AZ65" s="33" t="s">
        <v>25</v>
      </c>
      <c r="BA65" s="33" t="s">
        <v>25</v>
      </c>
    </row>
    <row r="66" spans="1:53" ht="89" x14ac:dyDescent="0.4">
      <c r="A66" s="14">
        <v>65</v>
      </c>
      <c r="B66" t="s">
        <v>25</v>
      </c>
      <c r="C66" t="s">
        <v>25</v>
      </c>
      <c r="D66" t="s">
        <v>25</v>
      </c>
      <c r="K66" t="s">
        <v>25</v>
      </c>
      <c r="Q66" t="s">
        <v>25</v>
      </c>
      <c r="T66" t="s">
        <v>25</v>
      </c>
      <c r="V66" s="22"/>
      <c r="W66" s="22"/>
      <c r="X66" s="22"/>
      <c r="Y66" s="22"/>
      <c r="Z66" s="22" t="s">
        <v>25</v>
      </c>
      <c r="AA66" s="22"/>
      <c r="AB66" s="22"/>
      <c r="AC66" s="22"/>
      <c r="AD66" s="22"/>
      <c r="AE66" s="22"/>
      <c r="AF66" s="51" t="s">
        <v>474</v>
      </c>
      <c r="AG66" s="54"/>
      <c r="AH66" s="21" t="s">
        <v>342</v>
      </c>
      <c r="AI66" s="21" t="s">
        <v>46</v>
      </c>
      <c r="AJ66" s="21" t="s">
        <v>341</v>
      </c>
      <c r="AK66" s="51" t="s">
        <v>423</v>
      </c>
      <c r="AL66" s="1" t="s">
        <v>19</v>
      </c>
      <c r="AM66" s="1" t="s">
        <v>20</v>
      </c>
      <c r="AN66" s="4" t="s">
        <v>287</v>
      </c>
      <c r="AO66" s="4" t="s">
        <v>288</v>
      </c>
      <c r="AP66" s="4" t="s">
        <v>289</v>
      </c>
      <c r="AQ66" s="4" t="s">
        <v>290</v>
      </c>
      <c r="AV66" s="4" t="s">
        <v>354</v>
      </c>
      <c r="AW66" s="9" t="s">
        <v>25</v>
      </c>
      <c r="AY66" s="33" t="s">
        <v>25</v>
      </c>
      <c r="AZ66" s="33" t="s">
        <v>25</v>
      </c>
      <c r="BA66" s="33" t="s">
        <v>25</v>
      </c>
    </row>
    <row r="67" spans="1:53" ht="64.5" thickBot="1" x14ac:dyDescent="0.45">
      <c r="A67" s="23">
        <v>66</v>
      </c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5"/>
      <c r="W67" s="25"/>
      <c r="X67" s="25"/>
      <c r="Y67" s="25"/>
      <c r="Z67" s="25" t="s">
        <v>25</v>
      </c>
      <c r="AA67" s="25" t="s">
        <v>25</v>
      </c>
      <c r="AB67" s="25"/>
      <c r="AC67" s="25"/>
      <c r="AD67" s="25"/>
      <c r="AE67" s="25"/>
      <c r="AF67" s="56" t="s">
        <v>475</v>
      </c>
      <c r="AG67" s="55"/>
      <c r="AH67" s="31" t="s">
        <v>341</v>
      </c>
      <c r="AI67" s="31"/>
      <c r="AJ67" s="31"/>
      <c r="AK67" s="56" t="s">
        <v>424</v>
      </c>
      <c r="AL67" s="27" t="s">
        <v>291</v>
      </c>
      <c r="AM67" s="27" t="s">
        <v>19</v>
      </c>
      <c r="AN67" s="28" t="s">
        <v>292</v>
      </c>
      <c r="AO67" s="28" t="s">
        <v>293</v>
      </c>
      <c r="AP67" s="28" t="s">
        <v>294</v>
      </c>
      <c r="AQ67" s="28" t="s">
        <v>295</v>
      </c>
      <c r="AR67" s="24">
        <v>2</v>
      </c>
      <c r="AS67" s="24">
        <v>2</v>
      </c>
      <c r="AT67" s="29">
        <v>1986</v>
      </c>
      <c r="AU67" s="30" t="s">
        <v>296</v>
      </c>
      <c r="AV67" s="28" t="s">
        <v>366</v>
      </c>
      <c r="AW67" s="26"/>
      <c r="AX67" s="26"/>
      <c r="AY67" s="30" t="s">
        <v>25</v>
      </c>
      <c r="AZ67" s="37" t="s">
        <v>25</v>
      </c>
      <c r="BA67" s="37" t="s">
        <v>25</v>
      </c>
    </row>
    <row r="68" spans="1:53" ht="18.5" thickTop="1" x14ac:dyDescent="0.4">
      <c r="T68" s="35" t="s">
        <v>346</v>
      </c>
      <c r="V68" s="34">
        <f>COUNTA(V2:V67)</f>
        <v>3</v>
      </c>
      <c r="W68" s="34">
        <f t="shared" ref="W68:AD68" si="0">COUNTA(W2:W67)</f>
        <v>11</v>
      </c>
      <c r="X68" s="34">
        <f t="shared" si="0"/>
        <v>19</v>
      </c>
      <c r="Y68" s="34">
        <f t="shared" si="0"/>
        <v>22</v>
      </c>
      <c r="Z68" s="34">
        <f t="shared" si="0"/>
        <v>11</v>
      </c>
      <c r="AA68" s="34">
        <f t="shared" si="0"/>
        <v>8</v>
      </c>
      <c r="AB68" s="34">
        <f t="shared" si="0"/>
        <v>5</v>
      </c>
      <c r="AC68" s="34">
        <f t="shared" si="0"/>
        <v>9</v>
      </c>
      <c r="AD68" s="34">
        <f t="shared" si="0"/>
        <v>6</v>
      </c>
      <c r="AE68" s="2"/>
      <c r="AZ68" s="33"/>
      <c r="BA68" s="33"/>
    </row>
    <row r="69" spans="1:53" x14ac:dyDescent="0.4">
      <c r="AD69" s="59"/>
      <c r="AE69" s="59"/>
      <c r="AF69" s="60"/>
      <c r="AG69" s="48" t="s">
        <v>343</v>
      </c>
      <c r="AH69" s="36">
        <f>COUNTIF(AH2:AH67,"Y")</f>
        <v>23</v>
      </c>
      <c r="AI69" s="36">
        <f>COUNTIF(AI2:AI67,"Y")</f>
        <v>17</v>
      </c>
      <c r="AJ69" s="36">
        <f>COUNTIF(AJ2:AJ67,"Y")</f>
        <v>36</v>
      </c>
      <c r="AZ69" s="33"/>
      <c r="BA69" s="33"/>
    </row>
    <row r="70" spans="1:53" x14ac:dyDescent="0.4">
      <c r="AD70" s="59"/>
      <c r="AE70" s="59"/>
      <c r="AF70" s="60"/>
      <c r="AG70" s="48" t="s">
        <v>344</v>
      </c>
      <c r="AH70" s="36">
        <f>COUNTIF(AH2:AH67,"N")</f>
        <v>36</v>
      </c>
      <c r="AI70" s="36">
        <f>COUNTIF(AI2:AI67,"N")</f>
        <v>23</v>
      </c>
      <c r="AJ70" s="36">
        <f>COUNTIF(AJ2:AJ67,"N")</f>
        <v>23</v>
      </c>
      <c r="AZ70" s="33"/>
      <c r="BA70" s="33"/>
    </row>
    <row r="71" spans="1:53" x14ac:dyDescent="0.4">
      <c r="AD71" s="59"/>
      <c r="AE71" s="59"/>
      <c r="AF71" s="60"/>
      <c r="AG71" s="48" t="s">
        <v>345</v>
      </c>
      <c r="AH71" s="36">
        <f>COUNTIF(AH2:AH67,"NA")</f>
        <v>2</v>
      </c>
      <c r="AI71" s="36">
        <f>COUNTIF(AI2:AI67,"NA")</f>
        <v>20</v>
      </c>
      <c r="AJ71" s="36">
        <f>COUNTIF(AJ2:AJ67,"NA")</f>
        <v>0</v>
      </c>
      <c r="AZ71" s="33"/>
      <c r="BA71" s="33"/>
    </row>
    <row r="72" spans="1:53" x14ac:dyDescent="0.4">
      <c r="AZ72" s="33"/>
      <c r="BA72" s="33"/>
    </row>
    <row r="73" spans="1:53" x14ac:dyDescent="0.4">
      <c r="AZ73" s="33"/>
      <c r="BA73" s="33"/>
    </row>
    <row r="74" spans="1:53" x14ac:dyDescent="0.4">
      <c r="AZ74" s="33"/>
      <c r="BA74" s="33"/>
    </row>
    <row r="75" spans="1:53" x14ac:dyDescent="0.4">
      <c r="AZ75" s="33"/>
      <c r="BA75" s="33"/>
    </row>
    <row r="76" spans="1:53" x14ac:dyDescent="0.4">
      <c r="AZ76" s="33"/>
      <c r="BA76" s="33"/>
    </row>
    <row r="77" spans="1:53" x14ac:dyDescent="0.4">
      <c r="AZ77" s="33"/>
      <c r="BA77" s="33"/>
    </row>
    <row r="78" spans="1:53" x14ac:dyDescent="0.4">
      <c r="AZ78" s="33"/>
      <c r="BA78" s="33"/>
    </row>
    <row r="79" spans="1:53" x14ac:dyDescent="0.4">
      <c r="AZ79" s="33"/>
      <c r="BA79" s="33"/>
    </row>
    <row r="80" spans="1:53" x14ac:dyDescent="0.4">
      <c r="AZ80" s="33"/>
      <c r="BA80" s="33"/>
    </row>
    <row r="81" spans="52:53" x14ac:dyDescent="0.4">
      <c r="AZ81" s="33"/>
      <c r="BA81" s="33"/>
    </row>
    <row r="82" spans="52:53" x14ac:dyDescent="0.4">
      <c r="AZ82" s="33"/>
      <c r="BA82" s="33"/>
    </row>
    <row r="83" spans="52:53" x14ac:dyDescent="0.4">
      <c r="AZ83" s="33"/>
      <c r="BA83" s="33"/>
    </row>
    <row r="84" spans="52:53" x14ac:dyDescent="0.4">
      <c r="AZ84" s="33"/>
      <c r="BA84" s="33"/>
    </row>
    <row r="85" spans="52:53" x14ac:dyDescent="0.4">
      <c r="AZ85" s="33"/>
      <c r="BA85" s="33"/>
    </row>
    <row r="86" spans="52:53" x14ac:dyDescent="0.4">
      <c r="AZ86" s="33"/>
      <c r="BA86" s="33"/>
    </row>
    <row r="87" spans="52:53" x14ac:dyDescent="0.4">
      <c r="AZ87" s="33"/>
      <c r="BA87" s="33"/>
    </row>
    <row r="88" spans="52:53" x14ac:dyDescent="0.4">
      <c r="AZ88" s="33"/>
      <c r="BA88" s="33"/>
    </row>
    <row r="89" spans="52:53" x14ac:dyDescent="0.4">
      <c r="AZ89" s="33"/>
      <c r="BA89" s="33"/>
    </row>
    <row r="90" spans="52:53" x14ac:dyDescent="0.4">
      <c r="AZ90" s="33"/>
      <c r="BA90" s="33"/>
    </row>
    <row r="91" spans="52:53" x14ac:dyDescent="0.4">
      <c r="AZ91" s="33"/>
      <c r="BA91" s="33"/>
    </row>
    <row r="92" spans="52:53" x14ac:dyDescent="0.4">
      <c r="AZ92" s="33"/>
      <c r="BA92" s="33"/>
    </row>
    <row r="93" spans="52:53" x14ac:dyDescent="0.4">
      <c r="AZ93" s="33"/>
      <c r="BA93" s="33"/>
    </row>
    <row r="94" spans="52:53" x14ac:dyDescent="0.4">
      <c r="AZ94" s="33"/>
      <c r="BA94" s="33"/>
    </row>
    <row r="95" spans="52:53" x14ac:dyDescent="0.4">
      <c r="AZ95" s="33"/>
      <c r="BA95" s="33"/>
    </row>
    <row r="96" spans="52:53" x14ac:dyDescent="0.4">
      <c r="AZ96" s="33"/>
      <c r="BA96" s="33"/>
    </row>
    <row r="97" spans="52:53" x14ac:dyDescent="0.4">
      <c r="AZ97" s="33"/>
      <c r="BA97" s="33"/>
    </row>
    <row r="98" spans="52:53" x14ac:dyDescent="0.4">
      <c r="AZ98" s="33"/>
      <c r="BA98" s="33"/>
    </row>
    <row r="99" spans="52:53" x14ac:dyDescent="0.4">
      <c r="AZ99" s="33"/>
      <c r="BA99" s="33"/>
    </row>
    <row r="100" spans="52:53" x14ac:dyDescent="0.4">
      <c r="AZ100" s="33"/>
      <c r="BA100" s="33"/>
    </row>
    <row r="101" spans="52:53" x14ac:dyDescent="0.4">
      <c r="AZ101" s="33"/>
      <c r="BA101" s="33"/>
    </row>
    <row r="102" spans="52:53" x14ac:dyDescent="0.4">
      <c r="AZ102" s="33"/>
      <c r="BA102" s="33"/>
    </row>
    <row r="103" spans="52:53" x14ac:dyDescent="0.4">
      <c r="AZ103" s="33"/>
      <c r="BA103" s="33"/>
    </row>
    <row r="104" spans="52:53" x14ac:dyDescent="0.4">
      <c r="AZ104" s="33"/>
      <c r="BA104" s="33"/>
    </row>
    <row r="105" spans="52:53" x14ac:dyDescent="0.4">
      <c r="AZ105" s="33"/>
      <c r="BA105" s="33"/>
    </row>
    <row r="106" spans="52:53" x14ac:dyDescent="0.4">
      <c r="AZ106" s="33"/>
      <c r="BA106" s="33"/>
    </row>
    <row r="107" spans="52:53" x14ac:dyDescent="0.4">
      <c r="AZ107" s="33"/>
      <c r="BA107" s="33"/>
    </row>
    <row r="108" spans="52:53" x14ac:dyDescent="0.4">
      <c r="AZ108" s="33"/>
      <c r="BA108" s="33"/>
    </row>
    <row r="109" spans="52:53" x14ac:dyDescent="0.4">
      <c r="AZ109" s="33"/>
      <c r="BA109" s="33"/>
    </row>
    <row r="110" spans="52:53" x14ac:dyDescent="0.4">
      <c r="AZ110" s="33"/>
      <c r="BA110" s="33"/>
    </row>
  </sheetData>
  <mergeCells count="1">
    <mergeCell ref="AL36:AM36"/>
  </mergeCells>
  <phoneticPr fontId="0" type="noConversion"/>
  <printOptions gridLines="1"/>
  <pageMargins left="0.18" right="0.19" top="0.76" bottom="0.5" header="0.32" footer="0.25"/>
  <pageSetup paperSize="17" orientation="landscape" r:id="rId1"/>
  <headerFooter alignWithMargins="0">
    <oddHeader>&amp;C&amp;F</oddHeader>
    <oddFooter>&amp;R&amp;9Page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IASB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Colette Yutzy</dc:creator>
  <cp:lastModifiedBy>Carina Negreanu</cp:lastModifiedBy>
  <cp:lastPrinted>2003-09-26T17:27:28Z</cp:lastPrinted>
  <dcterms:created xsi:type="dcterms:W3CDTF">2003-06-23T18:46:24Z</dcterms:created>
  <dcterms:modified xsi:type="dcterms:W3CDTF">2020-01-27T12:04:42Z</dcterms:modified>
</cp:coreProperties>
</file>