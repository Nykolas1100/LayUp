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45FC5EA-5BD7-4233-BEC7-B6C152B4C062}" xr6:coauthVersionLast="45" xr6:coauthVersionMax="45" xr10:uidLastSave="{00000000-0000-0000-0000-000000000000}"/>
  <bookViews>
    <workbookView xWindow="380" yWindow="380" windowWidth="28800" windowHeight="15460"/>
  </bookViews>
  <sheets>
    <sheet name="Instructions" sheetId="3" r:id="rId1"/>
    <sheet name="License  &amp; Disclaimers" sheetId="4" r:id="rId2"/>
    <sheet name="Assessment Tool" sheetId="1" r:id="rId3"/>
    <sheet name="Glossary" sheetId="2" r:id="rId4"/>
  </sheets>
  <definedNames>
    <definedName name="_Ref14756030" localSheetId="0">Instructions!$E$35</definedName>
    <definedName name="AllResonses">'Assessment Tool'!$C$11:$H$154</definedName>
    <definedName name="CADCAEResponses">'Assessment Tool'!$C$134:$H$154</definedName>
    <definedName name="CADResponses">'Assessment Tool'!$C$11:$H$57</definedName>
    <definedName name="CAEResponses">'Assessment Tool'!$C$60:$H$131</definedName>
    <definedName name="_xlnm.Print_Area" localSheetId="2">'Assessment Tool'!$A$9:$J$155</definedName>
    <definedName name="_xlnm.Print_Area" localSheetId="3">Glossary!$A$5:$D$17</definedName>
    <definedName name="_xlnm.Print_Area" localSheetId="0">Instructions!$A$4:$E$45</definedName>
    <definedName name="_xlnm.Print_Area" localSheetId="1">'License  &amp; Disclaimers'!$A$4:$C$17</definedName>
    <definedName name="_xlnm.Print_Titles" localSheetId="2">'Assessment Tool'!$1:$8</definedName>
    <definedName name="_xlnm.Print_Titles" localSheetId="3">Glossary!$1:$4</definedName>
    <definedName name="_xlnm.Print_Titles" localSheetId="0">Instructions!$1:$3</definedName>
    <definedName name="_xlnm.Print_Titles" localSheetId="1">'License  &amp; Disclaimers'!$1:$3</definedName>
  </definedNames>
  <calcPr calcId="191029"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139" i="1" l="1"/>
  <c r="L139" i="1"/>
  <c r="M139" i="1"/>
  <c r="N139" i="1"/>
  <c r="I139" i="1" s="1"/>
  <c r="O139" i="1"/>
  <c r="P139" i="1"/>
  <c r="K138" i="1"/>
  <c r="L138" i="1"/>
  <c r="M138" i="1"/>
  <c r="N138" i="1"/>
  <c r="O138" i="1"/>
  <c r="P138" i="1"/>
  <c r="I138" i="1" s="1"/>
  <c r="K137" i="1"/>
  <c r="I137" i="1" s="1"/>
  <c r="L137" i="1"/>
  <c r="Q137" i="1" s="1"/>
  <c r="M137" i="1"/>
  <c r="N137" i="1"/>
  <c r="O137" i="1"/>
  <c r="R137" i="1" s="1"/>
  <c r="P137" i="1"/>
  <c r="K136" i="1"/>
  <c r="L136" i="1"/>
  <c r="M136" i="1"/>
  <c r="I136" i="1" s="1"/>
  <c r="N136" i="1"/>
  <c r="O136" i="1"/>
  <c r="P136" i="1"/>
  <c r="K135" i="1"/>
  <c r="L135" i="1"/>
  <c r="M135" i="1"/>
  <c r="N135" i="1"/>
  <c r="O135" i="1"/>
  <c r="I135" i="1" s="1"/>
  <c r="P135" i="1"/>
  <c r="K134" i="1"/>
  <c r="I134" i="1" s="1"/>
  <c r="L134" i="1"/>
  <c r="M134" i="1"/>
  <c r="N134" i="1"/>
  <c r="R134" i="1" s="1"/>
  <c r="O134" i="1"/>
  <c r="P134" i="1"/>
  <c r="K143" i="1"/>
  <c r="I143" i="1" s="1"/>
  <c r="L143" i="1"/>
  <c r="M143" i="1"/>
  <c r="N143" i="1"/>
  <c r="O143" i="1"/>
  <c r="P143" i="1"/>
  <c r="K142" i="1"/>
  <c r="L142" i="1"/>
  <c r="M142" i="1"/>
  <c r="N142" i="1"/>
  <c r="O142" i="1"/>
  <c r="P142" i="1"/>
  <c r="I142" i="1" s="1"/>
  <c r="K141" i="1"/>
  <c r="I141" i="1" s="1"/>
  <c r="L141" i="1"/>
  <c r="M141" i="1"/>
  <c r="N141" i="1"/>
  <c r="O141" i="1"/>
  <c r="P141" i="1"/>
  <c r="K147" i="1"/>
  <c r="L147" i="1"/>
  <c r="M147" i="1"/>
  <c r="N147" i="1"/>
  <c r="I147" i="1" s="1"/>
  <c r="O147" i="1"/>
  <c r="P147" i="1"/>
  <c r="K146" i="1"/>
  <c r="L146" i="1"/>
  <c r="M146" i="1"/>
  <c r="N146" i="1"/>
  <c r="O146" i="1"/>
  <c r="P146" i="1"/>
  <c r="I146" i="1"/>
  <c r="K145" i="1"/>
  <c r="I145" i="1" s="1"/>
  <c r="L145" i="1"/>
  <c r="M145" i="1"/>
  <c r="N145" i="1"/>
  <c r="O145" i="1"/>
  <c r="P145" i="1"/>
  <c r="K154" i="1"/>
  <c r="L154" i="1"/>
  <c r="M154" i="1"/>
  <c r="N154" i="1"/>
  <c r="O154" i="1"/>
  <c r="P154" i="1"/>
  <c r="I154" i="1" s="1"/>
  <c r="K153" i="1"/>
  <c r="I153" i="1" s="1"/>
  <c r="L153" i="1"/>
  <c r="Q153" i="1" s="1"/>
  <c r="M153" i="1"/>
  <c r="N153" i="1"/>
  <c r="R153" i="1" s="1"/>
  <c r="O153" i="1"/>
  <c r="P153" i="1"/>
  <c r="K152" i="1"/>
  <c r="L152" i="1"/>
  <c r="M152" i="1"/>
  <c r="Q152" i="1" s="1"/>
  <c r="N152" i="1"/>
  <c r="O152" i="1"/>
  <c r="P152" i="1"/>
  <c r="K151" i="1"/>
  <c r="L151" i="1"/>
  <c r="M151" i="1"/>
  <c r="N151" i="1"/>
  <c r="O151" i="1"/>
  <c r="I151" i="1" s="1"/>
  <c r="P151" i="1"/>
  <c r="K150" i="1"/>
  <c r="I150" i="1" s="1"/>
  <c r="L150" i="1"/>
  <c r="M150" i="1"/>
  <c r="N150" i="1"/>
  <c r="R150" i="1" s="1"/>
  <c r="O150" i="1"/>
  <c r="P150" i="1"/>
  <c r="K149" i="1"/>
  <c r="L149" i="1"/>
  <c r="I149" i="1" s="1"/>
  <c r="M149" i="1"/>
  <c r="N149" i="1"/>
  <c r="O149" i="1"/>
  <c r="P149" i="1"/>
  <c r="K66" i="1"/>
  <c r="I66" i="1" s="1"/>
  <c r="L66" i="1"/>
  <c r="Q66" i="1" s="1"/>
  <c r="M66" i="1"/>
  <c r="N66" i="1"/>
  <c r="R66" i="1" s="1"/>
  <c r="O66" i="1"/>
  <c r="P66" i="1"/>
  <c r="K65" i="1"/>
  <c r="I65" i="1" s="1"/>
  <c r="L65" i="1"/>
  <c r="M65" i="1"/>
  <c r="N65" i="1"/>
  <c r="O65" i="1"/>
  <c r="P65" i="1"/>
  <c r="K64" i="1"/>
  <c r="L64" i="1"/>
  <c r="M64" i="1"/>
  <c r="I64" i="1" s="1"/>
  <c r="N64" i="1"/>
  <c r="O64" i="1"/>
  <c r="P64" i="1"/>
  <c r="K63" i="1"/>
  <c r="I63" i="1" s="1"/>
  <c r="L63" i="1"/>
  <c r="M63" i="1"/>
  <c r="N63" i="1"/>
  <c r="O63" i="1"/>
  <c r="P63" i="1"/>
  <c r="K62" i="1"/>
  <c r="L62" i="1"/>
  <c r="M62" i="1"/>
  <c r="N62" i="1"/>
  <c r="R62" i="1" s="1"/>
  <c r="O62" i="1"/>
  <c r="I62" i="1" s="1"/>
  <c r="P62" i="1"/>
  <c r="K61" i="1"/>
  <c r="L61" i="1"/>
  <c r="Q61" i="1" s="1"/>
  <c r="M61" i="1"/>
  <c r="N61" i="1"/>
  <c r="O61" i="1"/>
  <c r="R61" i="1" s="1"/>
  <c r="P61" i="1"/>
  <c r="I61" i="1"/>
  <c r="K60" i="1"/>
  <c r="I60" i="1" s="1"/>
  <c r="L60" i="1"/>
  <c r="M60" i="1"/>
  <c r="N60" i="1"/>
  <c r="O60" i="1"/>
  <c r="P60" i="1"/>
  <c r="K75" i="1"/>
  <c r="L75" i="1"/>
  <c r="M75" i="1"/>
  <c r="N75" i="1"/>
  <c r="O75" i="1"/>
  <c r="P75" i="1"/>
  <c r="I75" i="1"/>
  <c r="K74" i="1"/>
  <c r="L74" i="1"/>
  <c r="M74" i="1"/>
  <c r="N74" i="1"/>
  <c r="O74" i="1"/>
  <c r="P74" i="1"/>
  <c r="I74" i="1"/>
  <c r="K73" i="1"/>
  <c r="L73" i="1"/>
  <c r="M73" i="1"/>
  <c r="N73" i="1"/>
  <c r="I73" i="1" s="1"/>
  <c r="O73" i="1"/>
  <c r="P73" i="1"/>
  <c r="K72" i="1"/>
  <c r="L72" i="1"/>
  <c r="M72" i="1"/>
  <c r="N72" i="1"/>
  <c r="O72" i="1"/>
  <c r="P72" i="1"/>
  <c r="I72" i="1" s="1"/>
  <c r="K71" i="1"/>
  <c r="I71" i="1" s="1"/>
  <c r="L71" i="1"/>
  <c r="M71" i="1"/>
  <c r="N71" i="1"/>
  <c r="R71" i="1" s="1"/>
  <c r="O71" i="1"/>
  <c r="P71" i="1"/>
  <c r="K70" i="1"/>
  <c r="L70" i="1"/>
  <c r="M70" i="1"/>
  <c r="I70" i="1" s="1"/>
  <c r="N70" i="1"/>
  <c r="O70" i="1"/>
  <c r="P70" i="1"/>
  <c r="K69" i="1"/>
  <c r="L69" i="1"/>
  <c r="M69" i="1"/>
  <c r="N69" i="1"/>
  <c r="O69" i="1"/>
  <c r="I69" i="1" s="1"/>
  <c r="P69" i="1"/>
  <c r="K68" i="1"/>
  <c r="I68" i="1" s="1"/>
  <c r="L68" i="1"/>
  <c r="M68" i="1"/>
  <c r="N68" i="1"/>
  <c r="R68" i="1" s="1"/>
  <c r="O68" i="1"/>
  <c r="P68" i="1"/>
  <c r="K80" i="1"/>
  <c r="Q80" i="1" s="1"/>
  <c r="L80" i="1"/>
  <c r="M80" i="1"/>
  <c r="N80" i="1"/>
  <c r="O80" i="1"/>
  <c r="P80" i="1"/>
  <c r="K79" i="1"/>
  <c r="L79" i="1"/>
  <c r="M79" i="1"/>
  <c r="Q79" i="1" s="1"/>
  <c r="N79" i="1"/>
  <c r="O79" i="1"/>
  <c r="P79" i="1"/>
  <c r="K78" i="1"/>
  <c r="I78" i="1" s="1"/>
  <c r="L78" i="1"/>
  <c r="M78" i="1"/>
  <c r="N78" i="1"/>
  <c r="O78" i="1"/>
  <c r="P78" i="1"/>
  <c r="K77" i="1"/>
  <c r="L77" i="1"/>
  <c r="M77" i="1"/>
  <c r="N77" i="1"/>
  <c r="O77" i="1"/>
  <c r="I77" i="1" s="1"/>
  <c r="P77" i="1"/>
  <c r="K87" i="1"/>
  <c r="L87" i="1"/>
  <c r="M87" i="1"/>
  <c r="N87" i="1"/>
  <c r="R87" i="1" s="1"/>
  <c r="O87" i="1"/>
  <c r="P87" i="1"/>
  <c r="I87" i="1"/>
  <c r="K86" i="1"/>
  <c r="I86" i="1" s="1"/>
  <c r="L86" i="1"/>
  <c r="M86" i="1"/>
  <c r="N86" i="1"/>
  <c r="R86" i="1" s="1"/>
  <c r="O86" i="1"/>
  <c r="P86" i="1"/>
  <c r="K85" i="1"/>
  <c r="L85" i="1"/>
  <c r="M85" i="1"/>
  <c r="N85" i="1"/>
  <c r="O85" i="1"/>
  <c r="P85" i="1"/>
  <c r="I85" i="1"/>
  <c r="K84" i="1"/>
  <c r="L84" i="1"/>
  <c r="M84" i="1"/>
  <c r="Q84" i="1" s="1"/>
  <c r="N84" i="1"/>
  <c r="O84" i="1"/>
  <c r="R84" i="1" s="1"/>
  <c r="P84" i="1"/>
  <c r="I84" i="1"/>
  <c r="K83" i="1"/>
  <c r="L83" i="1"/>
  <c r="M83" i="1"/>
  <c r="N83" i="1"/>
  <c r="R83" i="1" s="1"/>
  <c r="O83" i="1"/>
  <c r="P83" i="1"/>
  <c r="K82" i="1"/>
  <c r="L82" i="1"/>
  <c r="I82" i="1" s="1"/>
  <c r="M82" i="1"/>
  <c r="N82" i="1"/>
  <c r="R82" i="1" s="1"/>
  <c r="O82" i="1"/>
  <c r="P82" i="1"/>
  <c r="K95" i="1"/>
  <c r="I95" i="1" s="1"/>
  <c r="L95" i="1"/>
  <c r="M95" i="1"/>
  <c r="N95" i="1"/>
  <c r="R95" i="1" s="1"/>
  <c r="O95" i="1"/>
  <c r="P95" i="1"/>
  <c r="K94" i="1"/>
  <c r="L94" i="1"/>
  <c r="M94" i="1"/>
  <c r="N94" i="1"/>
  <c r="O94" i="1"/>
  <c r="P94" i="1"/>
  <c r="I94" i="1"/>
  <c r="K93" i="1"/>
  <c r="L93" i="1"/>
  <c r="M93" i="1"/>
  <c r="N93" i="1"/>
  <c r="O93" i="1"/>
  <c r="P93" i="1"/>
  <c r="I93" i="1"/>
  <c r="K92" i="1"/>
  <c r="I92" i="1" s="1"/>
  <c r="L92" i="1"/>
  <c r="Q92" i="1" s="1"/>
  <c r="M92" i="1"/>
  <c r="N92" i="1"/>
  <c r="R92" i="1" s="1"/>
  <c r="O92" i="1"/>
  <c r="P92" i="1"/>
  <c r="K91" i="1"/>
  <c r="I91" i="1" s="1"/>
  <c r="L91" i="1"/>
  <c r="M91" i="1"/>
  <c r="N91" i="1"/>
  <c r="O91" i="1"/>
  <c r="P91" i="1"/>
  <c r="K90" i="1"/>
  <c r="Q90" i="1" s="1"/>
  <c r="L90" i="1"/>
  <c r="M90" i="1"/>
  <c r="I90" i="1" s="1"/>
  <c r="N90" i="1"/>
  <c r="O90" i="1"/>
  <c r="P90" i="1"/>
  <c r="K89" i="1"/>
  <c r="I89" i="1" s="1"/>
  <c r="L89" i="1"/>
  <c r="M89" i="1"/>
  <c r="N89" i="1"/>
  <c r="O89" i="1"/>
  <c r="P89" i="1"/>
  <c r="K103" i="1"/>
  <c r="L103" i="1"/>
  <c r="M103" i="1"/>
  <c r="I103" i="1" s="1"/>
  <c r="N103" i="1"/>
  <c r="O103" i="1"/>
  <c r="P103" i="1"/>
  <c r="K102" i="1"/>
  <c r="Q102" i="1" s="1"/>
  <c r="L102" i="1"/>
  <c r="M102" i="1"/>
  <c r="N102" i="1"/>
  <c r="O102" i="1"/>
  <c r="P102" i="1"/>
  <c r="I102" i="1"/>
  <c r="K101" i="1"/>
  <c r="Q101" i="1" s="1"/>
  <c r="L101" i="1"/>
  <c r="M101" i="1"/>
  <c r="N101" i="1"/>
  <c r="O101" i="1"/>
  <c r="P101" i="1"/>
  <c r="K100" i="1"/>
  <c r="Q100" i="1" s="1"/>
  <c r="L100" i="1"/>
  <c r="M100" i="1"/>
  <c r="N100" i="1"/>
  <c r="O100" i="1"/>
  <c r="P100" i="1"/>
  <c r="I100" i="1"/>
  <c r="K99" i="1"/>
  <c r="L99" i="1"/>
  <c r="M99" i="1"/>
  <c r="Q99" i="1" s="1"/>
  <c r="N99" i="1"/>
  <c r="O99" i="1"/>
  <c r="R99" i="1" s="1"/>
  <c r="P99" i="1"/>
  <c r="I99" i="1"/>
  <c r="K98" i="1"/>
  <c r="L98" i="1"/>
  <c r="M98" i="1"/>
  <c r="N98" i="1"/>
  <c r="I98" i="1" s="1"/>
  <c r="O98" i="1"/>
  <c r="P98" i="1"/>
  <c r="K97" i="1"/>
  <c r="L97" i="1"/>
  <c r="I97" i="1" s="1"/>
  <c r="M97" i="1"/>
  <c r="N97" i="1"/>
  <c r="O97" i="1"/>
  <c r="P97" i="1"/>
  <c r="K109" i="1"/>
  <c r="I109" i="1" s="1"/>
  <c r="L109" i="1"/>
  <c r="M109" i="1"/>
  <c r="N109" i="1"/>
  <c r="R109" i="1" s="1"/>
  <c r="O109" i="1"/>
  <c r="P109" i="1"/>
  <c r="K108" i="1"/>
  <c r="Q108" i="1" s="1"/>
  <c r="L108" i="1"/>
  <c r="M108" i="1"/>
  <c r="N108" i="1"/>
  <c r="O108" i="1"/>
  <c r="R108" i="1" s="1"/>
  <c r="P108" i="1"/>
  <c r="I108" i="1"/>
  <c r="K107" i="1"/>
  <c r="L107" i="1"/>
  <c r="M107" i="1"/>
  <c r="N107" i="1"/>
  <c r="R107" i="1" s="1"/>
  <c r="O107" i="1"/>
  <c r="P107" i="1"/>
  <c r="K106" i="1"/>
  <c r="I106" i="1" s="1"/>
  <c r="L106" i="1"/>
  <c r="M106" i="1"/>
  <c r="N106" i="1"/>
  <c r="R106" i="1" s="1"/>
  <c r="O106" i="1"/>
  <c r="P106" i="1"/>
  <c r="K105" i="1"/>
  <c r="Q105" i="1" s="1"/>
  <c r="L105" i="1"/>
  <c r="M105" i="1"/>
  <c r="N105" i="1"/>
  <c r="O105" i="1"/>
  <c r="R105" i="1" s="1"/>
  <c r="P105" i="1"/>
  <c r="K115" i="1"/>
  <c r="L115" i="1"/>
  <c r="M115" i="1"/>
  <c r="N115" i="1"/>
  <c r="R115" i="1" s="1"/>
  <c r="O115" i="1"/>
  <c r="P115" i="1"/>
  <c r="I115" i="1"/>
  <c r="K114" i="1"/>
  <c r="Q114" i="1" s="1"/>
  <c r="L114" i="1"/>
  <c r="M114" i="1"/>
  <c r="N114" i="1"/>
  <c r="O114" i="1"/>
  <c r="P114" i="1"/>
  <c r="K113" i="1"/>
  <c r="L113" i="1"/>
  <c r="M113" i="1"/>
  <c r="I113" i="1" s="1"/>
  <c r="N113" i="1"/>
  <c r="O113" i="1"/>
  <c r="P113" i="1"/>
  <c r="K112" i="1"/>
  <c r="Q112" i="1" s="1"/>
  <c r="L112" i="1"/>
  <c r="M112" i="1"/>
  <c r="N112" i="1"/>
  <c r="O112" i="1"/>
  <c r="P112" i="1"/>
  <c r="I112" i="1"/>
  <c r="K111" i="1"/>
  <c r="I111" i="1" s="1"/>
  <c r="L111" i="1"/>
  <c r="M111" i="1"/>
  <c r="N111" i="1"/>
  <c r="O111" i="1"/>
  <c r="P111" i="1"/>
  <c r="K120" i="1"/>
  <c r="L120" i="1"/>
  <c r="I120" i="1" s="1"/>
  <c r="M120" i="1"/>
  <c r="N120" i="1"/>
  <c r="O120" i="1"/>
  <c r="P120" i="1"/>
  <c r="K119" i="1"/>
  <c r="I119" i="1" s="1"/>
  <c r="L119" i="1"/>
  <c r="Q119" i="1" s="1"/>
  <c r="M119" i="1"/>
  <c r="N119" i="1"/>
  <c r="R119" i="1" s="1"/>
  <c r="O119" i="1"/>
  <c r="P119" i="1"/>
  <c r="K118" i="1"/>
  <c r="L118" i="1"/>
  <c r="M118" i="1"/>
  <c r="I118" i="1" s="1"/>
  <c r="N118" i="1"/>
  <c r="O118" i="1"/>
  <c r="P118" i="1"/>
  <c r="K117" i="1"/>
  <c r="I117" i="1" s="1"/>
  <c r="L117" i="1"/>
  <c r="M117" i="1"/>
  <c r="N117" i="1"/>
  <c r="O117" i="1"/>
  <c r="R117" i="1" s="1"/>
  <c r="P117" i="1"/>
  <c r="K123" i="1"/>
  <c r="I123" i="1" s="1"/>
  <c r="L123" i="1"/>
  <c r="Q123" i="1" s="1"/>
  <c r="M123" i="1"/>
  <c r="N123" i="1"/>
  <c r="R123" i="1" s="1"/>
  <c r="O123" i="1"/>
  <c r="P123" i="1"/>
  <c r="K122" i="1"/>
  <c r="I122" i="1" s="1"/>
  <c r="L122" i="1"/>
  <c r="M122" i="1"/>
  <c r="N122" i="1"/>
  <c r="O122" i="1"/>
  <c r="P122" i="1"/>
  <c r="K131" i="1"/>
  <c r="L131" i="1"/>
  <c r="Q131" i="1" s="1"/>
  <c r="M131" i="1"/>
  <c r="N131" i="1"/>
  <c r="O131" i="1"/>
  <c r="R131" i="1" s="1"/>
  <c r="P131" i="1"/>
  <c r="I131" i="1"/>
  <c r="K130" i="1"/>
  <c r="I130" i="1" s="1"/>
  <c r="L130" i="1"/>
  <c r="M130" i="1"/>
  <c r="N130" i="1"/>
  <c r="O130" i="1"/>
  <c r="P130" i="1"/>
  <c r="K129" i="1"/>
  <c r="L129" i="1"/>
  <c r="M129" i="1"/>
  <c r="I129" i="1" s="1"/>
  <c r="N129" i="1"/>
  <c r="O129" i="1"/>
  <c r="P129" i="1"/>
  <c r="K128" i="1"/>
  <c r="Q128" i="1" s="1"/>
  <c r="L128" i="1"/>
  <c r="M128" i="1"/>
  <c r="N128" i="1"/>
  <c r="R128" i="1" s="1"/>
  <c r="O128" i="1"/>
  <c r="P128" i="1"/>
  <c r="I128" i="1"/>
  <c r="K127" i="1"/>
  <c r="I127" i="1" s="1"/>
  <c r="L127" i="1"/>
  <c r="M127" i="1"/>
  <c r="N127" i="1"/>
  <c r="O127" i="1"/>
  <c r="P127" i="1"/>
  <c r="K126" i="1"/>
  <c r="L126" i="1"/>
  <c r="Q126" i="1" s="1"/>
  <c r="M126" i="1"/>
  <c r="N126" i="1"/>
  <c r="R126" i="1" s="1"/>
  <c r="O126" i="1"/>
  <c r="P126" i="1"/>
  <c r="I126" i="1"/>
  <c r="K125" i="1"/>
  <c r="Q125" i="1" s="1"/>
  <c r="L125" i="1"/>
  <c r="M125" i="1"/>
  <c r="N125" i="1"/>
  <c r="R125" i="1" s="1"/>
  <c r="O125" i="1"/>
  <c r="P125" i="1"/>
  <c r="I125" i="1"/>
  <c r="K18" i="1"/>
  <c r="I18" i="1" s="1"/>
  <c r="L18" i="1"/>
  <c r="Q18" i="1" s="1"/>
  <c r="M18" i="1"/>
  <c r="N18" i="1"/>
  <c r="R18" i="1" s="1"/>
  <c r="O18" i="1"/>
  <c r="P18" i="1"/>
  <c r="K17" i="1"/>
  <c r="L17" i="1"/>
  <c r="M17" i="1"/>
  <c r="I17" i="1" s="1"/>
  <c r="N17" i="1"/>
  <c r="O17" i="1"/>
  <c r="P17" i="1"/>
  <c r="K16" i="1"/>
  <c r="Q16" i="1" s="1"/>
  <c r="L16" i="1"/>
  <c r="M16" i="1"/>
  <c r="N16" i="1"/>
  <c r="R16" i="1" s="1"/>
  <c r="O16" i="1"/>
  <c r="P16" i="1"/>
  <c r="K15" i="1"/>
  <c r="Q15" i="1" s="1"/>
  <c r="L15" i="1"/>
  <c r="M15" i="1"/>
  <c r="N15" i="1"/>
  <c r="R15" i="1" s="1"/>
  <c r="O15" i="1"/>
  <c r="P15" i="1"/>
  <c r="K14" i="1"/>
  <c r="L14" i="1"/>
  <c r="M14" i="1"/>
  <c r="N14" i="1"/>
  <c r="O14" i="1"/>
  <c r="P14" i="1"/>
  <c r="I14" i="1"/>
  <c r="K13" i="1"/>
  <c r="L13" i="1"/>
  <c r="M13" i="1"/>
  <c r="N13" i="1"/>
  <c r="R13" i="1" s="1"/>
  <c r="O13" i="1"/>
  <c r="P13" i="1"/>
  <c r="K12" i="1"/>
  <c r="I12" i="1" s="1"/>
  <c r="L12" i="1"/>
  <c r="M12" i="1"/>
  <c r="Q12" i="1" s="1"/>
  <c r="N12" i="1"/>
  <c r="R12" i="1" s="1"/>
  <c r="O12" i="1"/>
  <c r="P12" i="1"/>
  <c r="K11" i="1"/>
  <c r="I11" i="1" s="1"/>
  <c r="L11" i="1"/>
  <c r="M11" i="1"/>
  <c r="N11" i="1"/>
  <c r="O11" i="1"/>
  <c r="P11" i="1"/>
  <c r="K26" i="1"/>
  <c r="L26" i="1"/>
  <c r="Q26" i="1" s="1"/>
  <c r="M26" i="1"/>
  <c r="N26" i="1"/>
  <c r="R26" i="1" s="1"/>
  <c r="O26" i="1"/>
  <c r="P26" i="1"/>
  <c r="I26" i="1"/>
  <c r="K25" i="1"/>
  <c r="I25" i="1" s="1"/>
  <c r="L25" i="1"/>
  <c r="M25" i="1"/>
  <c r="N25" i="1"/>
  <c r="O25" i="1"/>
  <c r="P25" i="1"/>
  <c r="K24" i="1"/>
  <c r="L24" i="1"/>
  <c r="M24" i="1"/>
  <c r="I24" i="1" s="1"/>
  <c r="N24" i="1"/>
  <c r="R24" i="1" s="1"/>
  <c r="O24" i="1"/>
  <c r="P24" i="1"/>
  <c r="K23" i="1"/>
  <c r="L23" i="1"/>
  <c r="M23" i="1"/>
  <c r="N23" i="1"/>
  <c r="R23" i="1" s="1"/>
  <c r="O23" i="1"/>
  <c r="P23" i="1"/>
  <c r="I23" i="1"/>
  <c r="K22" i="1"/>
  <c r="I22" i="1" s="1"/>
  <c r="L22" i="1"/>
  <c r="M22" i="1"/>
  <c r="N22" i="1"/>
  <c r="O22" i="1"/>
  <c r="R22" i="1" s="1"/>
  <c r="P22" i="1"/>
  <c r="K21" i="1"/>
  <c r="L21" i="1"/>
  <c r="M21" i="1"/>
  <c r="N21" i="1"/>
  <c r="R21" i="1" s="1"/>
  <c r="O21" i="1"/>
  <c r="P21" i="1"/>
  <c r="I21" i="1"/>
  <c r="K20" i="1"/>
  <c r="L20" i="1"/>
  <c r="M20" i="1"/>
  <c r="N20" i="1"/>
  <c r="R20" i="1" s="1"/>
  <c r="O20" i="1"/>
  <c r="P20" i="1"/>
  <c r="I20" i="1"/>
  <c r="J19" i="1" s="1"/>
  <c r="K32" i="1"/>
  <c r="L32" i="1"/>
  <c r="M32" i="1"/>
  <c r="I32" i="1" s="1"/>
  <c r="N32" i="1"/>
  <c r="R32" i="1" s="1"/>
  <c r="O32" i="1"/>
  <c r="P32" i="1"/>
  <c r="K31" i="1"/>
  <c r="Q31" i="1" s="1"/>
  <c r="L31" i="1"/>
  <c r="M31" i="1"/>
  <c r="N31" i="1"/>
  <c r="R31" i="1" s="1"/>
  <c r="O31" i="1"/>
  <c r="P31" i="1"/>
  <c r="K30" i="1"/>
  <c r="I30" i="1" s="1"/>
  <c r="L30" i="1"/>
  <c r="M30" i="1"/>
  <c r="N30" i="1"/>
  <c r="R30" i="1" s="1"/>
  <c r="O30" i="1"/>
  <c r="P30" i="1"/>
  <c r="K29" i="1"/>
  <c r="Q29" i="1" s="1"/>
  <c r="L29" i="1"/>
  <c r="M29" i="1"/>
  <c r="N29" i="1"/>
  <c r="O29" i="1"/>
  <c r="P29" i="1"/>
  <c r="I29" i="1"/>
  <c r="K28" i="1"/>
  <c r="Q28" i="1" s="1"/>
  <c r="L28" i="1"/>
  <c r="M28" i="1"/>
  <c r="N28" i="1"/>
  <c r="R28" i="1" s="1"/>
  <c r="O28" i="1"/>
  <c r="P28" i="1"/>
  <c r="K41" i="1"/>
  <c r="I41" i="1" s="1"/>
  <c r="L41" i="1"/>
  <c r="M41" i="1"/>
  <c r="N41" i="1"/>
  <c r="O41" i="1"/>
  <c r="P41" i="1"/>
  <c r="K40" i="1"/>
  <c r="Q40" i="1" s="1"/>
  <c r="L40" i="1"/>
  <c r="M40" i="1"/>
  <c r="N40" i="1"/>
  <c r="O40" i="1"/>
  <c r="P40" i="1"/>
  <c r="I40" i="1"/>
  <c r="K39" i="1"/>
  <c r="L39" i="1"/>
  <c r="M39" i="1"/>
  <c r="N39" i="1"/>
  <c r="R39" i="1" s="1"/>
  <c r="O39" i="1"/>
  <c r="P39" i="1"/>
  <c r="I39" i="1"/>
  <c r="K38" i="1"/>
  <c r="I38" i="1" s="1"/>
  <c r="L38" i="1"/>
  <c r="M38" i="1"/>
  <c r="N38" i="1"/>
  <c r="O38" i="1"/>
  <c r="P38" i="1"/>
  <c r="K37" i="1"/>
  <c r="L37" i="1"/>
  <c r="M37" i="1"/>
  <c r="I37" i="1" s="1"/>
  <c r="N37" i="1"/>
  <c r="O37" i="1"/>
  <c r="P37" i="1"/>
  <c r="K36" i="1"/>
  <c r="Q36" i="1" s="1"/>
  <c r="L36" i="1"/>
  <c r="M36" i="1"/>
  <c r="N36" i="1"/>
  <c r="O36" i="1"/>
  <c r="P36" i="1"/>
  <c r="I36" i="1"/>
  <c r="K35" i="1"/>
  <c r="I35" i="1" s="1"/>
  <c r="L35" i="1"/>
  <c r="M35" i="1"/>
  <c r="N35" i="1"/>
  <c r="O35" i="1"/>
  <c r="P35" i="1"/>
  <c r="K34" i="1"/>
  <c r="L34" i="1"/>
  <c r="M34" i="1"/>
  <c r="N34" i="1"/>
  <c r="O34" i="1"/>
  <c r="P34" i="1"/>
  <c r="I34" i="1"/>
  <c r="K53" i="1"/>
  <c r="I53" i="1" s="1"/>
  <c r="L53" i="1"/>
  <c r="M53" i="1"/>
  <c r="Q53" i="1" s="1"/>
  <c r="N53" i="1"/>
  <c r="R53" i="1" s="1"/>
  <c r="O53" i="1"/>
  <c r="P53" i="1"/>
  <c r="K52" i="1"/>
  <c r="L52" i="1"/>
  <c r="M52" i="1"/>
  <c r="I52" i="1" s="1"/>
  <c r="N52" i="1"/>
  <c r="R52" i="1" s="1"/>
  <c r="O52" i="1"/>
  <c r="P52" i="1"/>
  <c r="K51" i="1"/>
  <c r="Q51" i="1" s="1"/>
  <c r="L51" i="1"/>
  <c r="M51" i="1"/>
  <c r="N51" i="1"/>
  <c r="O51" i="1"/>
  <c r="R51" i="1" s="1"/>
  <c r="P51" i="1"/>
  <c r="K48" i="1"/>
  <c r="I48" i="1" s="1"/>
  <c r="L48" i="1"/>
  <c r="M48" i="1"/>
  <c r="N48" i="1"/>
  <c r="R48" i="1" s="1"/>
  <c r="O48" i="1"/>
  <c r="P48" i="1"/>
  <c r="K47" i="1"/>
  <c r="L47" i="1"/>
  <c r="M47" i="1"/>
  <c r="Q47" i="1" s="1"/>
  <c r="N47" i="1"/>
  <c r="O47" i="1"/>
  <c r="P47" i="1"/>
  <c r="I47" i="1"/>
  <c r="K46" i="1"/>
  <c r="Q46" i="1" s="1"/>
  <c r="L46" i="1"/>
  <c r="M46" i="1"/>
  <c r="N46" i="1"/>
  <c r="R46" i="1" s="1"/>
  <c r="O46" i="1"/>
  <c r="P46" i="1"/>
  <c r="I46" i="1"/>
  <c r="K45" i="1"/>
  <c r="I45" i="1" s="1"/>
  <c r="L45" i="1"/>
  <c r="M45" i="1"/>
  <c r="N45" i="1"/>
  <c r="R45" i="1" s="1"/>
  <c r="O45" i="1"/>
  <c r="P45" i="1"/>
  <c r="K43" i="1"/>
  <c r="L43" i="1"/>
  <c r="I43" i="1" s="1"/>
  <c r="M43" i="1"/>
  <c r="N43" i="1"/>
  <c r="O43" i="1"/>
  <c r="P43" i="1"/>
  <c r="K57" i="1"/>
  <c r="L57" i="1"/>
  <c r="Q57" i="1" s="1"/>
  <c r="M57" i="1"/>
  <c r="N57" i="1"/>
  <c r="O57" i="1"/>
  <c r="R57" i="1" s="1"/>
  <c r="P57" i="1"/>
  <c r="I57" i="1"/>
  <c r="K56" i="1"/>
  <c r="I56" i="1" s="1"/>
  <c r="L56" i="1"/>
  <c r="M56" i="1"/>
  <c r="N56" i="1"/>
  <c r="O56" i="1"/>
  <c r="P56" i="1"/>
  <c r="K55" i="1"/>
  <c r="L55" i="1"/>
  <c r="M55" i="1"/>
  <c r="N55" i="1"/>
  <c r="R55" i="1" s="1"/>
  <c r="O55" i="1"/>
  <c r="P55" i="1"/>
  <c r="Q107" i="1"/>
  <c r="R56" i="1"/>
  <c r="R43" i="1"/>
  <c r="Q52" i="1"/>
  <c r="R41" i="1"/>
  <c r="R40" i="1"/>
  <c r="Q41" i="1"/>
  <c r="Q32" i="1"/>
  <c r="R25" i="1"/>
  <c r="R11" i="1"/>
  <c r="R17" i="1"/>
  <c r="Q11" i="1"/>
  <c r="Q14" i="1"/>
  <c r="Q17" i="1"/>
  <c r="Q13" i="1"/>
  <c r="Q149" i="1"/>
  <c r="Q151" i="1"/>
  <c r="Q154" i="1"/>
  <c r="R127" i="1"/>
  <c r="K49" i="1"/>
  <c r="L49" i="1"/>
  <c r="M49" i="1"/>
  <c r="N49" i="1"/>
  <c r="O49" i="1"/>
  <c r="P49" i="1"/>
  <c r="Q49" i="1"/>
  <c r="R49" i="1"/>
  <c r="K50" i="1"/>
  <c r="Q50" i="1" s="1"/>
  <c r="L50" i="1"/>
  <c r="M50" i="1"/>
  <c r="N50" i="1"/>
  <c r="O50" i="1"/>
  <c r="R50" i="1" s="1"/>
  <c r="P50" i="1"/>
  <c r="Q65" i="1"/>
  <c r="R65" i="1"/>
  <c r="K44" i="1"/>
  <c r="L44" i="1"/>
  <c r="M44" i="1"/>
  <c r="Q44" i="1"/>
  <c r="N44" i="1"/>
  <c r="O44" i="1"/>
  <c r="R44" i="1"/>
  <c r="R146" i="1"/>
  <c r="R145" i="1"/>
  <c r="R147" i="1"/>
  <c r="Q145" i="1"/>
  <c r="Q146" i="1"/>
  <c r="Q147" i="1"/>
  <c r="R14" i="1"/>
  <c r="R29" i="1"/>
  <c r="R47" i="1"/>
  <c r="R34" i="1"/>
  <c r="R35" i="1"/>
  <c r="R36" i="1"/>
  <c r="R37" i="1"/>
  <c r="R38" i="1"/>
  <c r="R129" i="1"/>
  <c r="R130" i="1"/>
  <c r="R122" i="1"/>
  <c r="R118" i="1"/>
  <c r="R120" i="1"/>
  <c r="R111" i="1"/>
  <c r="R112" i="1"/>
  <c r="R113" i="1"/>
  <c r="R114" i="1"/>
  <c r="R97" i="1"/>
  <c r="R98" i="1"/>
  <c r="R100" i="1"/>
  <c r="R101" i="1"/>
  <c r="R102" i="1"/>
  <c r="R103" i="1"/>
  <c r="R89" i="1"/>
  <c r="R90" i="1"/>
  <c r="R91" i="1"/>
  <c r="R93" i="1"/>
  <c r="R94" i="1"/>
  <c r="R85" i="1"/>
  <c r="R77" i="1"/>
  <c r="R78" i="1"/>
  <c r="R79" i="1"/>
  <c r="R80" i="1"/>
  <c r="R69" i="1"/>
  <c r="R70" i="1"/>
  <c r="R72" i="1"/>
  <c r="R73" i="1"/>
  <c r="R74" i="1"/>
  <c r="R75" i="1"/>
  <c r="R60" i="1"/>
  <c r="R63" i="1"/>
  <c r="R64" i="1"/>
  <c r="R149" i="1"/>
  <c r="R151" i="1"/>
  <c r="R152" i="1"/>
  <c r="R154" i="1"/>
  <c r="R141" i="1"/>
  <c r="R142" i="1"/>
  <c r="R143" i="1"/>
  <c r="R135" i="1"/>
  <c r="R136" i="1"/>
  <c r="R138" i="1"/>
  <c r="R139" i="1"/>
  <c r="Q55" i="1"/>
  <c r="Q43" i="1"/>
  <c r="Q34" i="1"/>
  <c r="Q37" i="1"/>
  <c r="Q39" i="1"/>
  <c r="Q20" i="1"/>
  <c r="Q21" i="1"/>
  <c r="Q23" i="1"/>
  <c r="Q24" i="1"/>
  <c r="Q129" i="1"/>
  <c r="Q122" i="1"/>
  <c r="Q117" i="1"/>
  <c r="Q118" i="1"/>
  <c r="Q120" i="1"/>
  <c r="Q113" i="1"/>
  <c r="Q115" i="1"/>
  <c r="Q97" i="1"/>
  <c r="Q98" i="1"/>
  <c r="Q103" i="1"/>
  <c r="Q91" i="1"/>
  <c r="Q93" i="1"/>
  <c r="Q94" i="1"/>
  <c r="Q82" i="1"/>
  <c r="Q83" i="1"/>
  <c r="Q85" i="1"/>
  <c r="Q87" i="1"/>
  <c r="Q77" i="1"/>
  <c r="Q78" i="1"/>
  <c r="Q69" i="1"/>
  <c r="Q70" i="1"/>
  <c r="Q72" i="1"/>
  <c r="Q73" i="1"/>
  <c r="Q74" i="1"/>
  <c r="Q75" i="1"/>
  <c r="Q62" i="1"/>
  <c r="Q64" i="1"/>
  <c r="Q142" i="1"/>
  <c r="Q143" i="1"/>
  <c r="Q134" i="1"/>
  <c r="Q135" i="1"/>
  <c r="Q136" i="1"/>
  <c r="Q138" i="1"/>
  <c r="Q139" i="1"/>
  <c r="J124" i="1" l="1"/>
  <c r="I67" i="1"/>
  <c r="J67" i="1"/>
  <c r="J33" i="1"/>
  <c r="I116" i="1"/>
  <c r="J116" i="1"/>
  <c r="J110" i="1"/>
  <c r="I110" i="1"/>
  <c r="J133" i="1"/>
  <c r="I133" i="1"/>
  <c r="I96" i="1"/>
  <c r="J96" i="1"/>
  <c r="J140" i="1"/>
  <c r="I140" i="1"/>
  <c r="J121" i="1"/>
  <c r="I121" i="1"/>
  <c r="J144" i="1"/>
  <c r="I144" i="1"/>
  <c r="I59" i="1"/>
  <c r="J59" i="1"/>
  <c r="I33" i="1"/>
  <c r="J88" i="1"/>
  <c r="I88" i="1"/>
  <c r="J42" i="1"/>
  <c r="I42" i="1"/>
  <c r="I79" i="1"/>
  <c r="I76" i="1" s="1"/>
  <c r="Q22" i="1"/>
  <c r="I19" i="1"/>
  <c r="I13" i="1"/>
  <c r="I10" i="1" s="1"/>
  <c r="I28" i="1"/>
  <c r="Q38" i="1"/>
  <c r="I51" i="1"/>
  <c r="I31" i="1"/>
  <c r="I16" i="1"/>
  <c r="Q141" i="1"/>
  <c r="I107" i="1"/>
  <c r="Q63" i="1"/>
  <c r="Q111" i="1"/>
  <c r="Q86" i="1"/>
  <c r="I124" i="1"/>
  <c r="Q95" i="1"/>
  <c r="Q35" i="1"/>
  <c r="Q56" i="1"/>
  <c r="I55" i="1"/>
  <c r="Q60" i="1"/>
  <c r="Q127" i="1"/>
  <c r="Q25" i="1"/>
  <c r="I105" i="1"/>
  <c r="I80" i="1"/>
  <c r="I152" i="1"/>
  <c r="J148" i="1" s="1"/>
  <c r="I83" i="1"/>
  <c r="I81" i="1" s="1"/>
  <c r="Q109" i="1"/>
  <c r="Q71" i="1"/>
  <c r="Q89" i="1"/>
  <c r="Q130" i="1"/>
  <c r="Q45" i="1"/>
  <c r="I101" i="1"/>
  <c r="I114" i="1"/>
  <c r="Q150" i="1"/>
  <c r="F158" i="1" s="1"/>
  <c r="Q48" i="1"/>
  <c r="Q106" i="1"/>
  <c r="U104" i="1" s="1"/>
  <c r="Q68" i="1"/>
  <c r="Q30" i="1"/>
  <c r="I15" i="1"/>
  <c r="I27" i="1" l="1"/>
  <c r="I9" i="1" s="1"/>
  <c r="J27" i="1"/>
  <c r="I54" i="1"/>
  <c r="J54" i="1"/>
  <c r="J132" i="1"/>
  <c r="J10" i="1"/>
  <c r="I104" i="1"/>
  <c r="I58" i="1" s="1"/>
  <c r="J104" i="1"/>
  <c r="I148" i="1"/>
  <c r="I132" i="1" s="1"/>
  <c r="J81" i="1"/>
  <c r="J76" i="1"/>
  <c r="J58" i="1" s="1"/>
  <c r="I4" i="1" l="1"/>
  <c r="J9" i="1"/>
  <c r="J5" i="1" s="1"/>
</calcChain>
</file>

<file path=xl/sharedStrings.xml><?xml version="1.0" encoding="utf-8"?>
<sst xmlns="http://schemas.openxmlformats.org/spreadsheetml/2006/main" count="335" uniqueCount="318">
  <si>
    <t>CAE</t>
  </si>
  <si>
    <t>CAD-CAE INTEGRATION</t>
  </si>
  <si>
    <t>Very valuable
in routine use today</t>
  </si>
  <si>
    <t>Valuable
in occasional use today</t>
  </si>
  <si>
    <t>Potentially valuable
would consider using if 
we had access to capability</t>
  </si>
  <si>
    <t>Potentially very valuable
would use immediately if 
we had access to capability</t>
  </si>
  <si>
    <t>Marginally valuable
capability available but 
we have no training</t>
  </si>
  <si>
    <t>Response</t>
  </si>
  <si>
    <t>Category</t>
  </si>
  <si>
    <t>Score</t>
  </si>
  <si>
    <t>3D Component Design</t>
  </si>
  <si>
    <t>Not valuable or
unable to comment</t>
  </si>
  <si>
    <t>Create 3D models of mechanical and structural components</t>
  </si>
  <si>
    <t>Compose component models from saved features, catalog entries</t>
  </si>
  <si>
    <t>3D  Assembly Design</t>
  </si>
  <si>
    <t>3D Model Reuse</t>
  </si>
  <si>
    <t>Compose assemblies from saved features/components/libraries</t>
  </si>
  <si>
    <t>Export 3D models to manufacturing</t>
  </si>
  <si>
    <t>Export 3D models to customers, web sites, etc.</t>
  </si>
  <si>
    <t>Create exploded isometric assembly drawings</t>
  </si>
  <si>
    <t>Create assembly, operating and servicing manual illustrations</t>
  </si>
  <si>
    <t>3D Model Post-Processing - Graphical</t>
  </si>
  <si>
    <t>3D Model Post-Processing - Non-Graphical</t>
  </si>
  <si>
    <t>Generate 3D sub-assemblies and assemblies by merging 
component models</t>
  </si>
  <si>
    <t>Analysis Options</t>
  </si>
  <si>
    <t>Analysis Purpose</t>
  </si>
  <si>
    <t>Evaluate performance (e.g., strength analysis to detect 
potential failure modes)</t>
  </si>
  <si>
    <t>Provide design/redesign recommendations (e. g., strengthening / 
stiffening of portions of structure)</t>
  </si>
  <si>
    <t>Evaluate conformance to client's functional requirements</t>
  </si>
  <si>
    <t>Evaluate conformance to external standards (e. g., ASME Boiler Code)</t>
  </si>
  <si>
    <t>Optimize component/system performance attributes 
(e. g., strength vs. mass)</t>
  </si>
  <si>
    <t>Optimize component/system manufacturing attributes 
(e. g., strength vs. cost)</t>
  </si>
  <si>
    <t>Structural Analysis Options</t>
  </si>
  <si>
    <t>Harmonic analysis</t>
  </si>
  <si>
    <t>Computational Fluid Mechanics Options</t>
  </si>
  <si>
    <t>Acoustic analysis</t>
  </si>
  <si>
    <t>Contained fluid analysis</t>
  </si>
  <si>
    <t>Fluid flow (mass transport) analysis</t>
  </si>
  <si>
    <t>Heat and mass transport analysis</t>
  </si>
  <si>
    <t>Electrostatic/Electromagnetic Analysis Options</t>
  </si>
  <si>
    <t>Steady state/ low frequency analysis</t>
  </si>
  <si>
    <t>High frequency analysis</t>
  </si>
  <si>
    <t>Transient analysis</t>
  </si>
  <si>
    <t>Thermal Analysis Options</t>
  </si>
  <si>
    <t>Steady state analysis</t>
  </si>
  <si>
    <t>Radiation and reflection analysis</t>
  </si>
  <si>
    <t>Multiphysics Analysis Options</t>
  </si>
  <si>
    <t>Post-Processing of Analysis Results</t>
  </si>
  <si>
    <t>Combined domain behavior analysis 
(e. g., structural-thermal, electrostatic-thermal)</t>
  </si>
  <si>
    <t>Cross-plot of analysis results (e. g., stress contours 
vs. displaced shape)</t>
  </si>
  <si>
    <t>Analysis Model Generation and Import</t>
  </si>
  <si>
    <t>Analysis Model Idealization and Discretization</t>
  </si>
  <si>
    <t>Analysis Model Reuse</t>
  </si>
  <si>
    <t>Compose analysis models of assemblies from saved component models</t>
  </si>
  <si>
    <t>Importing from CAD to CAE</t>
  </si>
  <si>
    <t>Exporting from CAE to CAD</t>
  </si>
  <si>
    <t>Create CAE model within CAD system</t>
  </si>
  <si>
    <t xml:space="preserve">Directly import CAE model from CAD system </t>
  </si>
  <si>
    <t>Import CAE model from CAD system in standard format, e. g., AP 209</t>
  </si>
  <si>
    <t>Import CAE model components from vendors, customers</t>
  </si>
  <si>
    <t>Import CAE model from CAD system in vendor-supplied format</t>
  </si>
  <si>
    <t>Performed in the CAD system</t>
  </si>
  <si>
    <t>Performed in the CAE system</t>
  </si>
  <si>
    <t>Idealization of CAD model into CAE model - see Analysis Model Idealization and Discretization</t>
  </si>
  <si>
    <t>Postprocessing of CAE model - see Post-Processing of Analysis Results</t>
  </si>
  <si>
    <t>Display of CAE results from CAD model</t>
  </si>
  <si>
    <t>Assign non-geometric attributes to CAD model from CAE model and results</t>
  </si>
  <si>
    <t>Current value</t>
  </si>
  <si>
    <t>Potential value</t>
  </si>
  <si>
    <t>3D Model Sharing</t>
  </si>
  <si>
    <t>3D display rendering of analysis results (e.g., stress 
or temperature contours)</t>
  </si>
  <si>
    <t>Compose component models using saved features, catalog entries, and other components</t>
  </si>
  <si>
    <t>Annotation</t>
  </si>
  <si>
    <t>Feature</t>
  </si>
  <si>
    <t>Parameter</t>
  </si>
  <si>
    <t>a measurable, controllable  factor that defines a characteristic of a component or feature.  Changing the parameter results in a change in the characteristic.  A typical parameter is a physical dimension of a feature.</t>
  </si>
  <si>
    <t>Perform static and dynamic spatial interference checks on assemblies.  Static checks ensure that components fit together properly.  Dynamic checks ensure that moving components (e.g. rotating shafts, sliding mechanisms, etc.) may move within their specified ranges without impacting upon other components.</t>
  </si>
  <si>
    <t>A1</t>
  </si>
  <si>
    <t>A2</t>
  </si>
  <si>
    <t>A3</t>
  </si>
  <si>
    <t>A4</t>
  </si>
  <si>
    <t>A5</t>
  </si>
  <si>
    <t>A6</t>
  </si>
  <si>
    <t>A7</t>
  </si>
  <si>
    <t>Define and use "parametric" 3D component models constructed such that a change in a dimensional "parameter" results in a change of the design and appearance of the component (i.e. changing the dimension of a hole diameter automatically resizes the hole shown in the design)</t>
  </si>
  <si>
    <t>B1</t>
  </si>
  <si>
    <t>B2</t>
  </si>
  <si>
    <t>B3</t>
  </si>
  <si>
    <t>B4</t>
  </si>
  <si>
    <t>B5</t>
  </si>
  <si>
    <t>B6</t>
  </si>
  <si>
    <t>E1</t>
  </si>
  <si>
    <t>E2</t>
  </si>
  <si>
    <t>E3</t>
  </si>
  <si>
    <t>E4</t>
  </si>
  <si>
    <t>E5</t>
  </si>
  <si>
    <t>E6</t>
  </si>
  <si>
    <t>E7</t>
  </si>
  <si>
    <t>E8</t>
  </si>
  <si>
    <t>E9</t>
  </si>
  <si>
    <t>F1</t>
  </si>
  <si>
    <t>F2</t>
  </si>
  <si>
    <t>Create orthographic (i.e. plan and elevation) views of components and assemblies from 3D models</t>
  </si>
  <si>
    <t>Create sectioned views of components and assemblies from 3D models</t>
  </si>
  <si>
    <t>Create "wireframe" images of components and assemblies from 3D models</t>
  </si>
  <si>
    <t>Create rendered images of components and assemblies from 3D models.</t>
  </si>
  <si>
    <t>Create animated images of components and assemblies from 3D models.</t>
  </si>
  <si>
    <t>Create other orthographic (auxiliary) views of components and assemblies from 3D models</t>
  </si>
  <si>
    <t>Calculate mass properties (weight, volume, surface area, inertial moments, center of gravity, etc.) of components and assemblies</t>
  </si>
  <si>
    <t>Rate the capabilities listed below as to their value to your company.</t>
  </si>
  <si>
    <t>When responses for a category are completed, the composite scores for current and potential values of the category are displayed. When all categories are completed, the aggregate scores are displayed.</t>
  </si>
  <si>
    <t>You may experiment with alternate scenarios by clearing some or all of the responses and entering new responses:</t>
  </si>
  <si>
    <t>D1</t>
  </si>
  <si>
    <t>D2</t>
  </si>
  <si>
    <t>D3</t>
  </si>
  <si>
    <t>D4</t>
  </si>
  <si>
    <t>D5</t>
  </si>
  <si>
    <t>D6</t>
  </si>
  <si>
    <t>D7</t>
  </si>
  <si>
    <t>Import 3D models of components from vendors for incorporation into 3D component and assembly models</t>
  </si>
  <si>
    <t>Export 3D models to manufacturing, material control, engineering analysis, etc.</t>
  </si>
  <si>
    <t>Component</t>
  </si>
  <si>
    <t>Assembly</t>
  </si>
  <si>
    <t>A collection of components interconnected in a specified manner</t>
  </si>
  <si>
    <t>Assign/display non-geometric attributes of components such as material properties, surface finishes, etc.</t>
  </si>
  <si>
    <t>Assign/display component dimensions and tolerances</t>
  </si>
  <si>
    <t>Define interfaces between components using geometric constraints.  For example, make cylindrical elements of two components concentric, or make planar surfaces of two components parallel or co-located.</t>
  </si>
  <si>
    <t>Produce bills of materials for assemblies based upon the components contained within the assembly</t>
  </si>
  <si>
    <t>Assign/display component annotations such as dimensions, tolerances, explanatory notes Bill-of-materials reference numbers, etc.</t>
  </si>
  <si>
    <t>Create 3D views of models in varying orientations (i.e. viewing it from different perspectives)</t>
  </si>
  <si>
    <t>E10</t>
  </si>
  <si>
    <t>C1</t>
  </si>
  <si>
    <t>C2</t>
  </si>
  <si>
    <t>C3</t>
  </si>
  <si>
    <t>C4</t>
  </si>
  <si>
    <t>CAD</t>
  </si>
  <si>
    <t>Computer-Aided Design - a category of computer-based tools enabling a designer to develop and utilize geometric models of mechanical elements and collections of mechanical elements</t>
  </si>
  <si>
    <t>Computer-Aided Engineering - a category of computer-based tools enabling an engineer to analyze physical properties of mechanical elements and collections of mechanical elements based upon geometric models of those elements</t>
  </si>
  <si>
    <t>G1</t>
  </si>
  <si>
    <t>G2</t>
  </si>
  <si>
    <t>G3</t>
  </si>
  <si>
    <t>G4</t>
  </si>
  <si>
    <t>G5</t>
  </si>
  <si>
    <t>H1</t>
  </si>
  <si>
    <t>H2</t>
  </si>
  <si>
    <t>H3</t>
  </si>
  <si>
    <t>H5</t>
  </si>
  <si>
    <t>H6</t>
  </si>
  <si>
    <t>H7</t>
  </si>
  <si>
    <t>H8</t>
  </si>
  <si>
    <t>I1</t>
  </si>
  <si>
    <t>I2</t>
  </si>
  <si>
    <t>I3</t>
  </si>
  <si>
    <t>J1</t>
  </si>
  <si>
    <t>J2</t>
  </si>
  <si>
    <t>J3</t>
  </si>
  <si>
    <t>J4</t>
  </si>
  <si>
    <t>J5</t>
  </si>
  <si>
    <t>K1</t>
  </si>
  <si>
    <t>K2</t>
  </si>
  <si>
    <t>K3</t>
  </si>
  <si>
    <t>K4</t>
  </si>
  <si>
    <t>K5</t>
  </si>
  <si>
    <t>K6</t>
  </si>
  <si>
    <t>L1</t>
  </si>
  <si>
    <t>L2</t>
  </si>
  <si>
    <t>L3</t>
  </si>
  <si>
    <t>L4</t>
  </si>
  <si>
    <t>L5</t>
  </si>
  <si>
    <t>L6</t>
  </si>
  <si>
    <t>M1</t>
  </si>
  <si>
    <t>M2</t>
  </si>
  <si>
    <t>M3</t>
  </si>
  <si>
    <t>M4</t>
  </si>
  <si>
    <t>N1</t>
  </si>
  <si>
    <t>N2</t>
  </si>
  <si>
    <t>N3</t>
  </si>
  <si>
    <t>N4</t>
  </si>
  <si>
    <t>O1</t>
  </si>
  <si>
    <t>O2</t>
  </si>
  <si>
    <t>O3</t>
  </si>
  <si>
    <t>P1</t>
  </si>
  <si>
    <t>Q1</t>
  </si>
  <si>
    <t>Q2</t>
  </si>
  <si>
    <t>Q3</t>
  </si>
  <si>
    <t>Q4</t>
  </si>
  <si>
    <t>Q5</t>
  </si>
  <si>
    <t>R1</t>
  </si>
  <si>
    <t>R2</t>
  </si>
  <si>
    <t>R3</t>
  </si>
  <si>
    <t>R4</t>
  </si>
  <si>
    <t>R5</t>
  </si>
  <si>
    <t>S1</t>
  </si>
  <si>
    <t>S2</t>
  </si>
  <si>
    <t>T1</t>
  </si>
  <si>
    <t>T2</t>
  </si>
  <si>
    <t>U1</t>
  </si>
  <si>
    <t>U2</t>
  </si>
  <si>
    <t>U3</t>
  </si>
  <si>
    <t>U4</t>
  </si>
  <si>
    <t>U5</t>
  </si>
  <si>
    <t>Create libraries of features, components and sub-assemblies for future use in the creation of new components and sub-assemblies</t>
  </si>
  <si>
    <t>Create geometric models of components and assemblies suitable for analysis using the model generation capabilities of the CAE tool</t>
  </si>
  <si>
    <t>Import geometric models of components and assemblies from outside sources in standard formats</t>
  </si>
  <si>
    <t>Edit models imported from outside sources to make them suitable for analysis using the model editing capabilities of the CAE tool</t>
  </si>
  <si>
    <t>Define the physical properties (e.g. density, moduli, etc.) of materials incorporated in components or assemblies</t>
  </si>
  <si>
    <t>Import the physical properties (e.g. density, moduli, etc.) of materials incorporated in components or assemblies from outside sources</t>
  </si>
  <si>
    <t>G6</t>
  </si>
  <si>
    <t>Import and utilize geometric models previously generated using the model generation capabilities of the CAE tool</t>
  </si>
  <si>
    <t>Selectively suppress features and details of the component or assembly model to create a "simplified" model suitable for analysis</t>
  </si>
  <si>
    <t>CAE - FINITE ELEMENT ANALYSIS</t>
  </si>
  <si>
    <t>Capture and reuse analysis models of components and assemblies</t>
  </si>
  <si>
    <t>Create libraries of component and assembly analysis models</t>
  </si>
  <si>
    <t>Select the type of element (e.g. line, shell, brick, tetrahedron, etc.) to be used in the finite element analysis</t>
  </si>
  <si>
    <t>Element</t>
  </si>
  <si>
    <t>Finite Element Analysis</t>
  </si>
  <si>
    <t>Meshing</t>
  </si>
  <si>
    <t xml:space="preserve">The process of dividing a physical system into constituent elements.  Often viewed as overlaying a 3-dimensional "mesh" onto the system.
</t>
  </si>
  <si>
    <t>Define Mesh parameters such as mesh density, orientation, etc.</t>
  </si>
  <si>
    <t>Provide automated selection of elements and mesh parameters</t>
  </si>
  <si>
    <t>Analyze component or assembly performance in the presence of time-dependent material properties</t>
  </si>
  <si>
    <t>Analyze component or assembly performance in the presence of temperature-dependent material properties</t>
  </si>
  <si>
    <t>Deflection (stiffness) analysis - in response to static force stimuli, determine the distribution of deflections throughout the component or assembly</t>
  </si>
  <si>
    <t>Modal frequency analysis - Determine the frequencies and shapes of the resonant modes of the component or assembly</t>
  </si>
  <si>
    <t>3D display of analysis results showing amplified model displacement (e.g. deflection, resonant mode shapes, etc.)</t>
  </si>
  <si>
    <t>3D display of meshed model</t>
  </si>
  <si>
    <t>Idealization</t>
  </si>
  <si>
    <t>Utilize Dimensional Reduction (e.g. model a beam as a line element, a plate as a thin shell element, a solid as a thick shell, etc.) to create a "simplified" model suitable for analysis</t>
  </si>
  <si>
    <t>Utilize Geometric  Idealization Operations (e. g., split a symmetric component and only analyze half of it, merge and connect separate elements with "glue" functions, etc.))</t>
  </si>
  <si>
    <t>Analyze performance of the system containing Geometric Nonlinearities (e.g. buckling, large displacements, etc.)</t>
  </si>
  <si>
    <t>Define and use constraints on 3D component models (e.g. specify that two surfaces are parallel, specify that two cylinders are concentric, etc.)</t>
  </si>
  <si>
    <t>Capture and reuse models, features, components and sub-assemblies</t>
  </si>
  <si>
    <t>Define interfaces between components parametrically.  For example, two flanges may be connected by a circle of "N" bolts.  The value of N defines the number and spacing of the holes in both components, as well as the number of bolts on the BOM.</t>
  </si>
  <si>
    <t>Buckling (collapse) analysis - identify the load that will result in instability and collapse of the system</t>
  </si>
  <si>
    <t>Time-domain analysis - determine the motion of a system in response to a time-varying stimulus (e.g. wind loading, earthquake, etc.)</t>
  </si>
  <si>
    <t>Export the analysis model (a simplified, idealized model) created in the CAE system and import it to a CAD system as the starting point for the creation of a CAD design containing all necessary detail information</t>
  </si>
  <si>
    <t>Aggregation of results across a selected set of elements to provide a measurement of rigid-body forces (e.g. sum the x-axis forces of all elements at the end of a shaft to determine total thrust force.)</t>
  </si>
  <si>
    <t>Evaluation of results to identify conformance with pre-defined requirements (e.g. ASME boiler code, AISC code for structural steel in buildings, etc.)</t>
  </si>
  <si>
    <t>Transfer mass properties from the CAE model to the CAD model</t>
  </si>
  <si>
    <t>Transfer annotations added on the CAE model to the CAD model</t>
  </si>
  <si>
    <t>PURPOSE</t>
  </si>
  <si>
    <t>AUDIENCE</t>
  </si>
  <si>
    <t>ASSESSMENT METHOD</t>
  </si>
  <si>
    <t>a.</t>
  </si>
  <si>
    <t>b.</t>
  </si>
  <si>
    <t>NEED</t>
  </si>
  <si>
    <t>REFERENCES</t>
  </si>
  <si>
    <t>For a detailed discussion of the application of advanced engineering tools in SMEs, see the following reports</t>
  </si>
  <si>
    <t>1.</t>
  </si>
  <si>
    <t>2.</t>
  </si>
  <si>
    <t>c.</t>
  </si>
  <si>
    <t>Very valuable, in routine use today</t>
  </si>
  <si>
    <t>Marginally valuable, capability available but we have no training</t>
  </si>
  <si>
    <t>Valuable, in occasional use today</t>
  </si>
  <si>
    <t>Not valuable or unable to comment</t>
  </si>
  <si>
    <t>Value to the operation as envisioned in the future - the user is asked to rate the potential importance of specific functions as:</t>
  </si>
  <si>
    <t>Value to the present operation - For tools presently in use, the user is asked to rate the importance of specific functions.  This provides a measure of the utilization of the present tool set.  The user rates each function as:</t>
  </si>
  <si>
    <t>AUTHORS</t>
  </si>
  <si>
    <t>SCOPE</t>
  </si>
  <si>
    <t>TERM</t>
  </si>
  <si>
    <t>DEFINITION</t>
  </si>
  <si>
    <t>On the "Assessment Tool" sheet of this Workbook, enter your responses:  Enter only one "y" in each row.  A character other than "y" does not contribute to the score.</t>
  </si>
  <si>
    <t>Translate models from the native format of the CAD tool to standard formats for exporting</t>
  </si>
  <si>
    <t>Translate imported models to local (native) format of the CAD tool</t>
  </si>
  <si>
    <t>A method of analyzing the characteristics and performance of a complex physical system (e.g. mechanical structure, compressible fluid, etc.)  by:
  a.  modeling the system as a collection of small interconnected "elements",
  b.  simulating the response of each element to physical stimuli, and
  c   combining the responses of all elements to approximate the response of the entire system.</t>
  </si>
  <si>
    <t>An independent, free-standing part, often combined with other parts to create "Assemblies" (see Assembly)</t>
  </si>
  <si>
    <t xml:space="preserve">explanatory textual information added to a feature or component of a CAD model.  Typical annotations include dimensions, notes, tolerances, etc.  </t>
  </si>
  <si>
    <t>Potentially very valuable; would use immediately if  we had access to the capability</t>
  </si>
  <si>
    <t>Potentially valuable; would consider using if we had access to the capability</t>
  </si>
  <si>
    <t>the current contribution of engineering tools presently in use (i.e. How valuable are the tools I am using in my operation?)</t>
  </si>
  <si>
    <t>INSTRUCTIONS FOR USE</t>
  </si>
  <si>
    <t>A prominent or distinctive characteristic or a constituent element of a component.  Typical features for mechanical components include holes, bosses, fillets, etc.</t>
  </si>
  <si>
    <t>© 2003 by Carnegie Mellon University</t>
  </si>
  <si>
    <t>NO WARRANTY</t>
  </si>
  <si>
    <t>EXTERNAL USE</t>
  </si>
  <si>
    <t>This work was created in the performance of Federal Government Contract Number F19628-00-C-0003 with Carnegie Mellon University for the operation of the Software Engineering Institute, a federally funded research and development center.  The Government of the United States has a royalty-free government-purpose license to use, duplicate, or disclose the work, in whole or in part and in any manner, and to have or permit others to do so, for government purposes pursuant to the copyright license under the clause at 252.227-7013.</t>
  </si>
  <si>
    <t>LICENSE AND DISCLAIMERS</t>
  </si>
  <si>
    <t>CARNEGIE MELLON INDEMNIFICATION</t>
  </si>
  <si>
    <t>The minimum analytical unit for Finite Element Analysis.  A small portion of a complex physical system treated as a homogenous unit responding to external stimuli and adjacent elements in accordance with pre-defined characteristics</t>
  </si>
  <si>
    <t xml:space="preserve">This work is sponsored by the U.S. Department of Defense, and was performed jointly by Carnegie Mellon University (Carnegie Mellon) through its Software Engineering Institute and the National Institute of Standards and Technology.  The Software Engineering Institute is a federally funded research and development center sponsored by the U.S. Department of Defense.
  </t>
  </si>
  <si>
    <t xml:space="preserve">Copyright 2003 by Carnegie Mellon University.
</t>
  </si>
  <si>
    <t xml:space="preserve">Permission is hereby granted, free of charge, to any person obtaining a copy of this software and associated documentation files (the “Software”), to deal in the Software without restriction, including without limitation the rights to reproduce and use “as is” the Software under the following conditions:
</t>
  </si>
  <si>
    <t xml:space="preserve">The above copyright notice and this permission notice shall be included in all copies or substantial portions of the Software.
</t>
  </si>
  <si>
    <t xml:space="preserve">CARNEGIE MELLON MAKES NO WARRANTY OF ANY KIND WITH RESPECT TO FREEDOM FROM PATENT, TRADEMARK, OR COPYRIGHT, INFRINGEMENT, OR THEFT OF TRADE SECRETS AND DOES NOT ASSUME ANY LIABILITY HEREUNDER FOR ANY INFRINGEMENT OF ANY PATENT, TRADEMARK, OR COPYRIGHT ARISING FROM THE USE OF THE DELIVERABLES, INFORMATION, INTELLECTUAL PROPERTY, OR OTHER PROPERTY OR RIGHTS GRANTED TO IT OR PROVIDED BY IT HEREUNDER.  LICENSEE AGREES THAT IT WILL NOT MAKE ANY WARRANTY ON BEHALF OF CARNEGIE MELLON EXPRESSED OR IMPLIED, TO ANY PERSON CONCERNING THE APPLICATION OF OR THE RESULTS TO BE OBTAINED WITH THE SOFTWARE UNDER THIS AGREEMENT.
</t>
  </si>
  <si>
    <t xml:space="preserve">Licensee hereby agrees to defend, indemnify, and hold harmless Carnegie Mellon, its trustees, officers, employees, and agents from all claims or demands made against them (and any related losses, expenses, or attorney’s fees) arising out of, or relating to licensee’s negligent use or willful misuse of or negligent conduct or willful misconduct regarding Carnegie Mellon Intellectual Property, facilities, or other rights or assistance granted by Carnegie Mellon under this Agreement, including, but not limited to, any claims of product liability, personal injury, death, damage to property, or violation of any laws or regulations.
</t>
  </si>
  <si>
    <t xml:space="preserve">Request for permission for any other use should be sent to permission@sei.cmu.edu.
</t>
  </si>
  <si>
    <t>ANY LICENSED SOFTWARE IS PROVIDED ON AN “AS IS” BASIS.  CARNEGIE MELLON MAKES NO WARRANTIES OF ANY KIND, EITHER EXPRESSED OR IMPLIED, AS TO ANY MATTER INCLUDING, BUT NOT LIMITED TO, WARRANTY OF FITNESS FOR A PARTICULAR PURPOSE, OR MERCHANTABILITY, EXCLUSIVITY OR RESULTS OBTAINED FROM LICENSEE’S USE OF ANY INTELLECTUAL PROPERTY DEVELOPED UNDER THIS AGREEMENT, NOR SHALL ANY PARTY HERETO BE LIABLE TO THE OTHER FOR INDIRECT, SPECIAL, OR CONSEQUENTIAL DAMAGES SUCH AS LOSS OF PROFITS OR INABILITY TO USE SAID INTELLECTUAL PROPERTY OR ANY APPLICATIONS AN/OR DERIVATIONS THEREOF.</t>
  </si>
  <si>
    <t xml:space="preserve">Identify non-geometric attributes (e.g. weight, volume, surface area, inertial moments, center of gravity, etc.) of an assembly of components through the aggregation of attributes of the components </t>
  </si>
  <si>
    <r>
      <t xml:space="preserve">The weighted average of the individual function assessments (cells outlined in </t>
    </r>
    <r>
      <rPr>
        <b/>
        <sz val="10"/>
        <color indexed="12"/>
        <rFont val="Arial"/>
        <family val="2"/>
      </rPr>
      <t>BLUE</t>
    </r>
    <r>
      <rPr>
        <sz val="10"/>
        <rFont val="Arial"/>
        <family val="2"/>
      </rPr>
      <t xml:space="preserve">) is used to generate two assessment "scores" shown at the top of the worksheet (cells outlined in </t>
    </r>
    <r>
      <rPr>
        <b/>
        <sz val="10"/>
        <color indexed="10"/>
        <rFont val="Arial"/>
        <family val="2"/>
      </rPr>
      <t>RED</t>
    </r>
    <r>
      <rPr>
        <sz val="10"/>
        <rFont val="Arial"/>
        <family val="2"/>
      </rPr>
      <t>); one reflecting the current value and one reflecting the potential value of the tools.</t>
    </r>
  </si>
  <si>
    <t>The Purpose of the SELF ASSESSMENT TOOL FOR ENGINEERING TOOL CAPABILITIES   (SAT-ETC) is to help the technical staff of Small Manufacturing Enterprises (SMEs) assess:</t>
  </si>
  <si>
    <t>Recent advances in the field of engineering tools have produced CAD and CAE tools that are affordable and easy to use.  SMEs can gain efficiency by integrating advanced design and engineering tools into the product development process.  Many SMEs are not fully aware of the capabilities of common CAD and CAE tools, nor are they aware of ways in which these tools can improve their operations.  The SAT-ETC attempts to map the needs and desires of the operation to the capabilities of specific classes of CAD and CAE tools, showing the SME the utility of these tools to his operation.</t>
  </si>
  <si>
    <t>Presently the SAT-ETC is configured to address the following classes of CAD and CAE products:
   1.  3D Solid Modeling CAD tools
   2.  Finite Element Analysis tools
More tool classes may be added at a later date.</t>
  </si>
  <si>
    <t>To make effective use of the SAT-ETC, the user must have a detailed knowledge of the design process presently employed at the SME.  Furthermore, to accurately answer the questions posed by the SAT-ETC, the user must have a basic understanding of the function of CAD and CAE tools.  Generally speaking, the SAT-ETC is intended for use by the technical manager responsible for design engineering.</t>
  </si>
  <si>
    <t>SELF-ASSESSMENT TOOL FOR ENGINEERING TOOL CAPABILITIES (SAT-ETC)    v1.01</t>
  </si>
  <si>
    <t>SELF-ASSESSMENT TOOL FOR ENGINEERING TOOL CAPABILITIES (SAT-ETC)  v1.01</t>
  </si>
  <si>
    <t>SELF-ASSESSMENT TOOL FOR ENGINEERING TOOL CAPABILITIES (SAT-ETC)          v1.01</t>
  </si>
  <si>
    <t>SELF-ASSESSMENT TOOL FOR ENGINEERING TOOL CAPABILITIES (SAT-ETC)      v1.01</t>
  </si>
  <si>
    <t>Import and reuse 3D models of components (e.g. bolts, bearings, etc.) from suppliers' literature (e.g. catalogs, web sites, etc.) for incorporation into 3D components and assembly models</t>
  </si>
  <si>
    <t>View 3D models on computer stations not equipped with the CAD software, provide comments and feedback to the designer via the incorporation of graphic overlays ("red-lines") and annotations.   This capability may be exercised at remote locations via the internet.</t>
  </si>
  <si>
    <t>Utilize Medial axis transform methods</t>
  </si>
  <si>
    <t>Analyze performance of the system with the assumption that it responds linearly to stimuli</t>
  </si>
  <si>
    <t xml:space="preserve">The process of converting a comprehensive geometric model into a simpler model suitable for analysis.  Idealization typically involves the removal of minor features irrelevant to the analysis at hand (defeaturing), but may also make major modifications of the spatial model, e.g., replacing a solid by its medial axis transform.  
</t>
  </si>
  <si>
    <r>
      <t>This product is the result of a joint effort between The National Institute of Standards and Technology (NIST), Manufacturing Engineering Laboratory and The Software Engineering Institute, Carnegie Mellon University</t>
    </r>
    <r>
      <rPr>
        <i/>
        <sz val="10"/>
        <rFont val="Arial"/>
        <family val="2"/>
      </rPr>
      <t xml:space="preserve"> </t>
    </r>
    <r>
      <rPr>
        <sz val="10"/>
        <rFont val="Arial"/>
        <family val="2"/>
      </rPr>
      <t>under the sponsorship of the Technology Insertion, Demonstration, and Evaluation (TIDE) program.  Authors of this product are
    Fenves, Steven       National Institute of Standards and Technology
    Elm, Joseph           Software Engineering Institute; Carnegie Mellon University
    Robert, John           Software Engineering Institute; Carnegie Mellon University</t>
    </r>
  </si>
  <si>
    <t>In the creation of the SAT-ETC, the authors attempted to "deconstruct" several classes of engineering tools to identify their fundamental functions.  We then crafted a set of questions intended to enable SME technical staff to self-assess the "value" of that function to their design function.  Value is defined in two manners:</t>
  </si>
  <si>
    <r>
      <t xml:space="preserve"> Fenves, Steve; Sriram, Ram; Choi, Young; Elm, Joseph; &amp; Robert, John
</t>
    </r>
    <r>
      <rPr>
        <i/>
        <sz val="10"/>
        <rFont val="Arial"/>
        <family val="2"/>
      </rPr>
      <t>Advanced Engineering Environments for Small Manufacturing Enterprises: Volume I</t>
    </r>
    <r>
      <rPr>
        <sz val="10"/>
        <rFont val="Arial"/>
        <family val="2"/>
      </rPr>
      <t>; TBD</t>
    </r>
  </si>
  <si>
    <r>
      <t xml:space="preserve"> Fenves, Steve; Sriram, Ram; Choi, Young; Elm, Joseph; &amp; Robert, John
</t>
    </r>
    <r>
      <rPr>
        <i/>
        <sz val="10"/>
        <rFont val="Arial"/>
        <family val="2"/>
      </rPr>
      <t>Advanced Engineering Environments for Small Manufacturing Enterprises: Volume II</t>
    </r>
    <r>
      <rPr>
        <sz val="10"/>
        <rFont val="Arial"/>
        <family val="2"/>
      </rPr>
      <t>; TBD</t>
    </r>
  </si>
  <si>
    <t>To clear all responses: Click on the pull-down menu next to the Name box (left-most box in bottom row of Excel banner, which normally displays the designation of the currently active cell); click on “AllResponses”; and then click on “Delete.”</t>
  </si>
  <si>
    <t>To clear responses in a particular category: Click on the pull-down menu next to the Name box; click on the name of the appropriate response category (e.g., “CAEResponses”); and then click on “Delete.”</t>
  </si>
  <si>
    <t>the potential contribution of tools adopted in the future (i.e. How valuable would a new tool be to my operation?)</t>
  </si>
  <si>
    <t>MECHANICAL CAD</t>
  </si>
  <si>
    <t>Retrieve previously designed components and assemblies from libraries and use them to compose new assemblies.</t>
  </si>
  <si>
    <t>Analyze performance of the system with the assumption that it responds to stimuli in accordance with a user-defined nonlinear characteristic (e.g. yield, stress relaxation, creep, etc.)</t>
  </si>
  <si>
    <t>Stress (strength) analysis - in response to static force stimuli, determine the distribution of stress throughout the component or assembly</t>
  </si>
  <si>
    <t>Harmonic analysis - Determine the deflection (magnitude and phase) of the system as a function of frequency, in response to sinusoidal force stimuli</t>
  </si>
  <si>
    <t>REVISION HISTORY</t>
  </si>
  <si>
    <t>Version         Date                        Author</t>
  </si>
  <si>
    <t>1.00             06-May-2003             JPE</t>
  </si>
  <si>
    <t>1.01             09-May-2003             JPE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</si>
</sst>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2" formatCode="0.0"/>
    <numFmt numFmtId="174" formatCode="0."/>
  </numFmts>
  <fonts count="24" x14ac:knownFonts="1">
    <font>
      <sz val="10"/>
      <name val="Arial"/>
    </font>
    <font>
      <b/>
      <sz val="10"/>
      <name val="Arial"/>
      <family val="2"/>
    </font>
    <font>
      <sz val="10"/>
      <name val="Arial"/>
      <family val="2"/>
    </font>
    <font>
      <sz val="8"/>
      <name val="Arial"/>
      <family val="2"/>
    </font>
    <font>
      <b/>
      <sz val="18"/>
      <name val="Arial"/>
      <family val="2"/>
    </font>
    <font>
      <i/>
      <sz val="10"/>
      <name val="Arial"/>
      <family val="2"/>
    </font>
    <font>
      <b/>
      <sz val="14"/>
      <name val="Arial"/>
      <family val="2"/>
    </font>
    <font>
      <sz val="14"/>
      <name val="Arial"/>
      <family val="2"/>
    </font>
    <font>
      <b/>
      <sz val="9"/>
      <color indexed="8"/>
      <name val="Arial"/>
      <family val="2"/>
    </font>
    <font>
      <sz val="10"/>
      <color indexed="8"/>
      <name val="Arial"/>
      <family val="2"/>
    </font>
    <font>
      <b/>
      <sz val="10"/>
      <color indexed="8"/>
      <name val="Arial"/>
      <family val="2"/>
    </font>
    <font>
      <sz val="10"/>
      <name val="Arial"/>
      <family val="2"/>
    </font>
    <font>
      <b/>
      <sz val="14"/>
      <color indexed="12"/>
      <name val="Arial"/>
      <family val="2"/>
    </font>
    <font>
      <b/>
      <sz val="10"/>
      <color indexed="9"/>
      <name val="Arial"/>
      <family val="2"/>
    </font>
    <font>
      <sz val="10"/>
      <color indexed="9"/>
      <name val="Arial"/>
      <family val="2"/>
    </font>
    <font>
      <b/>
      <sz val="9"/>
      <color indexed="9"/>
      <name val="Arial"/>
      <family val="2"/>
    </font>
    <font>
      <b/>
      <sz val="14"/>
      <color indexed="9"/>
      <name val="Arial"/>
      <family val="2"/>
    </font>
    <font>
      <sz val="14"/>
      <color indexed="9"/>
      <name val="Arial"/>
      <family val="2"/>
    </font>
    <font>
      <b/>
      <sz val="14"/>
      <color indexed="9"/>
      <name val="Arial"/>
      <family val="2"/>
    </font>
    <font>
      <sz val="14"/>
      <color indexed="9"/>
      <name val="Arial"/>
      <family val="2"/>
    </font>
    <font>
      <b/>
      <sz val="12"/>
      <name val="Arial"/>
      <family val="2"/>
    </font>
    <font>
      <b/>
      <sz val="10"/>
      <color indexed="12"/>
      <name val="Arial"/>
      <family val="2"/>
    </font>
    <font>
      <b/>
      <sz val="10"/>
      <color indexed="10"/>
      <name val="Arial"/>
      <family val="2"/>
    </font>
    <font>
      <b/>
      <sz val="9"/>
      <name val="Arial"/>
      <family val="2"/>
    </font>
  </fonts>
  <fills count="14">
    <fill>
      <patternFill patternType="none"/>
    </fill>
    <fill>
      <patternFill patternType="gray125"/>
    </fill>
    <fill>
      <patternFill patternType="solid">
        <fgColor indexed="9"/>
        <bgColor indexed="64"/>
      </patternFill>
    </fill>
    <fill>
      <patternFill patternType="solid">
        <fgColor indexed="41"/>
        <bgColor indexed="64"/>
      </patternFill>
    </fill>
    <fill>
      <patternFill patternType="solid">
        <fgColor indexed="14"/>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solid">
        <fgColor indexed="42"/>
        <bgColor indexed="64"/>
      </patternFill>
    </fill>
    <fill>
      <patternFill patternType="solid">
        <fgColor indexed="13"/>
        <bgColor indexed="64"/>
      </patternFill>
    </fill>
    <fill>
      <patternFill patternType="solid">
        <fgColor indexed="47"/>
        <bgColor indexed="64"/>
      </patternFill>
    </fill>
    <fill>
      <patternFill patternType="solid">
        <fgColor indexed="43"/>
        <bgColor indexed="64"/>
      </patternFill>
    </fill>
    <fill>
      <patternFill patternType="solid">
        <fgColor indexed="12"/>
        <bgColor indexed="64"/>
      </patternFill>
    </fill>
    <fill>
      <patternFill patternType="solid">
        <fgColor indexed="45"/>
        <bgColor indexed="64"/>
      </patternFill>
    </fill>
  </fills>
  <borders count="76">
    <border>
      <left/>
      <right/>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style="double">
        <color indexed="64"/>
      </right>
      <top/>
      <bottom style="double">
        <color indexed="64"/>
      </bottom>
      <diagonal/>
    </border>
    <border>
      <left/>
      <right/>
      <top/>
      <bottom style="double">
        <color indexed="64"/>
      </bottom>
      <diagonal/>
    </border>
    <border>
      <left style="medium">
        <color indexed="64"/>
      </left>
      <right style="thick">
        <color indexed="64"/>
      </right>
      <top style="thin">
        <color indexed="64"/>
      </top>
      <bottom style="thin">
        <color indexed="64"/>
      </bottom>
      <diagonal/>
    </border>
    <border>
      <left style="medium">
        <color indexed="64"/>
      </left>
      <right style="thick">
        <color indexed="64"/>
      </right>
      <top style="thin">
        <color indexed="64"/>
      </top>
      <bottom style="thick">
        <color indexed="64"/>
      </bottom>
      <diagonal/>
    </border>
    <border>
      <left style="medium">
        <color indexed="64"/>
      </left>
      <right style="thick">
        <color indexed="64"/>
      </right>
      <top style="thick">
        <color indexed="64"/>
      </top>
      <bottom style="double">
        <color indexed="64"/>
      </bottom>
      <diagonal/>
    </border>
    <border>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ck">
        <color indexed="64"/>
      </left>
      <right style="medium">
        <color indexed="64"/>
      </right>
      <top style="thick">
        <color indexed="64"/>
      </top>
      <bottom style="double">
        <color indexed="64"/>
      </bottom>
      <diagonal/>
    </border>
    <border>
      <left style="thick">
        <color indexed="64"/>
      </left>
      <right style="medium">
        <color indexed="64"/>
      </right>
      <top style="thin">
        <color indexed="64"/>
      </top>
      <bottom style="thin">
        <color indexed="64"/>
      </bottom>
      <diagonal/>
    </border>
    <border>
      <left style="thick">
        <color indexed="64"/>
      </left>
      <right style="medium">
        <color indexed="64"/>
      </right>
      <top style="thin">
        <color indexed="64"/>
      </top>
      <bottom style="thick">
        <color indexed="64"/>
      </bottom>
      <diagonal/>
    </border>
    <border>
      <left/>
      <right/>
      <top style="double">
        <color indexed="64"/>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thin">
        <color indexed="64"/>
      </right>
      <top/>
      <bottom/>
      <diagonal/>
    </border>
    <border>
      <left/>
      <right style="thin">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ck">
        <color indexed="64"/>
      </right>
      <top style="medium">
        <color indexed="64"/>
      </top>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bottom/>
      <diagonal/>
    </border>
    <border>
      <left style="thin">
        <color indexed="64"/>
      </left>
      <right style="thick">
        <color indexed="64"/>
      </right>
      <top style="thin">
        <color indexed="64"/>
      </top>
      <bottom style="medium">
        <color indexed="64"/>
      </bottom>
      <diagonal/>
    </border>
    <border>
      <left style="thin">
        <color indexed="64"/>
      </left>
      <right style="thick">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thin">
        <color indexed="64"/>
      </left>
      <right style="thick">
        <color indexed="64"/>
      </right>
      <top/>
      <bottom style="thin">
        <color indexed="64"/>
      </bottom>
      <diagonal/>
    </border>
    <border>
      <left style="thin">
        <color indexed="64"/>
      </left>
      <right style="thick">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thick">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10"/>
      </left>
      <right/>
      <top style="thick">
        <color indexed="10"/>
      </top>
      <bottom/>
      <diagonal/>
    </border>
    <border>
      <left/>
      <right style="thick">
        <color indexed="10"/>
      </right>
      <top style="thick">
        <color indexed="10"/>
      </top>
      <bottom/>
      <diagonal/>
    </border>
    <border>
      <left style="thin">
        <color indexed="10"/>
      </left>
      <right/>
      <top/>
      <bottom style="thick">
        <color indexed="10"/>
      </bottom>
      <diagonal/>
    </border>
    <border>
      <left/>
      <right style="thick">
        <color indexed="10"/>
      </right>
      <top/>
      <bottom style="thick">
        <color indexed="10"/>
      </bottom>
      <diagonal/>
    </border>
    <border>
      <left style="thick">
        <color indexed="12"/>
      </left>
      <right/>
      <top style="thick">
        <color indexed="12"/>
      </top>
      <bottom style="thick">
        <color indexed="12"/>
      </bottom>
      <diagonal/>
    </border>
    <border>
      <left/>
      <right style="thick">
        <color indexed="12"/>
      </right>
      <top style="thick">
        <color indexed="12"/>
      </top>
      <bottom style="thick">
        <color indexed="12"/>
      </bottom>
      <diagonal/>
    </border>
    <border>
      <left style="thin">
        <color indexed="64"/>
      </left>
      <right/>
      <top/>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64"/>
      </left>
      <right/>
      <top/>
      <bottom style="thin">
        <color indexed="64"/>
      </bottom>
      <diagonal/>
    </border>
    <border>
      <left style="thick">
        <color indexed="10"/>
      </left>
      <right style="thin">
        <color indexed="10"/>
      </right>
      <top style="thick">
        <color indexed="10"/>
      </top>
      <bottom/>
      <diagonal/>
    </border>
    <border>
      <left style="thin">
        <color indexed="10"/>
      </left>
      <right style="thin">
        <color indexed="10"/>
      </right>
      <top style="thick">
        <color indexed="10"/>
      </top>
      <bottom/>
      <diagonal/>
    </border>
    <border>
      <left style="thick">
        <color indexed="10"/>
      </left>
      <right style="thin">
        <color indexed="10"/>
      </right>
      <top/>
      <bottom style="thick">
        <color indexed="10"/>
      </bottom>
      <diagonal/>
    </border>
    <border>
      <left style="thin">
        <color indexed="10"/>
      </left>
      <right style="thin">
        <color indexed="10"/>
      </right>
      <top/>
      <bottom style="thick">
        <color indexed="10"/>
      </bottom>
      <diagonal/>
    </border>
  </borders>
  <cellStyleXfs count="1">
    <xf numFmtId="0" fontId="0" fillId="0" borderId="0"/>
  </cellStyleXfs>
  <cellXfs count="214">
    <xf numFmtId="0" fontId="0" fillId="0" borderId="0" xfId="0"/>
    <xf numFmtId="0" fontId="0" fillId="0" borderId="0" xfId="0" applyAlignment="1">
      <alignment vertical="top"/>
    </xf>
    <xf numFmtId="0" fontId="0" fillId="0" borderId="0" xfId="0" applyAlignment="1">
      <alignment vertical="top" wrapText="1"/>
    </xf>
    <xf numFmtId="0" fontId="0" fillId="0" borderId="0" xfId="0" applyFill="1" applyAlignment="1">
      <alignment vertical="top"/>
    </xf>
    <xf numFmtId="0" fontId="2" fillId="0" borderId="0" xfId="0" applyFont="1" applyFill="1" applyBorder="1" applyAlignment="1">
      <alignment vertical="top"/>
    </xf>
    <xf numFmtId="0" fontId="2" fillId="0" borderId="0" xfId="0" applyFont="1" applyFill="1" applyBorder="1" applyAlignment="1">
      <alignment vertical="top" wrapText="1"/>
    </xf>
    <xf numFmtId="0" fontId="2" fillId="0" borderId="0" xfId="0" applyFont="1" applyFill="1" applyBorder="1" applyAlignment="1">
      <alignment horizontal="left" vertical="top"/>
    </xf>
    <xf numFmtId="0" fontId="2" fillId="2" borderId="0" xfId="0" applyFont="1" applyFill="1" applyBorder="1" applyAlignment="1">
      <alignment vertical="top" wrapText="1"/>
    </xf>
    <xf numFmtId="49" fontId="2" fillId="2" borderId="1" xfId="0" applyNumberFormat="1" applyFont="1" applyFill="1" applyBorder="1" applyAlignment="1">
      <alignment horizontal="right" vertical="top" wrapText="1"/>
    </xf>
    <xf numFmtId="0" fontId="2" fillId="2" borderId="2" xfId="0" applyFont="1" applyFill="1" applyBorder="1" applyAlignment="1">
      <alignment vertical="top" wrapText="1"/>
    </xf>
    <xf numFmtId="0" fontId="2" fillId="2" borderId="1" xfId="0" applyFont="1" applyFill="1" applyBorder="1" applyAlignment="1">
      <alignment vertical="top" wrapText="1"/>
    </xf>
    <xf numFmtId="0" fontId="2" fillId="2" borderId="2" xfId="0" applyFont="1" applyFill="1" applyBorder="1" applyAlignment="1">
      <alignment wrapText="1"/>
    </xf>
    <xf numFmtId="0" fontId="2" fillId="2" borderId="1" xfId="0" applyFont="1" applyFill="1" applyBorder="1" applyAlignment="1">
      <alignment horizontal="left" vertical="top" wrapText="1"/>
    </xf>
    <xf numFmtId="49" fontId="2" fillId="2" borderId="3" xfId="0" applyNumberFormat="1" applyFont="1" applyFill="1" applyBorder="1" applyAlignment="1">
      <alignment horizontal="right" vertical="top" wrapText="1"/>
    </xf>
    <xf numFmtId="0" fontId="2" fillId="2" borderId="4" xfId="0" applyFont="1" applyFill="1" applyBorder="1" applyAlignment="1">
      <alignment vertical="top" wrapText="1"/>
    </xf>
    <xf numFmtId="174" fontId="2" fillId="2" borderId="1" xfId="0" applyNumberFormat="1" applyFont="1" applyFill="1" applyBorder="1" applyAlignment="1">
      <alignment horizontal="right" vertical="top"/>
    </xf>
    <xf numFmtId="0" fontId="2" fillId="2" borderId="1" xfId="0" applyFont="1" applyFill="1" applyBorder="1" applyAlignment="1">
      <alignment horizontal="right" vertical="top"/>
    </xf>
    <xf numFmtId="0" fontId="2" fillId="2" borderId="0" xfId="0" applyFont="1" applyFill="1" applyBorder="1" applyAlignment="1">
      <alignment vertical="top"/>
    </xf>
    <xf numFmtId="0" fontId="2" fillId="2" borderId="3" xfId="0" applyFont="1" applyFill="1" applyBorder="1" applyAlignment="1">
      <alignment horizontal="right" vertical="top"/>
    </xf>
    <xf numFmtId="0" fontId="2" fillId="2" borderId="5" xfId="0" applyFont="1" applyFill="1" applyBorder="1" applyAlignment="1">
      <alignment vertical="top"/>
    </xf>
    <xf numFmtId="0" fontId="2" fillId="3" borderId="0" xfId="0" applyFont="1" applyFill="1" applyBorder="1" applyAlignment="1">
      <alignment vertical="top"/>
    </xf>
    <xf numFmtId="0" fontId="2" fillId="3" borderId="0" xfId="0" applyFont="1" applyFill="1" applyBorder="1" applyAlignment="1">
      <alignment vertical="top" wrapText="1"/>
    </xf>
    <xf numFmtId="0" fontId="2" fillId="3" borderId="0" xfId="0" applyFont="1" applyFill="1" applyBorder="1" applyAlignment="1">
      <alignment horizontal="center" vertical="top" wrapText="1"/>
    </xf>
    <xf numFmtId="0" fontId="1" fillId="3" borderId="0" xfId="0" applyFont="1" applyFill="1" applyBorder="1" applyAlignment="1">
      <alignment horizontal="left" vertical="top" wrapText="1"/>
    </xf>
    <xf numFmtId="0" fontId="1" fillId="3" borderId="0" xfId="0" applyFont="1" applyFill="1" applyBorder="1"/>
    <xf numFmtId="0" fontId="2" fillId="3" borderId="0" xfId="0" applyFont="1" applyFill="1" applyBorder="1" applyAlignment="1">
      <alignment horizontal="left" indent="15"/>
    </xf>
    <xf numFmtId="0" fontId="2" fillId="3" borderId="0" xfId="0" applyFont="1" applyFill="1" applyBorder="1" applyAlignment="1">
      <alignment horizontal="left" vertical="top"/>
    </xf>
    <xf numFmtId="15" fontId="5" fillId="3" borderId="0" xfId="0" applyNumberFormat="1" applyFont="1" applyFill="1" applyBorder="1" applyAlignment="1">
      <alignment horizontal="left" indent="15"/>
    </xf>
    <xf numFmtId="0" fontId="2" fillId="3" borderId="0" xfId="0" applyFont="1" applyFill="1" applyBorder="1" applyAlignment="1"/>
    <xf numFmtId="0" fontId="4" fillId="3" borderId="0" xfId="0" applyFont="1" applyFill="1" applyBorder="1" applyAlignment="1">
      <alignment horizontal="left" indent="15"/>
    </xf>
    <xf numFmtId="0" fontId="0" fillId="0" borderId="6" xfId="0" applyBorder="1" applyAlignment="1">
      <alignment vertical="top" wrapText="1"/>
    </xf>
    <xf numFmtId="0" fontId="2" fillId="0" borderId="6" xfId="0" applyFont="1" applyBorder="1" applyAlignment="1">
      <alignment wrapText="1"/>
    </xf>
    <xf numFmtId="0" fontId="0" fillId="0" borderId="7" xfId="0" applyBorder="1" applyAlignment="1">
      <alignment vertical="top" wrapText="1"/>
    </xf>
    <xf numFmtId="0" fontId="6" fillId="0" borderId="8" xfId="0" applyFont="1" applyBorder="1" applyAlignment="1">
      <alignment horizontal="center" vertical="top"/>
    </xf>
    <xf numFmtId="0" fontId="0" fillId="4" borderId="0" xfId="0" applyFill="1"/>
    <xf numFmtId="0" fontId="0" fillId="4" borderId="0" xfId="0" applyFill="1" applyAlignment="1">
      <alignment vertical="top" wrapText="1"/>
    </xf>
    <xf numFmtId="0" fontId="8" fillId="3" borderId="0" xfId="0" applyFont="1" applyFill="1" applyAlignment="1">
      <alignment horizontal="right"/>
    </xf>
    <xf numFmtId="0" fontId="9" fillId="5" borderId="0" xfId="0" applyFont="1" applyFill="1" applyAlignment="1">
      <alignment vertical="top"/>
    </xf>
    <xf numFmtId="0" fontId="10" fillId="6" borderId="0" xfId="0" applyFont="1" applyFill="1" applyBorder="1" applyAlignment="1">
      <alignment horizontal="center" vertical="center" wrapText="1"/>
    </xf>
    <xf numFmtId="0" fontId="9" fillId="6" borderId="9" xfId="0" applyFont="1" applyFill="1" applyBorder="1" applyAlignment="1">
      <alignment vertical="center"/>
    </xf>
    <xf numFmtId="0" fontId="10" fillId="6" borderId="10" xfId="0" applyFont="1" applyFill="1" applyBorder="1" applyAlignment="1">
      <alignment horizontal="center" textRotation="90"/>
    </xf>
    <xf numFmtId="0" fontId="10" fillId="6" borderId="11" xfId="0" applyFont="1" applyFill="1" applyBorder="1" applyAlignment="1">
      <alignment horizontal="center" textRotation="90"/>
    </xf>
    <xf numFmtId="0" fontId="9" fillId="5" borderId="12" xfId="0" applyFont="1" applyFill="1" applyBorder="1" applyAlignment="1">
      <alignment vertical="top"/>
    </xf>
    <xf numFmtId="0" fontId="9" fillId="5" borderId="9" xfId="0" applyFont="1" applyFill="1" applyBorder="1" applyAlignment="1">
      <alignment vertical="top"/>
    </xf>
    <xf numFmtId="0" fontId="10" fillId="7" borderId="13" xfId="0" applyFont="1" applyFill="1" applyBorder="1" applyAlignment="1">
      <alignment vertical="top"/>
    </xf>
    <xf numFmtId="0" fontId="9" fillId="7" borderId="12" xfId="0" applyFont="1" applyFill="1" applyBorder="1" applyAlignment="1">
      <alignment vertical="top"/>
    </xf>
    <xf numFmtId="0" fontId="9" fillId="7" borderId="14" xfId="0" applyFont="1" applyFill="1" applyBorder="1" applyAlignment="1">
      <alignment vertical="top"/>
    </xf>
    <xf numFmtId="0" fontId="9" fillId="7" borderId="0" xfId="0" applyFont="1" applyFill="1" applyAlignment="1">
      <alignment horizontal="right" vertical="top"/>
    </xf>
    <xf numFmtId="0" fontId="9" fillId="8" borderId="0" xfId="0" applyFont="1" applyFill="1" applyAlignment="1">
      <alignment vertical="top" wrapText="1"/>
    </xf>
    <xf numFmtId="0" fontId="9" fillId="9" borderId="15" xfId="0" applyFont="1" applyFill="1" applyBorder="1" applyAlignment="1" applyProtection="1">
      <alignment horizontal="center" vertical="top"/>
      <protection locked="0"/>
    </xf>
    <xf numFmtId="0" fontId="9" fillId="9" borderId="16" xfId="0" applyFont="1" applyFill="1" applyBorder="1" applyAlignment="1" applyProtection="1">
      <alignment horizontal="center" vertical="top"/>
      <protection locked="0"/>
    </xf>
    <xf numFmtId="0" fontId="9" fillId="9" borderId="17" xfId="0" applyFont="1" applyFill="1" applyBorder="1" applyAlignment="1" applyProtection="1">
      <alignment horizontal="center" vertical="top"/>
      <protection locked="0"/>
    </xf>
    <xf numFmtId="0" fontId="9" fillId="7" borderId="0" xfId="0" applyFont="1" applyFill="1" applyAlignment="1">
      <alignment vertical="top"/>
    </xf>
    <xf numFmtId="0" fontId="9" fillId="8" borderId="12" xfId="0" applyFont="1" applyFill="1" applyBorder="1" applyAlignment="1">
      <alignment vertical="top" wrapText="1"/>
    </xf>
    <xf numFmtId="0" fontId="9" fillId="9" borderId="18" xfId="0" applyFont="1" applyFill="1" applyBorder="1" applyAlignment="1" applyProtection="1">
      <alignment horizontal="center" vertical="top"/>
      <protection locked="0"/>
    </xf>
    <xf numFmtId="0" fontId="9" fillId="9" borderId="19" xfId="0" applyFont="1" applyFill="1" applyBorder="1" applyAlignment="1" applyProtection="1">
      <alignment horizontal="center" vertical="top"/>
      <protection locked="0"/>
    </xf>
    <xf numFmtId="0" fontId="9" fillId="9" borderId="20" xfId="0" applyFont="1" applyFill="1" applyBorder="1" applyAlignment="1" applyProtection="1">
      <alignment horizontal="center" vertical="top"/>
      <protection locked="0"/>
    </xf>
    <xf numFmtId="0" fontId="9" fillId="9" borderId="21" xfId="0" applyFont="1" applyFill="1" applyBorder="1" applyAlignment="1" applyProtection="1">
      <alignment horizontal="center" vertical="top"/>
      <protection locked="0"/>
    </xf>
    <xf numFmtId="0" fontId="9" fillId="9" borderId="22" xfId="0" applyFont="1" applyFill="1" applyBorder="1" applyAlignment="1" applyProtection="1">
      <alignment horizontal="center" vertical="top"/>
      <protection locked="0"/>
    </xf>
    <xf numFmtId="0" fontId="9" fillId="9" borderId="23" xfId="0" applyFont="1" applyFill="1" applyBorder="1" applyAlignment="1" applyProtection="1">
      <alignment horizontal="center" vertical="top"/>
      <protection locked="0"/>
    </xf>
    <xf numFmtId="0" fontId="9" fillId="8" borderId="0" xfId="0" applyFont="1" applyFill="1" applyBorder="1" applyAlignment="1">
      <alignment vertical="top" wrapText="1"/>
    </xf>
    <xf numFmtId="0" fontId="9" fillId="9" borderId="24" xfId="0" applyFont="1" applyFill="1" applyBorder="1" applyAlignment="1" applyProtection="1">
      <alignment horizontal="center" vertical="top"/>
      <protection locked="0"/>
    </xf>
    <xf numFmtId="0" fontId="9" fillId="9" borderId="25" xfId="0" applyFont="1" applyFill="1" applyBorder="1" applyAlignment="1" applyProtection="1">
      <alignment horizontal="center" vertical="top"/>
      <protection locked="0"/>
    </xf>
    <xf numFmtId="0" fontId="9" fillId="9" borderId="26" xfId="0" applyFont="1" applyFill="1" applyBorder="1" applyAlignment="1" applyProtection="1">
      <alignment horizontal="center" vertical="top"/>
      <protection locked="0"/>
    </xf>
    <xf numFmtId="0" fontId="9" fillId="7" borderId="0" xfId="0" applyFont="1" applyFill="1" applyBorder="1" applyAlignment="1" applyProtection="1">
      <alignment vertical="top"/>
      <protection locked="0"/>
    </xf>
    <xf numFmtId="0" fontId="9" fillId="8" borderId="12" xfId="0" applyFont="1" applyFill="1" applyBorder="1" applyAlignment="1">
      <alignment horizontal="left" vertical="top" wrapText="1"/>
    </xf>
    <xf numFmtId="0" fontId="9" fillId="8" borderId="0" xfId="0" applyFont="1" applyFill="1" applyAlignment="1">
      <alignment vertical="top"/>
    </xf>
    <xf numFmtId="0" fontId="9" fillId="9" borderId="27" xfId="0" applyFont="1" applyFill="1" applyBorder="1" applyAlignment="1" applyProtection="1">
      <alignment horizontal="center" vertical="top"/>
      <protection locked="0"/>
    </xf>
    <xf numFmtId="0" fontId="9" fillId="9" borderId="28" xfId="0" applyFont="1" applyFill="1" applyBorder="1" applyAlignment="1" applyProtection="1">
      <alignment horizontal="center" vertical="top"/>
      <protection locked="0"/>
    </xf>
    <xf numFmtId="0" fontId="9" fillId="9" borderId="29" xfId="0" applyFont="1" applyFill="1" applyBorder="1" applyAlignment="1" applyProtection="1">
      <alignment horizontal="center" vertical="top"/>
      <protection locked="0"/>
    </xf>
    <xf numFmtId="0" fontId="9" fillId="8" borderId="0" xfId="0" applyFont="1" applyFill="1" applyBorder="1" applyAlignment="1">
      <alignment vertical="top"/>
    </xf>
    <xf numFmtId="0" fontId="10" fillId="7" borderId="0" xfId="0" applyFont="1" applyFill="1" applyAlignment="1">
      <alignment vertical="top"/>
    </xf>
    <xf numFmtId="0" fontId="9" fillId="7" borderId="0" xfId="0" applyFont="1" applyFill="1" applyBorder="1" applyAlignment="1">
      <alignment horizontal="right" vertical="top"/>
    </xf>
    <xf numFmtId="0" fontId="9" fillId="9" borderId="30" xfId="0" applyFont="1" applyFill="1" applyBorder="1" applyAlignment="1" applyProtection="1">
      <alignment horizontal="center" vertical="top"/>
      <protection locked="0"/>
    </xf>
    <xf numFmtId="0" fontId="9" fillId="9" borderId="31" xfId="0" applyFont="1" applyFill="1" applyBorder="1" applyAlignment="1" applyProtection="1">
      <alignment horizontal="center" vertical="top"/>
      <protection locked="0"/>
    </xf>
    <xf numFmtId="0" fontId="9" fillId="9" borderId="32" xfId="0" applyFont="1" applyFill="1" applyBorder="1" applyAlignment="1" applyProtection="1">
      <alignment horizontal="center" vertical="top"/>
      <protection locked="0"/>
    </xf>
    <xf numFmtId="0" fontId="9" fillId="5" borderId="9" xfId="0" applyFont="1" applyFill="1" applyBorder="1" applyAlignment="1" applyProtection="1">
      <alignment vertical="top"/>
      <protection locked="0"/>
    </xf>
    <xf numFmtId="0" fontId="9" fillId="7" borderId="14" xfId="0" applyFont="1" applyFill="1" applyBorder="1" applyAlignment="1" applyProtection="1">
      <alignment vertical="top"/>
      <protection locked="0"/>
    </xf>
    <xf numFmtId="0" fontId="9" fillId="9" borderId="33" xfId="0" applyFont="1" applyFill="1" applyBorder="1" applyAlignment="1" applyProtection="1">
      <alignment horizontal="center" vertical="top"/>
      <protection locked="0"/>
    </xf>
    <xf numFmtId="0" fontId="9" fillId="9" borderId="11" xfId="0" applyFont="1" applyFill="1" applyBorder="1" applyAlignment="1" applyProtection="1">
      <alignment horizontal="center" vertical="top"/>
      <protection locked="0"/>
    </xf>
    <xf numFmtId="0" fontId="9" fillId="9" borderId="34" xfId="0" applyFont="1" applyFill="1" applyBorder="1" applyAlignment="1" applyProtection="1">
      <alignment horizontal="center" vertical="top"/>
      <protection locked="0"/>
    </xf>
    <xf numFmtId="0" fontId="9" fillId="7" borderId="0" xfId="0" applyFont="1" applyFill="1" applyBorder="1" applyAlignment="1">
      <alignment vertical="top"/>
    </xf>
    <xf numFmtId="0" fontId="9" fillId="7" borderId="9" xfId="0" applyFont="1" applyFill="1" applyBorder="1" applyAlignment="1">
      <alignment vertical="top"/>
    </xf>
    <xf numFmtId="0" fontId="9" fillId="8" borderId="9" xfId="0" applyFont="1" applyFill="1" applyBorder="1" applyAlignment="1">
      <alignment vertical="top" wrapText="1"/>
    </xf>
    <xf numFmtId="0" fontId="1" fillId="3" borderId="0" xfId="0" applyFont="1" applyFill="1" applyBorder="1" applyAlignment="1">
      <alignment vertical="top"/>
    </xf>
    <xf numFmtId="172" fontId="9" fillId="7" borderId="0" xfId="0" applyNumberFormat="1" applyFont="1" applyFill="1" applyBorder="1" applyAlignment="1">
      <alignment horizontal="right" vertical="top"/>
    </xf>
    <xf numFmtId="172" fontId="9" fillId="7" borderId="0" xfId="0" applyNumberFormat="1" applyFont="1" applyFill="1" applyBorder="1" applyAlignment="1">
      <alignment vertical="top"/>
    </xf>
    <xf numFmtId="2" fontId="9" fillId="7" borderId="0" xfId="0" applyNumberFormat="1" applyFont="1" applyFill="1" applyBorder="1" applyAlignment="1">
      <alignment horizontal="right" vertical="top"/>
    </xf>
    <xf numFmtId="0" fontId="0" fillId="0" borderId="0" xfId="0" applyBorder="1" applyAlignment="1">
      <alignment vertical="top"/>
    </xf>
    <xf numFmtId="0" fontId="0" fillId="0" borderId="0" xfId="0" applyFill="1" applyBorder="1" applyAlignment="1">
      <alignment vertical="top"/>
    </xf>
    <xf numFmtId="0" fontId="2" fillId="9" borderId="0" xfId="0" applyFont="1" applyFill="1" applyBorder="1" applyAlignment="1">
      <alignment vertical="top"/>
    </xf>
    <xf numFmtId="0" fontId="2" fillId="9" borderId="0" xfId="0" applyFont="1" applyFill="1" applyBorder="1" applyAlignment="1">
      <alignment horizontal="left" vertical="top"/>
    </xf>
    <xf numFmtId="0" fontId="8" fillId="9" borderId="0" xfId="0" applyFont="1" applyFill="1" applyAlignment="1">
      <alignment horizontal="right"/>
    </xf>
    <xf numFmtId="0" fontId="2" fillId="9" borderId="0" xfId="0" applyFont="1" applyFill="1" applyBorder="1" applyAlignment="1">
      <alignment horizontal="center" vertical="top" wrapText="1"/>
    </xf>
    <xf numFmtId="0" fontId="13" fillId="5" borderId="13" xfId="0" applyFont="1" applyFill="1" applyBorder="1" applyAlignment="1">
      <alignment vertical="top"/>
    </xf>
    <xf numFmtId="0" fontId="15" fillId="4" borderId="0" xfId="0" applyFont="1" applyFill="1" applyAlignment="1">
      <alignment horizontal="right"/>
    </xf>
    <xf numFmtId="0" fontId="6" fillId="0" borderId="35" xfId="0" applyFont="1" applyBorder="1" applyAlignment="1">
      <alignment horizontal="center" vertical="top" wrapText="1"/>
    </xf>
    <xf numFmtId="0" fontId="0" fillId="0" borderId="36" xfId="0" applyBorder="1" applyAlignment="1">
      <alignment vertical="top" wrapText="1"/>
    </xf>
    <xf numFmtId="0" fontId="0" fillId="0" borderId="37" xfId="0" applyBorder="1" applyAlignment="1">
      <alignment vertical="top" wrapText="1"/>
    </xf>
    <xf numFmtId="0" fontId="0" fillId="4" borderId="0" xfId="0" applyFill="1" applyAlignment="1">
      <alignment horizontal="center"/>
    </xf>
    <xf numFmtId="0" fontId="15" fillId="4" borderId="0" xfId="0" applyFont="1" applyFill="1" applyAlignment="1">
      <alignment horizontal="center"/>
    </xf>
    <xf numFmtId="0" fontId="0" fillId="0" borderId="0" xfId="0" applyAlignment="1">
      <alignment horizontal="center"/>
    </xf>
    <xf numFmtId="0" fontId="2" fillId="3" borderId="0" xfId="0" applyFont="1" applyFill="1" applyBorder="1" applyAlignment="1">
      <alignment horizontal="center" vertical="top"/>
    </xf>
    <xf numFmtId="0" fontId="0" fillId="7" borderId="0" xfId="0" applyFill="1" applyAlignment="1">
      <alignment vertical="top"/>
    </xf>
    <xf numFmtId="0" fontId="0" fillId="7" borderId="0" xfId="0" applyFill="1" applyBorder="1" applyAlignment="1">
      <alignment vertical="top"/>
    </xf>
    <xf numFmtId="172" fontId="0" fillId="7" borderId="0" xfId="0" applyNumberFormat="1" applyFill="1" applyAlignment="1">
      <alignment vertical="top"/>
    </xf>
    <xf numFmtId="172" fontId="0" fillId="7" borderId="0" xfId="0" applyNumberFormat="1" applyFill="1" applyBorder="1" applyAlignment="1">
      <alignment vertical="top"/>
    </xf>
    <xf numFmtId="2" fontId="0" fillId="7" borderId="0" xfId="0" applyNumberFormat="1" applyFill="1" applyAlignment="1">
      <alignment vertical="top"/>
    </xf>
    <xf numFmtId="2" fontId="0" fillId="7" borderId="0" xfId="0" applyNumberFormat="1" applyFill="1" applyBorder="1" applyAlignment="1">
      <alignment vertical="top"/>
    </xf>
    <xf numFmtId="0" fontId="10" fillId="6" borderId="0" xfId="0" applyFont="1" applyFill="1" applyBorder="1" applyAlignment="1">
      <alignment horizontal="center" vertical="top" wrapText="1"/>
    </xf>
    <xf numFmtId="0" fontId="2" fillId="3" borderId="38" xfId="0" applyFont="1" applyFill="1" applyBorder="1" applyAlignment="1">
      <alignment horizontal="left" vertical="top" wrapText="1"/>
    </xf>
    <xf numFmtId="0" fontId="0" fillId="3" borderId="0" xfId="0" applyFill="1" applyBorder="1" applyAlignment="1">
      <alignment vertical="top" wrapText="1"/>
    </xf>
    <xf numFmtId="0" fontId="2" fillId="9" borderId="0" xfId="0" applyFont="1" applyFill="1" applyBorder="1" applyAlignment="1">
      <alignment vertical="top" wrapText="1"/>
    </xf>
    <xf numFmtId="0" fontId="6" fillId="9" borderId="0" xfId="0" applyFont="1" applyFill="1" applyBorder="1" applyAlignment="1">
      <alignment horizontal="center" vertical="top"/>
    </xf>
    <xf numFmtId="0" fontId="12" fillId="10" borderId="0" xfId="0" applyFont="1" applyFill="1" applyBorder="1" applyAlignment="1">
      <alignment horizontal="center" vertical="top" wrapText="1"/>
    </xf>
    <xf numFmtId="0" fontId="6" fillId="9" borderId="5" xfId="0" applyFont="1" applyFill="1" applyBorder="1" applyAlignment="1">
      <alignment horizontal="center" vertical="top"/>
    </xf>
    <xf numFmtId="0" fontId="2" fillId="0" borderId="39" xfId="0" applyFont="1" applyFill="1" applyBorder="1" applyAlignment="1">
      <alignment vertical="top" wrapText="1"/>
    </xf>
    <xf numFmtId="0" fontId="2" fillId="0" borderId="40" xfId="0" applyFont="1" applyFill="1" applyBorder="1" applyAlignment="1">
      <alignment horizontal="left" vertical="top" wrapText="1"/>
    </xf>
    <xf numFmtId="0" fontId="20" fillId="0" borderId="40" xfId="0" applyFont="1" applyFill="1" applyBorder="1" applyAlignment="1">
      <alignment horizontal="left" vertical="top" wrapText="1"/>
    </xf>
    <xf numFmtId="0" fontId="2" fillId="0" borderId="41" xfId="0" applyFont="1" applyFill="1" applyBorder="1" applyAlignment="1">
      <alignment horizontal="left" vertical="top" wrapText="1"/>
    </xf>
    <xf numFmtId="0" fontId="2" fillId="9" borderId="0" xfId="0" applyFont="1" applyFill="1" applyBorder="1" applyAlignment="1">
      <alignment horizontal="left" vertical="top" wrapText="1"/>
    </xf>
    <xf numFmtId="0" fontId="10" fillId="6" borderId="42" xfId="0" applyFont="1" applyFill="1" applyBorder="1" applyAlignment="1">
      <alignment horizontal="center" vertical="top" wrapText="1"/>
    </xf>
    <xf numFmtId="0" fontId="9" fillId="9" borderId="43" xfId="0" applyFont="1" applyFill="1" applyBorder="1" applyAlignment="1" applyProtection="1">
      <alignment horizontal="center" vertical="top"/>
      <protection locked="0"/>
    </xf>
    <xf numFmtId="0" fontId="9" fillId="9" borderId="44" xfId="0" applyFont="1" applyFill="1" applyBorder="1" applyAlignment="1" applyProtection="1">
      <alignment horizontal="center" vertical="top"/>
      <protection locked="0"/>
    </xf>
    <xf numFmtId="0" fontId="9" fillId="9" borderId="42" xfId="0" applyFont="1" applyFill="1" applyBorder="1" applyAlignment="1" applyProtection="1">
      <alignment horizontal="center" vertical="top"/>
      <protection locked="0"/>
    </xf>
    <xf numFmtId="0" fontId="9" fillId="9" borderId="45" xfId="0" applyFont="1" applyFill="1" applyBorder="1" applyAlignment="1" applyProtection="1">
      <alignment horizontal="center" vertical="top"/>
      <protection locked="0"/>
    </xf>
    <xf numFmtId="0" fontId="9" fillId="9" borderId="46" xfId="0" applyFont="1" applyFill="1" applyBorder="1" applyAlignment="1" applyProtection="1">
      <alignment horizontal="center" vertical="top"/>
      <protection locked="0"/>
    </xf>
    <xf numFmtId="0" fontId="9" fillId="9" borderId="47" xfId="0" applyFont="1" applyFill="1" applyBorder="1" applyAlignment="1" applyProtection="1">
      <alignment horizontal="center" vertical="top"/>
      <protection locked="0"/>
    </xf>
    <xf numFmtId="0" fontId="9" fillId="9" borderId="48" xfId="0" applyFont="1" applyFill="1" applyBorder="1" applyAlignment="1" applyProtection="1">
      <alignment horizontal="center" vertical="top"/>
      <protection locked="0"/>
    </xf>
    <xf numFmtId="0" fontId="9" fillId="9" borderId="49" xfId="0" applyFont="1" applyFill="1" applyBorder="1" applyAlignment="1" applyProtection="1">
      <alignment horizontal="center" vertical="top"/>
      <protection locked="0"/>
    </xf>
    <xf numFmtId="0" fontId="9" fillId="9" borderId="50" xfId="0" applyFont="1" applyFill="1" applyBorder="1" applyAlignment="1" applyProtection="1">
      <alignment horizontal="center" vertical="top"/>
      <protection locked="0"/>
    </xf>
    <xf numFmtId="0" fontId="9" fillId="9" borderId="51" xfId="0" applyFont="1" applyFill="1" applyBorder="1" applyAlignment="1" applyProtection="1">
      <alignment horizontal="center" vertical="top"/>
      <protection locked="0"/>
    </xf>
    <xf numFmtId="0" fontId="9" fillId="9" borderId="52" xfId="0" applyFont="1" applyFill="1" applyBorder="1" applyAlignment="1" applyProtection="1">
      <alignment horizontal="center" vertical="top"/>
      <protection locked="0"/>
    </xf>
    <xf numFmtId="0" fontId="9" fillId="9" borderId="53" xfId="0" applyFont="1" applyFill="1" applyBorder="1" applyAlignment="1" applyProtection="1">
      <alignment horizontal="center" vertical="top"/>
      <protection locked="0"/>
    </xf>
    <xf numFmtId="0" fontId="9" fillId="9" borderId="10" xfId="0" applyFont="1" applyFill="1" applyBorder="1" applyAlignment="1" applyProtection="1">
      <alignment horizontal="center" vertical="top"/>
      <protection locked="0"/>
    </xf>
    <xf numFmtId="0" fontId="9" fillId="9" borderId="54" xfId="0" applyFont="1" applyFill="1" applyBorder="1" applyAlignment="1" applyProtection="1">
      <alignment horizontal="center" vertical="top"/>
      <protection locked="0"/>
    </xf>
    <xf numFmtId="0" fontId="9" fillId="11" borderId="55" xfId="0" applyFont="1" applyFill="1" applyBorder="1" applyAlignment="1">
      <alignment textRotation="90" wrapText="1"/>
    </xf>
    <xf numFmtId="0" fontId="9" fillId="11" borderId="56" xfId="0" applyFont="1" applyFill="1" applyBorder="1" applyAlignment="1">
      <alignment textRotation="90" wrapText="1"/>
    </xf>
    <xf numFmtId="0" fontId="9" fillId="11" borderId="57" xfId="0" applyFont="1" applyFill="1" applyBorder="1" applyAlignment="1">
      <alignment textRotation="90" wrapText="1"/>
    </xf>
    <xf numFmtId="0" fontId="9" fillId="11" borderId="58" xfId="0" applyFont="1" applyFill="1" applyBorder="1" applyAlignment="1">
      <alignment textRotation="90" wrapText="1"/>
    </xf>
    <xf numFmtId="2" fontId="13" fillId="5" borderId="59" xfId="0" applyNumberFormat="1" applyFont="1" applyFill="1" applyBorder="1" applyAlignment="1">
      <alignment horizontal="right" vertical="top"/>
    </xf>
    <xf numFmtId="0" fontId="14" fillId="5" borderId="60" xfId="0" applyFont="1" applyFill="1" applyBorder="1" applyAlignment="1">
      <alignment vertical="top"/>
    </xf>
    <xf numFmtId="0" fontId="14" fillId="5" borderId="61" xfId="0" applyFont="1" applyFill="1" applyBorder="1" applyAlignment="1">
      <alignment vertical="top"/>
    </xf>
    <xf numFmtId="2" fontId="13" fillId="5" borderId="62" xfId="0" applyNumberFormat="1" applyFont="1" applyFill="1" applyBorder="1" applyAlignment="1">
      <alignment horizontal="right" vertical="top"/>
    </xf>
    <xf numFmtId="172" fontId="9" fillId="7" borderId="63" xfId="0" applyNumberFormat="1" applyFont="1" applyFill="1" applyBorder="1" applyAlignment="1">
      <alignment horizontal="right" vertical="top"/>
    </xf>
    <xf numFmtId="172" fontId="9" fillId="7" borderId="64" xfId="0" applyNumberFormat="1" applyFont="1" applyFill="1" applyBorder="1" applyAlignment="1">
      <alignment horizontal="right" vertical="top"/>
    </xf>
    <xf numFmtId="0" fontId="14" fillId="5" borderId="12" xfId="0" applyFont="1" applyFill="1" applyBorder="1" applyAlignment="1">
      <alignment vertical="top"/>
    </xf>
    <xf numFmtId="0" fontId="14" fillId="5" borderId="9" xfId="0" applyFont="1" applyFill="1" applyBorder="1" applyAlignment="1" applyProtection="1">
      <alignment vertical="top"/>
      <protection locked="0"/>
    </xf>
    <xf numFmtId="2" fontId="11" fillId="7" borderId="0" xfId="0" applyNumberFormat="1" applyFont="1" applyFill="1" applyBorder="1" applyAlignment="1">
      <alignment horizontal="right" vertical="top"/>
    </xf>
    <xf numFmtId="0" fontId="8" fillId="7" borderId="0" xfId="0" applyFont="1" applyFill="1" applyBorder="1" applyAlignment="1">
      <alignment horizontal="right"/>
    </xf>
    <xf numFmtId="2" fontId="10" fillId="7" borderId="0" xfId="0" applyNumberFormat="1" applyFont="1" applyFill="1" applyBorder="1" applyAlignment="1">
      <alignment horizontal="right" vertical="top"/>
    </xf>
    <xf numFmtId="0" fontId="10" fillId="7" borderId="0" xfId="0" applyFont="1" applyFill="1" applyBorder="1" applyAlignment="1">
      <alignment horizontal="center" vertical="top" wrapText="1"/>
    </xf>
    <xf numFmtId="0" fontId="10" fillId="7" borderId="0" xfId="0" applyFont="1" applyFill="1" applyBorder="1" applyAlignment="1">
      <alignment horizontal="center" textRotation="90"/>
    </xf>
    <xf numFmtId="0" fontId="10" fillId="7" borderId="65" xfId="0" applyFont="1" applyFill="1" applyBorder="1" applyAlignment="1">
      <alignment horizontal="center" vertical="top" wrapText="1"/>
    </xf>
    <xf numFmtId="0" fontId="10" fillId="7" borderId="65" xfId="0" applyFont="1" applyFill="1" applyBorder="1" applyAlignment="1">
      <alignment horizontal="center" textRotation="90"/>
    </xf>
    <xf numFmtId="2" fontId="9" fillId="7" borderId="65" xfId="0" applyNumberFormat="1" applyFont="1" applyFill="1" applyBorder="1" applyAlignment="1">
      <alignment horizontal="right" vertical="top"/>
    </xf>
    <xf numFmtId="0" fontId="23" fillId="7" borderId="0" xfId="0" applyFont="1" applyFill="1" applyAlignment="1">
      <alignment horizontal="right"/>
    </xf>
    <xf numFmtId="172" fontId="0" fillId="0" borderId="0" xfId="0" applyNumberFormat="1" applyAlignment="1">
      <alignment vertical="top"/>
    </xf>
    <xf numFmtId="2" fontId="14" fillId="5" borderId="63" xfId="0" applyNumberFormat="1" applyFont="1" applyFill="1" applyBorder="1" applyAlignment="1">
      <alignment horizontal="right" vertical="top"/>
    </xf>
    <xf numFmtId="2" fontId="14" fillId="5" borderId="64" xfId="0" applyNumberFormat="1" applyFont="1" applyFill="1" applyBorder="1" applyAlignment="1">
      <alignment horizontal="right" vertical="top"/>
    </xf>
    <xf numFmtId="2" fontId="14" fillId="5" borderId="63" xfId="0" applyNumberFormat="1" applyFont="1" applyFill="1" applyBorder="1" applyAlignment="1">
      <alignment vertical="top"/>
    </xf>
    <xf numFmtId="2" fontId="14" fillId="5" borderId="64" xfId="0" applyNumberFormat="1" applyFont="1" applyFill="1" applyBorder="1" applyAlignment="1">
      <alignment vertical="top"/>
    </xf>
    <xf numFmtId="0" fontId="2" fillId="2" borderId="3" xfId="0" applyFont="1" applyFill="1" applyBorder="1" applyAlignment="1">
      <alignment vertical="top"/>
    </xf>
    <xf numFmtId="0" fontId="2" fillId="2" borderId="4" xfId="0" applyFont="1" applyFill="1" applyBorder="1" applyAlignment="1">
      <alignment horizontal="left" vertical="top"/>
    </xf>
    <xf numFmtId="0" fontId="2" fillId="2" borderId="1" xfId="0" applyFont="1" applyFill="1" applyBorder="1" applyAlignment="1">
      <alignment horizontal="left" vertical="top"/>
    </xf>
    <xf numFmtId="0" fontId="2" fillId="2" borderId="0" xfId="0" applyFont="1" applyFill="1" applyBorder="1" applyAlignment="1">
      <alignment horizontal="left" vertical="top"/>
    </xf>
    <xf numFmtId="0" fontId="2" fillId="2" borderId="2" xfId="0" applyFont="1" applyFill="1" applyBorder="1" applyAlignment="1">
      <alignment horizontal="left" vertical="top"/>
    </xf>
    <xf numFmtId="0" fontId="6" fillId="3" borderId="5" xfId="0" applyFont="1" applyFill="1" applyBorder="1" applyAlignment="1">
      <alignment horizontal="center" vertical="top"/>
    </xf>
    <xf numFmtId="0" fontId="7" fillId="3" borderId="5" xfId="0" applyFont="1" applyFill="1" applyBorder="1" applyAlignment="1">
      <alignment horizontal="center" vertical="top"/>
    </xf>
    <xf numFmtId="0" fontId="1" fillId="2" borderId="66" xfId="0" applyFont="1" applyFill="1" applyBorder="1" applyAlignment="1">
      <alignment horizontal="left" vertical="top"/>
    </xf>
    <xf numFmtId="0" fontId="1" fillId="2" borderId="38" xfId="0" applyFont="1" applyFill="1" applyBorder="1" applyAlignment="1">
      <alignment horizontal="left" vertical="top"/>
    </xf>
    <xf numFmtId="0" fontId="1" fillId="2" borderId="67" xfId="0" applyFont="1" applyFill="1" applyBorder="1" applyAlignment="1">
      <alignment horizontal="left" vertical="top"/>
    </xf>
    <xf numFmtId="0" fontId="2" fillId="3" borderId="0" xfId="0" applyFont="1" applyFill="1" applyBorder="1" applyAlignment="1">
      <alignment vertical="top" wrapText="1"/>
    </xf>
    <xf numFmtId="0" fontId="2" fillId="2" borderId="66" xfId="0" applyFont="1" applyFill="1" applyBorder="1" applyAlignment="1">
      <alignment vertical="top" wrapText="1"/>
    </xf>
    <xf numFmtId="0" fontId="2" fillId="2" borderId="38" xfId="0" applyFont="1" applyFill="1" applyBorder="1" applyAlignment="1">
      <alignment vertical="top" wrapText="1"/>
    </xf>
    <xf numFmtId="0" fontId="2" fillId="2" borderId="67" xfId="0" applyFont="1" applyFill="1" applyBorder="1" applyAlignment="1">
      <alignment vertical="top" wrapText="1"/>
    </xf>
    <xf numFmtId="0" fontId="6" fillId="3" borderId="5" xfId="0" applyFont="1" applyFill="1" applyBorder="1" applyAlignment="1">
      <alignment horizontal="center" vertical="top" wrapText="1"/>
    </xf>
    <xf numFmtId="0" fontId="2" fillId="2" borderId="0" xfId="0" applyFont="1" applyFill="1" applyBorder="1" applyAlignment="1">
      <alignment vertical="top" wrapText="1"/>
    </xf>
    <xf numFmtId="0" fontId="2" fillId="2" borderId="2" xfId="0" applyFont="1" applyFill="1" applyBorder="1" applyAlignment="1">
      <alignment vertical="top" wrapText="1"/>
    </xf>
    <xf numFmtId="0" fontId="2" fillId="2" borderId="5" xfId="0" applyFont="1" applyFill="1" applyBorder="1" applyAlignment="1">
      <alignment vertical="top" wrapText="1"/>
    </xf>
    <xf numFmtId="0" fontId="2" fillId="2" borderId="4" xfId="0" applyFont="1" applyFill="1" applyBorder="1" applyAlignment="1">
      <alignment vertical="top" wrapText="1"/>
    </xf>
    <xf numFmtId="0" fontId="6" fillId="3" borderId="0" xfId="0" applyFont="1" applyFill="1" applyBorder="1" applyAlignment="1">
      <alignment horizontal="center" vertical="top" wrapText="1"/>
    </xf>
    <xf numFmtId="0" fontId="2" fillId="3" borderId="38" xfId="0" applyFont="1" applyFill="1" applyBorder="1" applyAlignment="1">
      <alignment horizontal="left" vertical="top" wrapText="1"/>
    </xf>
    <xf numFmtId="0" fontId="2" fillId="2" borderId="68" xfId="0" applyFont="1" applyFill="1" applyBorder="1" applyAlignment="1">
      <alignment vertical="top" wrapText="1"/>
    </xf>
    <xf numFmtId="0" fontId="0" fillId="2" borderId="69" xfId="0" applyFill="1" applyBorder="1" applyAlignment="1">
      <alignment vertical="top" wrapText="1"/>
    </xf>
    <xf numFmtId="0" fontId="0" fillId="2" borderId="70" xfId="0" applyFill="1" applyBorder="1" applyAlignment="1">
      <alignment vertical="top" wrapText="1"/>
    </xf>
    <xf numFmtId="0" fontId="2" fillId="2" borderId="66" xfId="0" applyFont="1" applyFill="1" applyBorder="1" applyAlignment="1">
      <alignment horizontal="left" vertical="top" wrapText="1"/>
    </xf>
    <xf numFmtId="0" fontId="16" fillId="12" borderId="0" xfId="0" applyFont="1" applyFill="1" applyBorder="1" applyAlignment="1">
      <alignment horizontal="center" vertical="top" wrapText="1"/>
    </xf>
    <xf numFmtId="0" fontId="17" fillId="12" borderId="0" xfId="0" applyFont="1" applyFill="1" applyBorder="1" applyAlignment="1">
      <alignment horizontal="center" vertical="top" wrapText="1"/>
    </xf>
    <xf numFmtId="0" fontId="2" fillId="2" borderId="68" xfId="0" applyFont="1" applyFill="1" applyBorder="1" applyAlignment="1">
      <alignment horizontal="left" vertical="top" wrapText="1"/>
    </xf>
    <xf numFmtId="0" fontId="2" fillId="2" borderId="69" xfId="0" applyFont="1" applyFill="1" applyBorder="1" applyAlignment="1">
      <alignment vertical="top" wrapText="1"/>
    </xf>
    <xf numFmtId="0" fontId="2" fillId="2" borderId="70" xfId="0" applyFont="1" applyFill="1" applyBorder="1" applyAlignment="1">
      <alignment vertical="top" wrapText="1"/>
    </xf>
    <xf numFmtId="0" fontId="2" fillId="3" borderId="0" xfId="0" applyFont="1" applyFill="1" applyBorder="1" applyAlignment="1">
      <alignment horizontal="left" vertical="top" wrapText="1"/>
    </xf>
    <xf numFmtId="0" fontId="2" fillId="2" borderId="69" xfId="0" applyFont="1" applyFill="1" applyBorder="1" applyAlignment="1">
      <alignment horizontal="left" vertical="top" wrapText="1"/>
    </xf>
    <xf numFmtId="0" fontId="2" fillId="2" borderId="70"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5" xfId="0" applyFont="1" applyFill="1" applyBorder="1" applyAlignment="1">
      <alignment wrapText="1"/>
    </xf>
    <xf numFmtId="0" fontId="2" fillId="2" borderId="4" xfId="0" applyFont="1" applyFill="1" applyBorder="1" applyAlignment="1">
      <alignment wrapText="1"/>
    </xf>
    <xf numFmtId="0" fontId="10" fillId="6" borderId="13" xfId="0" applyFont="1" applyFill="1" applyBorder="1" applyAlignment="1">
      <alignment horizontal="center" vertical="top"/>
    </xf>
    <xf numFmtId="0" fontId="10" fillId="6" borderId="12" xfId="0" applyFont="1" applyFill="1" applyBorder="1" applyAlignment="1">
      <alignment horizontal="center" vertical="top"/>
    </xf>
    <xf numFmtId="0" fontId="10" fillId="6" borderId="44" xfId="0" applyFont="1" applyFill="1" applyBorder="1" applyAlignment="1">
      <alignment horizontal="center" vertical="top"/>
    </xf>
    <xf numFmtId="0" fontId="18" fillId="5" borderId="0" xfId="0" applyFont="1" applyFill="1" applyBorder="1" applyAlignment="1">
      <alignment horizontal="center" vertical="top" wrapText="1"/>
    </xf>
    <xf numFmtId="0" fontId="19" fillId="0" borderId="0" xfId="0" applyFont="1" applyAlignment="1">
      <alignment horizontal="center" vertical="top" wrapText="1"/>
    </xf>
    <xf numFmtId="0" fontId="10" fillId="6" borderId="65" xfId="0" applyFont="1" applyFill="1" applyBorder="1" applyAlignment="1">
      <alignment horizontal="center" vertical="top"/>
    </xf>
    <xf numFmtId="0" fontId="10" fillId="6" borderId="0" xfId="0" applyFont="1" applyFill="1" applyBorder="1" applyAlignment="1">
      <alignment horizontal="center" vertical="top"/>
    </xf>
    <xf numFmtId="0" fontId="10" fillId="6" borderId="42" xfId="0" applyFont="1" applyFill="1" applyBorder="1" applyAlignment="1">
      <alignment horizontal="center" vertical="top"/>
    </xf>
    <xf numFmtId="0" fontId="10" fillId="6" borderId="71" xfId="0" applyFont="1" applyFill="1" applyBorder="1" applyAlignment="1">
      <alignment horizontal="center" vertical="top" wrapText="1"/>
    </xf>
    <xf numFmtId="0" fontId="10" fillId="6" borderId="52" xfId="0" applyFont="1" applyFill="1" applyBorder="1" applyAlignment="1">
      <alignment horizontal="center" vertical="top" wrapText="1"/>
    </xf>
    <xf numFmtId="0" fontId="13" fillId="5" borderId="72" xfId="0" applyFont="1" applyFill="1" applyBorder="1" applyAlignment="1">
      <alignment horizontal="right" vertical="top" wrapText="1"/>
    </xf>
    <xf numFmtId="0" fontId="14" fillId="0" borderId="73" xfId="0" applyFont="1" applyBorder="1" applyAlignment="1">
      <alignment horizontal="right" vertical="top" wrapText="1"/>
    </xf>
    <xf numFmtId="0" fontId="13" fillId="5" borderId="74" xfId="0" applyFont="1" applyFill="1" applyBorder="1" applyAlignment="1">
      <alignment horizontal="right" vertical="top" wrapText="1"/>
    </xf>
    <xf numFmtId="0" fontId="14" fillId="0" borderId="75" xfId="0" applyFont="1" applyBorder="1" applyAlignment="1">
      <alignment horizontal="right" vertical="top" wrapText="1"/>
    </xf>
    <xf numFmtId="0" fontId="6" fillId="13" borderId="0" xfId="0" applyFont="1" applyFill="1" applyAlignment="1">
      <alignment horizontal="center" vertical="top" wrapText="1"/>
    </xf>
    <xf numFmtId="0" fontId="2" fillId="13" borderId="0" xfId="0"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2</xdr:col>
      <xdr:colOff>152400</xdr:colOff>
      <xdr:row>6</xdr:row>
      <xdr:rowOff>69850</xdr:rowOff>
    </xdr:from>
    <xdr:to>
      <xdr:col>2</xdr:col>
      <xdr:colOff>152400</xdr:colOff>
      <xdr:row>7</xdr:row>
      <xdr:rowOff>6350</xdr:rowOff>
    </xdr:to>
    <xdr:sp macro="" textlink="">
      <xdr:nvSpPr>
        <xdr:cNvPr id="2049" name="Line 1">
          <a:extLst>
            <a:ext uri="{FF2B5EF4-FFF2-40B4-BE49-F238E27FC236}">
              <a16:creationId xmlns:a16="http://schemas.microsoft.com/office/drawing/2014/main" id="{86E49F54-8352-4027-A71F-A7CBE9A7AFC4}"/>
            </a:ext>
          </a:extLst>
        </xdr:cNvPr>
        <xdr:cNvSpPr>
          <a:spLocks noChangeShapeType="1"/>
        </xdr:cNvSpPr>
      </xdr:nvSpPr>
      <xdr:spPr bwMode="auto">
        <a:xfrm flipH="1" flipV="1">
          <a:off x="4654550" y="1181100"/>
          <a:ext cx="0" cy="203200"/>
        </a:xfrm>
        <a:prstGeom prst="line">
          <a:avLst/>
        </a:prstGeom>
        <a:noFill/>
        <a:ln w="9525">
          <a:solidFill>
            <a:srgbClr xmlns:mc="http://schemas.openxmlformats.org/markup-compatibility/2006" xmlns:a14="http://schemas.microsoft.com/office/drawing/2010/main" val="00FFFF" mc:Ignorable="a14" a14:legacySpreadsheetColorIndex="15"/>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158750</xdr:colOff>
      <xdr:row>6</xdr:row>
      <xdr:rowOff>69850</xdr:rowOff>
    </xdr:from>
    <xdr:to>
      <xdr:col>8</xdr:col>
      <xdr:colOff>228600</xdr:colOff>
      <xdr:row>6</xdr:row>
      <xdr:rowOff>69850</xdr:rowOff>
    </xdr:to>
    <xdr:sp macro="" textlink="">
      <xdr:nvSpPr>
        <xdr:cNvPr id="2050" name="Line 2">
          <a:extLst>
            <a:ext uri="{FF2B5EF4-FFF2-40B4-BE49-F238E27FC236}">
              <a16:creationId xmlns:a16="http://schemas.microsoft.com/office/drawing/2014/main" id="{D762F08C-2CC0-4369-B8E1-8AD405BF7496}"/>
            </a:ext>
          </a:extLst>
        </xdr:cNvPr>
        <xdr:cNvSpPr>
          <a:spLocks noChangeShapeType="1"/>
        </xdr:cNvSpPr>
      </xdr:nvSpPr>
      <xdr:spPr bwMode="auto">
        <a:xfrm>
          <a:off x="4660900" y="1181100"/>
          <a:ext cx="2889250" cy="0"/>
        </a:xfrm>
        <a:prstGeom prst="line">
          <a:avLst/>
        </a:prstGeom>
        <a:noFill/>
        <a:ln w="9525">
          <a:solidFill>
            <a:srgbClr xmlns:mc="http://schemas.openxmlformats.org/markup-compatibility/2006" xmlns:a14="http://schemas.microsoft.com/office/drawing/2010/main" val="00FFFF" mc:Ignorable="a14" a14:legacySpreadsheetColorIndex="15"/>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228600</xdr:colOff>
      <xdr:row>6</xdr:row>
      <xdr:rowOff>69850</xdr:rowOff>
    </xdr:from>
    <xdr:to>
      <xdr:col>8</xdr:col>
      <xdr:colOff>228600</xdr:colOff>
      <xdr:row>7</xdr:row>
      <xdr:rowOff>120650</xdr:rowOff>
    </xdr:to>
    <xdr:sp macro="" textlink="">
      <xdr:nvSpPr>
        <xdr:cNvPr id="2051" name="Line 3">
          <a:extLst>
            <a:ext uri="{FF2B5EF4-FFF2-40B4-BE49-F238E27FC236}">
              <a16:creationId xmlns:a16="http://schemas.microsoft.com/office/drawing/2014/main" id="{BF82FFBD-1678-4BE4-8605-4C01D4C6A162}"/>
            </a:ext>
          </a:extLst>
        </xdr:cNvPr>
        <xdr:cNvSpPr>
          <a:spLocks noChangeShapeType="1"/>
        </xdr:cNvSpPr>
      </xdr:nvSpPr>
      <xdr:spPr bwMode="auto">
        <a:xfrm>
          <a:off x="7550150" y="1181100"/>
          <a:ext cx="0" cy="317500"/>
        </a:xfrm>
        <a:prstGeom prst="line">
          <a:avLst/>
        </a:prstGeom>
        <a:noFill/>
        <a:ln w="9525">
          <a:solidFill>
            <a:srgbClr xmlns:mc="http://schemas.openxmlformats.org/markup-compatibility/2006" xmlns:a14="http://schemas.microsoft.com/office/drawing/2010/main" val="00FFFF" mc:Ignorable="a14" a14:legacySpreadsheetColorIndex="15"/>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228600</xdr:colOff>
      <xdr:row>6</xdr:row>
      <xdr:rowOff>69850</xdr:rowOff>
    </xdr:from>
    <xdr:to>
      <xdr:col>3</xdr:col>
      <xdr:colOff>228600</xdr:colOff>
      <xdr:row>7</xdr:row>
      <xdr:rowOff>0</xdr:rowOff>
    </xdr:to>
    <xdr:sp macro="" textlink="">
      <xdr:nvSpPr>
        <xdr:cNvPr id="2052" name="Line 4">
          <a:extLst>
            <a:ext uri="{FF2B5EF4-FFF2-40B4-BE49-F238E27FC236}">
              <a16:creationId xmlns:a16="http://schemas.microsoft.com/office/drawing/2014/main" id="{E1CD3900-B8EA-4328-BAE7-E627AC748461}"/>
            </a:ext>
          </a:extLst>
        </xdr:cNvPr>
        <xdr:cNvSpPr>
          <a:spLocks noChangeShapeType="1"/>
        </xdr:cNvSpPr>
      </xdr:nvSpPr>
      <xdr:spPr bwMode="auto">
        <a:xfrm>
          <a:off x="5130800" y="1181100"/>
          <a:ext cx="0" cy="196850"/>
        </a:xfrm>
        <a:prstGeom prst="line">
          <a:avLst/>
        </a:prstGeom>
        <a:noFill/>
        <a:ln w="9525">
          <a:solidFill>
            <a:srgbClr xmlns:mc="http://schemas.openxmlformats.org/markup-compatibility/2006" xmlns:a14="http://schemas.microsoft.com/office/drawing/2010/main" val="00FFFF" mc:Ignorable="a14" a14:legacySpreadsheetColorIndex="15"/>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273050</xdr:colOff>
      <xdr:row>6</xdr:row>
      <xdr:rowOff>69850</xdr:rowOff>
    </xdr:from>
    <xdr:to>
      <xdr:col>4</xdr:col>
      <xdr:colOff>273050</xdr:colOff>
      <xdr:row>7</xdr:row>
      <xdr:rowOff>0</xdr:rowOff>
    </xdr:to>
    <xdr:sp macro="" textlink="">
      <xdr:nvSpPr>
        <xdr:cNvPr id="2053" name="Line 5">
          <a:extLst>
            <a:ext uri="{FF2B5EF4-FFF2-40B4-BE49-F238E27FC236}">
              <a16:creationId xmlns:a16="http://schemas.microsoft.com/office/drawing/2014/main" id="{0541463C-9BB1-4B7E-9D78-C61125DA3AE0}"/>
            </a:ext>
          </a:extLst>
        </xdr:cNvPr>
        <xdr:cNvSpPr>
          <a:spLocks noChangeShapeType="1"/>
        </xdr:cNvSpPr>
      </xdr:nvSpPr>
      <xdr:spPr bwMode="auto">
        <a:xfrm>
          <a:off x="5575300" y="1181100"/>
          <a:ext cx="0" cy="196850"/>
        </a:xfrm>
        <a:prstGeom prst="line">
          <a:avLst/>
        </a:prstGeom>
        <a:noFill/>
        <a:ln w="9525">
          <a:solidFill>
            <a:srgbClr xmlns:mc="http://schemas.openxmlformats.org/markup-compatibility/2006" xmlns:a14="http://schemas.microsoft.com/office/drawing/2010/main" val="00FFFF" mc:Ignorable="a14" a14:legacySpreadsheetColorIndex="15"/>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292100</xdr:colOff>
      <xdr:row>6</xdr:row>
      <xdr:rowOff>171450</xdr:rowOff>
    </xdr:from>
    <xdr:to>
      <xdr:col>5</xdr:col>
      <xdr:colOff>292100</xdr:colOff>
      <xdr:row>7</xdr:row>
      <xdr:rowOff>0</xdr:rowOff>
    </xdr:to>
    <xdr:sp macro="" textlink="">
      <xdr:nvSpPr>
        <xdr:cNvPr id="2054" name="Line 6">
          <a:extLst>
            <a:ext uri="{FF2B5EF4-FFF2-40B4-BE49-F238E27FC236}">
              <a16:creationId xmlns:a16="http://schemas.microsoft.com/office/drawing/2014/main" id="{6F2CC912-0495-49AF-9F2D-FD3F919DAA1F}"/>
            </a:ext>
          </a:extLst>
        </xdr:cNvPr>
        <xdr:cNvSpPr>
          <a:spLocks noChangeShapeType="1"/>
        </xdr:cNvSpPr>
      </xdr:nvSpPr>
      <xdr:spPr bwMode="auto">
        <a:xfrm flipV="1">
          <a:off x="6134100" y="1282700"/>
          <a:ext cx="0" cy="95250"/>
        </a:xfrm>
        <a:prstGeom prst="line">
          <a:avLst/>
        </a:prstGeom>
        <a:noFill/>
        <a:ln w="9525">
          <a:solidFill>
            <a:srgbClr xmlns:mc="http://schemas.openxmlformats.org/markup-compatibility/2006" xmlns:a14="http://schemas.microsoft.com/office/drawing/2010/main" val="FF00FF" mc:Ignorable="a14" a14:legacySpreadsheetColorIndex="1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292100</xdr:colOff>
      <xdr:row>6</xdr:row>
      <xdr:rowOff>171450</xdr:rowOff>
    </xdr:from>
    <xdr:to>
      <xdr:col>9</xdr:col>
      <xdr:colOff>215900</xdr:colOff>
      <xdr:row>6</xdr:row>
      <xdr:rowOff>171450</xdr:rowOff>
    </xdr:to>
    <xdr:sp macro="" textlink="">
      <xdr:nvSpPr>
        <xdr:cNvPr id="2055" name="Line 7">
          <a:extLst>
            <a:ext uri="{FF2B5EF4-FFF2-40B4-BE49-F238E27FC236}">
              <a16:creationId xmlns:a16="http://schemas.microsoft.com/office/drawing/2014/main" id="{A1B850C1-A20F-4BF3-BDEC-CE038607940A}"/>
            </a:ext>
          </a:extLst>
        </xdr:cNvPr>
        <xdr:cNvSpPr>
          <a:spLocks noChangeShapeType="1"/>
        </xdr:cNvSpPr>
      </xdr:nvSpPr>
      <xdr:spPr bwMode="auto">
        <a:xfrm>
          <a:off x="6134100" y="1282700"/>
          <a:ext cx="1841500" cy="0"/>
        </a:xfrm>
        <a:prstGeom prst="line">
          <a:avLst/>
        </a:prstGeom>
        <a:noFill/>
        <a:ln w="9525">
          <a:solidFill>
            <a:srgbClr xmlns:mc="http://schemas.openxmlformats.org/markup-compatibility/2006" xmlns:a14="http://schemas.microsoft.com/office/drawing/2010/main" val="FF00FF" mc:Ignorable="a14" a14:legacySpreadsheetColorIndex="14"/>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215900</xdr:colOff>
      <xdr:row>6</xdr:row>
      <xdr:rowOff>171450</xdr:rowOff>
    </xdr:from>
    <xdr:to>
      <xdr:col>9</xdr:col>
      <xdr:colOff>215900</xdr:colOff>
      <xdr:row>7</xdr:row>
      <xdr:rowOff>114300</xdr:rowOff>
    </xdr:to>
    <xdr:sp macro="" textlink="">
      <xdr:nvSpPr>
        <xdr:cNvPr id="2056" name="Line 8">
          <a:extLst>
            <a:ext uri="{FF2B5EF4-FFF2-40B4-BE49-F238E27FC236}">
              <a16:creationId xmlns:a16="http://schemas.microsoft.com/office/drawing/2014/main" id="{B34CE9E1-F34B-4FB5-80B3-E7DD29BE593E}"/>
            </a:ext>
          </a:extLst>
        </xdr:cNvPr>
        <xdr:cNvSpPr>
          <a:spLocks noChangeShapeType="1"/>
        </xdr:cNvSpPr>
      </xdr:nvSpPr>
      <xdr:spPr bwMode="auto">
        <a:xfrm>
          <a:off x="7975600" y="1282700"/>
          <a:ext cx="0" cy="209550"/>
        </a:xfrm>
        <a:prstGeom prst="line">
          <a:avLst/>
        </a:prstGeom>
        <a:noFill/>
        <a:ln w="9525">
          <a:solidFill>
            <a:srgbClr xmlns:mc="http://schemas.openxmlformats.org/markup-compatibility/2006" xmlns:a14="http://schemas.microsoft.com/office/drawing/2010/main" val="FF00FF" mc:Ignorable="a14" a14:legacySpreadsheetColorIndex="1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317500</xdr:colOff>
      <xdr:row>6</xdr:row>
      <xdr:rowOff>171450</xdr:rowOff>
    </xdr:from>
    <xdr:to>
      <xdr:col>6</xdr:col>
      <xdr:colOff>317500</xdr:colOff>
      <xdr:row>7</xdr:row>
      <xdr:rowOff>0</xdr:rowOff>
    </xdr:to>
    <xdr:sp macro="" textlink="">
      <xdr:nvSpPr>
        <xdr:cNvPr id="2057" name="Line 9">
          <a:extLst>
            <a:ext uri="{FF2B5EF4-FFF2-40B4-BE49-F238E27FC236}">
              <a16:creationId xmlns:a16="http://schemas.microsoft.com/office/drawing/2014/main" id="{BBF30008-0615-445D-83C0-C9BAA10EA0B3}"/>
            </a:ext>
          </a:extLst>
        </xdr:cNvPr>
        <xdr:cNvSpPr>
          <a:spLocks noChangeShapeType="1"/>
        </xdr:cNvSpPr>
      </xdr:nvSpPr>
      <xdr:spPr bwMode="auto">
        <a:xfrm flipV="1">
          <a:off x="6699250" y="1282700"/>
          <a:ext cx="0" cy="95250"/>
        </a:xfrm>
        <a:prstGeom prst="line">
          <a:avLst/>
        </a:prstGeom>
        <a:noFill/>
        <a:ln w="9525">
          <a:solidFill>
            <a:srgbClr xmlns:mc="http://schemas.openxmlformats.org/markup-compatibility/2006" xmlns:a14="http://schemas.microsoft.com/office/drawing/2010/main" val="FF00FF" mc:Ignorable="a14" a14:legacySpreadsheetColorIndex="1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203200</xdr:colOff>
      <xdr:row>6</xdr:row>
      <xdr:rowOff>171450</xdr:rowOff>
    </xdr:from>
    <xdr:to>
      <xdr:col>7</xdr:col>
      <xdr:colOff>203200</xdr:colOff>
      <xdr:row>7</xdr:row>
      <xdr:rowOff>0</xdr:rowOff>
    </xdr:to>
    <xdr:sp macro="" textlink="">
      <xdr:nvSpPr>
        <xdr:cNvPr id="2058" name="Line 10">
          <a:extLst>
            <a:ext uri="{FF2B5EF4-FFF2-40B4-BE49-F238E27FC236}">
              <a16:creationId xmlns:a16="http://schemas.microsoft.com/office/drawing/2014/main" id="{A490CD47-550A-438D-9A4E-34DA9B747ACC}"/>
            </a:ext>
          </a:extLst>
        </xdr:cNvPr>
        <xdr:cNvSpPr>
          <a:spLocks noChangeShapeType="1"/>
        </xdr:cNvSpPr>
      </xdr:nvSpPr>
      <xdr:spPr bwMode="auto">
        <a:xfrm flipV="1">
          <a:off x="7124700" y="1282700"/>
          <a:ext cx="0" cy="95250"/>
        </a:xfrm>
        <a:prstGeom prst="line">
          <a:avLst/>
        </a:prstGeom>
        <a:noFill/>
        <a:ln w="9525">
          <a:solidFill>
            <a:srgbClr xmlns:mc="http://schemas.openxmlformats.org/markup-compatibility/2006" xmlns:a14="http://schemas.microsoft.com/office/drawing/2010/main" val="FF00FF" mc:Ignorable="a14" a14:legacySpreadsheetColorIndex="14"/>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1143000</xdr:colOff>
          <xdr:row>14</xdr:row>
          <xdr:rowOff>368300</xdr:rowOff>
        </xdr:from>
        <xdr:to>
          <xdr:col>2</xdr:col>
          <xdr:colOff>4660900</xdr:colOff>
          <xdr:row>14</xdr:row>
          <xdr:rowOff>1809750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26087044-B22D-4FFC-A130-69AD96A4C77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190500</xdr:colOff>
          <xdr:row>13</xdr:row>
          <xdr:rowOff>584200</xdr:rowOff>
        </xdr:from>
        <xdr:to>
          <xdr:col>2</xdr:col>
          <xdr:colOff>2133600</xdr:colOff>
          <xdr:row>13</xdr:row>
          <xdr:rowOff>2139950</xdr:rowOff>
        </xdr:to>
        <xdr:sp macro="" textlink="">
          <xdr:nvSpPr>
            <xdr:cNvPr id="1030" name="Object 6" hidden="1">
              <a:extLst>
                <a:ext uri="{63B3BB69-23CF-44E3-9099-C40C66FF867C}">
                  <a14:compatExt spid="_x0000_s1030"/>
                </a:ext>
                <a:ext uri="{FF2B5EF4-FFF2-40B4-BE49-F238E27FC236}">
                  <a16:creationId xmlns:a16="http://schemas.microsoft.com/office/drawing/2014/main" id="{ABD44392-9330-479C-B819-82A41B6B48DF}"/>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2476500</xdr:colOff>
          <xdr:row>13</xdr:row>
          <xdr:rowOff>577850</xdr:rowOff>
        </xdr:from>
        <xdr:to>
          <xdr:col>2</xdr:col>
          <xdr:colOff>4419600</xdr:colOff>
          <xdr:row>13</xdr:row>
          <xdr:rowOff>2133600</xdr:rowOff>
        </xdr:to>
        <xdr:sp macro="" textlink="">
          <xdr:nvSpPr>
            <xdr:cNvPr id="1031" name="Object 7" hidden="1">
              <a:extLst>
                <a:ext uri="{63B3BB69-23CF-44E3-9099-C40C66FF867C}">
                  <a14:compatExt spid="_x0000_s1031"/>
                </a:ext>
                <a:ext uri="{FF2B5EF4-FFF2-40B4-BE49-F238E27FC236}">
                  <a16:creationId xmlns:a16="http://schemas.microsoft.com/office/drawing/2014/main" id="{B7B18BB2-ED93-4DA8-BF50-076598B9760F}"/>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107950</xdr:colOff>
          <xdr:row>5</xdr:row>
          <xdr:rowOff>190500</xdr:rowOff>
        </xdr:from>
        <xdr:to>
          <xdr:col>2</xdr:col>
          <xdr:colOff>6375400</xdr:colOff>
          <xdr:row>5</xdr:row>
          <xdr:rowOff>3130550</xdr:rowOff>
        </xdr:to>
        <xdr:sp macro="" textlink="">
          <xdr:nvSpPr>
            <xdr:cNvPr id="1033" name="Object 9" hidden="1">
              <a:extLst>
                <a:ext uri="{63B3BB69-23CF-44E3-9099-C40C66FF867C}">
                  <a14:compatExt spid="_x0000_s1033"/>
                </a:ext>
                <a:ext uri="{FF2B5EF4-FFF2-40B4-BE49-F238E27FC236}">
                  <a16:creationId xmlns:a16="http://schemas.microsoft.com/office/drawing/2014/main" id="{51FDC24A-204F-49D7-9BDF-B90CB58323BA}"/>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oleObject" Target="../embeddings/oleObject2.bin"/><Relationship Id="rId11" Type="http://schemas.openxmlformats.org/officeDocument/2006/relationships/image" Target="../media/image4.emf"/><Relationship Id="rId5" Type="http://schemas.openxmlformats.org/officeDocument/2006/relationships/image" Target="../media/image1.emf"/><Relationship Id="rId10" Type="http://schemas.openxmlformats.org/officeDocument/2006/relationships/oleObject" Target="../embeddings/oleObject4.bin"/><Relationship Id="rId4" Type="http://schemas.openxmlformats.org/officeDocument/2006/relationships/oleObject" Target="../embeddings/oleObject1.bin"/><Relationship Id="rId9" Type="http://schemas.openxmlformats.org/officeDocument/2006/relationships/image" Target="../media/image3.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78"/>
  <sheetViews>
    <sheetView tabSelected="1" workbookViewId="0"/>
  </sheetViews>
  <sheetFormatPr defaultColWidth="9.1796875" defaultRowHeight="12.5" x14ac:dyDescent="0.25"/>
  <cols>
    <col min="1" max="1" width="4.7265625" style="4" customWidth="1"/>
    <col min="2" max="2" width="4.453125" style="4" customWidth="1"/>
    <col min="3" max="3" width="2.81640625" style="4" customWidth="1"/>
    <col min="4" max="4" width="73.81640625" style="6" customWidth="1"/>
    <col min="5" max="5" width="5" style="4" customWidth="1"/>
    <col min="6" max="7" width="5.7265625" style="4" customWidth="1"/>
    <col min="8" max="10" width="7.7265625" style="4" customWidth="1"/>
    <col min="11" max="11" width="5.7265625" style="4" customWidth="1"/>
    <col min="12" max="13" width="9.1796875" style="4"/>
    <col min="14" max="19" width="2.7265625" style="4" hidden="1" customWidth="1"/>
    <col min="20" max="21" width="3.7265625" style="4" hidden="1" customWidth="1"/>
    <col min="22" max="16384" width="9.1796875" style="4"/>
  </cols>
  <sheetData>
    <row r="1" spans="1:26" x14ac:dyDescent="0.25">
      <c r="A1" s="20"/>
      <c r="B1" s="20"/>
      <c r="C1" s="20"/>
      <c r="D1" s="26"/>
      <c r="E1" s="36" t="s">
        <v>272</v>
      </c>
      <c r="F1" s="20"/>
      <c r="G1" s="20"/>
      <c r="H1" s="20"/>
      <c r="I1" s="20"/>
      <c r="J1" s="20"/>
      <c r="K1" s="20"/>
      <c r="L1" s="20"/>
      <c r="M1" s="20"/>
      <c r="N1" s="20"/>
      <c r="O1" s="20"/>
      <c r="P1" s="20"/>
      <c r="Q1" s="20"/>
      <c r="R1" s="20"/>
      <c r="S1" s="20"/>
      <c r="T1" s="20"/>
      <c r="U1" s="20"/>
      <c r="V1" s="20"/>
      <c r="W1" s="20"/>
      <c r="X1" s="20"/>
      <c r="Y1" s="20"/>
      <c r="Z1" s="20"/>
    </row>
    <row r="2" spans="1:26" ht="37.5" customHeight="1" x14ac:dyDescent="0.25">
      <c r="A2" s="20"/>
      <c r="B2" s="187" t="s">
        <v>295</v>
      </c>
      <c r="C2" s="188"/>
      <c r="D2" s="188"/>
      <c r="E2" s="22"/>
      <c r="F2" s="22"/>
      <c r="G2" s="22"/>
      <c r="H2" s="22"/>
      <c r="I2" s="22"/>
      <c r="J2" s="22"/>
      <c r="K2" s="22"/>
      <c r="L2" s="22"/>
      <c r="M2" s="22"/>
      <c r="N2" s="20"/>
      <c r="O2" s="20"/>
      <c r="P2" s="20"/>
      <c r="Q2" s="20"/>
      <c r="R2" s="20"/>
      <c r="S2" s="20"/>
      <c r="T2" s="20"/>
      <c r="U2" s="20"/>
      <c r="V2" s="20"/>
      <c r="W2" s="20"/>
      <c r="X2" s="20"/>
      <c r="Y2" s="20"/>
      <c r="Z2" s="20"/>
    </row>
    <row r="3" spans="1:26" ht="13" x14ac:dyDescent="0.25">
      <c r="A3" s="20"/>
      <c r="B3" s="20"/>
      <c r="C3" s="20"/>
      <c r="D3" s="23"/>
      <c r="E3" s="22"/>
      <c r="F3" s="22"/>
      <c r="G3" s="22"/>
      <c r="H3" s="22"/>
      <c r="I3" s="22"/>
      <c r="J3" s="22"/>
      <c r="K3" s="22"/>
      <c r="L3" s="22"/>
      <c r="M3" s="22"/>
      <c r="N3" s="20"/>
      <c r="O3" s="20"/>
      <c r="P3" s="20"/>
      <c r="Q3" s="20"/>
      <c r="R3" s="20"/>
      <c r="S3" s="20"/>
      <c r="T3" s="20"/>
      <c r="U3" s="20"/>
      <c r="V3" s="20"/>
      <c r="W3" s="20"/>
      <c r="X3" s="20"/>
      <c r="Y3" s="20"/>
      <c r="Z3" s="20"/>
    </row>
    <row r="4" spans="1:26" ht="18.5" thickBot="1" x14ac:dyDescent="0.3">
      <c r="A4" s="20"/>
      <c r="B4" s="167" t="s">
        <v>240</v>
      </c>
      <c r="C4" s="168"/>
      <c r="D4" s="168"/>
      <c r="E4" s="22"/>
      <c r="F4" s="22"/>
      <c r="G4" s="22"/>
      <c r="H4" s="22"/>
      <c r="I4" s="22"/>
      <c r="J4" s="22"/>
      <c r="K4" s="22"/>
      <c r="L4" s="22"/>
      <c r="M4" s="22"/>
      <c r="N4" s="20"/>
      <c r="O4" s="20"/>
      <c r="P4" s="20"/>
      <c r="Q4" s="20"/>
      <c r="R4" s="20"/>
      <c r="S4" s="20"/>
      <c r="T4" s="20"/>
      <c r="U4" s="20"/>
      <c r="V4" s="20"/>
      <c r="W4" s="20"/>
      <c r="X4" s="20"/>
      <c r="Y4" s="20"/>
      <c r="Z4" s="20"/>
    </row>
    <row r="5" spans="1:26" ht="30.75" customHeight="1" thickTop="1" x14ac:dyDescent="0.25">
      <c r="A5" s="20"/>
      <c r="B5" s="186" t="s">
        <v>289</v>
      </c>
      <c r="C5" s="174"/>
      <c r="D5" s="175"/>
      <c r="E5" s="22"/>
      <c r="F5" s="22"/>
      <c r="G5" s="22"/>
      <c r="H5" s="22"/>
      <c r="I5" s="22"/>
      <c r="J5" s="22"/>
      <c r="K5" s="22"/>
      <c r="L5" s="22"/>
      <c r="M5" s="22"/>
      <c r="N5" s="20"/>
      <c r="O5" s="20"/>
      <c r="P5" s="20"/>
      <c r="Q5" s="20"/>
      <c r="R5" s="20"/>
      <c r="S5" s="20"/>
      <c r="T5" s="20"/>
      <c r="U5" s="20"/>
      <c r="V5" s="20"/>
      <c r="W5" s="20"/>
      <c r="X5" s="20"/>
      <c r="Y5" s="20"/>
      <c r="Z5" s="20"/>
    </row>
    <row r="6" spans="1:26" ht="28.5" customHeight="1" x14ac:dyDescent="0.25">
      <c r="A6" s="20"/>
      <c r="B6" s="8" t="s">
        <v>248</v>
      </c>
      <c r="C6" s="177" t="s">
        <v>269</v>
      </c>
      <c r="D6" s="178"/>
      <c r="E6" s="22"/>
      <c r="F6" s="22"/>
      <c r="G6" s="22"/>
      <c r="H6" s="22"/>
      <c r="I6" s="22"/>
      <c r="J6" s="22"/>
      <c r="K6" s="22"/>
      <c r="L6" s="22"/>
      <c r="M6" s="22"/>
      <c r="N6" s="20"/>
      <c r="O6" s="20"/>
      <c r="P6" s="20"/>
      <c r="Q6" s="20"/>
      <c r="R6" s="20"/>
      <c r="S6" s="20"/>
      <c r="T6" s="20"/>
      <c r="U6" s="20"/>
      <c r="V6" s="20"/>
      <c r="W6" s="20"/>
      <c r="X6" s="20"/>
      <c r="Y6" s="20"/>
      <c r="Z6" s="20"/>
    </row>
    <row r="7" spans="1:26" ht="30" customHeight="1" thickBot="1" x14ac:dyDescent="0.3">
      <c r="A7" s="20"/>
      <c r="B7" s="13" t="s">
        <v>249</v>
      </c>
      <c r="C7" s="179" t="s">
        <v>308</v>
      </c>
      <c r="D7" s="180"/>
      <c r="E7" s="22"/>
      <c r="F7" s="22"/>
      <c r="G7" s="22"/>
      <c r="H7" s="22"/>
      <c r="I7" s="22"/>
      <c r="J7" s="22"/>
      <c r="K7" s="22"/>
      <c r="L7" s="22"/>
      <c r="M7" s="22"/>
      <c r="N7" s="20"/>
      <c r="O7" s="20"/>
      <c r="P7" s="20"/>
      <c r="Q7" s="20"/>
      <c r="R7" s="20"/>
      <c r="S7" s="20"/>
      <c r="T7" s="20"/>
      <c r="U7" s="20"/>
      <c r="V7" s="20"/>
      <c r="W7" s="20"/>
      <c r="X7" s="20"/>
      <c r="Y7" s="20"/>
      <c r="Z7" s="20"/>
    </row>
    <row r="8" spans="1:26" ht="13" thickTop="1" x14ac:dyDescent="0.25">
      <c r="A8" s="20"/>
      <c r="B8" s="192"/>
      <c r="C8" s="172"/>
      <c r="D8" s="172"/>
      <c r="E8" s="22"/>
      <c r="F8" s="22"/>
      <c r="G8" s="22"/>
      <c r="H8" s="22"/>
      <c r="I8" s="22"/>
      <c r="J8" s="22"/>
      <c r="K8" s="22"/>
      <c r="L8" s="22"/>
      <c r="M8" s="22"/>
      <c r="N8" s="20"/>
      <c r="O8" s="20"/>
      <c r="P8" s="20"/>
      <c r="Q8" s="20"/>
      <c r="R8" s="20"/>
      <c r="S8" s="20"/>
      <c r="T8" s="20"/>
      <c r="U8" s="20"/>
      <c r="V8" s="20"/>
      <c r="W8" s="20"/>
      <c r="X8" s="20"/>
      <c r="Y8" s="20"/>
      <c r="Z8" s="20"/>
    </row>
    <row r="9" spans="1:26" ht="18.5" thickBot="1" x14ac:dyDescent="0.35">
      <c r="A9" s="20"/>
      <c r="B9" s="167" t="s">
        <v>257</v>
      </c>
      <c r="C9" s="168"/>
      <c r="D9" s="168"/>
      <c r="E9" s="27"/>
      <c r="F9" s="20"/>
      <c r="G9" s="20"/>
      <c r="H9" s="20"/>
      <c r="I9" s="20"/>
      <c r="J9" s="20"/>
      <c r="K9" s="20"/>
      <c r="L9" s="20"/>
      <c r="M9" s="20"/>
      <c r="N9" s="20"/>
      <c r="O9" s="20"/>
      <c r="P9" s="20"/>
      <c r="Q9" s="20"/>
      <c r="R9" s="20"/>
      <c r="S9" s="20"/>
      <c r="T9" s="20"/>
      <c r="U9" s="20"/>
      <c r="V9" s="20"/>
      <c r="W9" s="20"/>
      <c r="X9" s="20"/>
      <c r="Y9" s="20"/>
      <c r="Z9" s="20"/>
    </row>
    <row r="10" spans="1:26" ht="97.5" customHeight="1" thickTop="1" thickBot="1" x14ac:dyDescent="0.3">
      <c r="A10" s="20"/>
      <c r="B10" s="183" t="s">
        <v>302</v>
      </c>
      <c r="C10" s="184"/>
      <c r="D10" s="185"/>
      <c r="E10" s="20"/>
      <c r="F10" s="20"/>
      <c r="G10" s="20"/>
      <c r="H10" s="20"/>
      <c r="I10" s="20"/>
      <c r="J10" s="20"/>
      <c r="K10" s="20"/>
      <c r="L10" s="20"/>
      <c r="M10" s="20"/>
      <c r="N10" s="20"/>
      <c r="O10" s="20"/>
      <c r="P10" s="20"/>
      <c r="Q10" s="20"/>
      <c r="R10" s="20"/>
      <c r="S10" s="20"/>
      <c r="T10" s="20"/>
      <c r="U10" s="20"/>
      <c r="V10" s="20"/>
      <c r="W10" s="20"/>
      <c r="X10" s="20"/>
      <c r="Y10" s="20"/>
      <c r="Z10" s="20"/>
    </row>
    <row r="11" spans="1:26" ht="13" thickTop="1" x14ac:dyDescent="0.25">
      <c r="A11" s="20"/>
      <c r="B11" s="21"/>
      <c r="C11" s="111"/>
      <c r="D11" s="111"/>
      <c r="E11" s="20"/>
      <c r="F11" s="20"/>
      <c r="G11" s="20"/>
      <c r="H11" s="20"/>
      <c r="I11" s="20"/>
      <c r="J11" s="20"/>
      <c r="K11" s="20"/>
      <c r="L11" s="20"/>
      <c r="M11" s="20"/>
      <c r="N11" s="20"/>
      <c r="O11" s="20"/>
      <c r="P11" s="20"/>
      <c r="Q11" s="20"/>
      <c r="R11" s="20"/>
      <c r="S11" s="20"/>
      <c r="T11" s="20"/>
      <c r="U11" s="20"/>
      <c r="V11" s="20"/>
      <c r="W11" s="20"/>
      <c r="X11" s="20"/>
      <c r="Y11" s="20"/>
      <c r="Z11" s="20"/>
    </row>
    <row r="12" spans="1:26" ht="18.5" thickBot="1" x14ac:dyDescent="0.3">
      <c r="A12" s="20"/>
      <c r="B12" s="176" t="s">
        <v>245</v>
      </c>
      <c r="C12" s="176"/>
      <c r="D12" s="176"/>
      <c r="E12" s="22"/>
      <c r="F12" s="22"/>
      <c r="G12" s="22"/>
      <c r="H12" s="22"/>
      <c r="I12" s="22"/>
      <c r="J12" s="22"/>
      <c r="K12" s="22"/>
      <c r="L12" s="22"/>
      <c r="M12" s="22"/>
      <c r="N12" s="20"/>
      <c r="O12" s="20"/>
      <c r="P12" s="20"/>
      <c r="Q12" s="20"/>
      <c r="R12" s="20"/>
      <c r="S12" s="20"/>
      <c r="T12" s="20"/>
      <c r="U12" s="20"/>
      <c r="V12" s="20"/>
      <c r="W12" s="20"/>
      <c r="X12" s="20"/>
      <c r="Y12" s="20"/>
      <c r="Z12" s="20"/>
    </row>
    <row r="13" spans="1:26" ht="95.25" customHeight="1" thickTop="1" thickBot="1" x14ac:dyDescent="0.3">
      <c r="A13" s="20"/>
      <c r="B13" s="189" t="s">
        <v>290</v>
      </c>
      <c r="C13" s="190"/>
      <c r="D13" s="191"/>
      <c r="E13" s="22"/>
      <c r="F13" s="22"/>
      <c r="G13" s="22"/>
      <c r="H13" s="22"/>
      <c r="I13" s="22"/>
      <c r="J13" s="22"/>
      <c r="K13" s="22"/>
      <c r="L13" s="22"/>
      <c r="M13" s="22"/>
      <c r="N13" s="20"/>
      <c r="O13" s="20"/>
      <c r="P13" s="20"/>
      <c r="Q13" s="20"/>
      <c r="R13" s="20"/>
      <c r="S13" s="20"/>
      <c r="T13" s="20"/>
      <c r="U13" s="20"/>
      <c r="V13" s="20"/>
      <c r="W13" s="20"/>
      <c r="X13" s="20"/>
      <c r="Y13" s="20"/>
      <c r="Z13" s="20"/>
    </row>
    <row r="14" spans="1:26" ht="13" thickTop="1" x14ac:dyDescent="0.25">
      <c r="A14" s="20"/>
      <c r="B14" s="182"/>
      <c r="C14" s="182"/>
      <c r="D14" s="182"/>
      <c r="E14" s="22"/>
      <c r="F14" s="22"/>
      <c r="G14" s="22"/>
      <c r="H14" s="22"/>
      <c r="I14" s="22"/>
      <c r="J14" s="22"/>
      <c r="K14" s="22"/>
      <c r="L14" s="22"/>
      <c r="M14" s="22"/>
      <c r="N14" s="20"/>
      <c r="O14" s="20"/>
      <c r="P14" s="20"/>
      <c r="Q14" s="20"/>
      <c r="R14" s="20"/>
      <c r="S14" s="20"/>
      <c r="T14" s="20"/>
      <c r="U14" s="20"/>
      <c r="V14" s="20"/>
      <c r="W14" s="20"/>
      <c r="X14" s="20"/>
      <c r="Y14" s="20"/>
      <c r="Z14" s="20"/>
    </row>
    <row r="15" spans="1:26" ht="18.5" thickBot="1" x14ac:dyDescent="0.3">
      <c r="A15" s="20"/>
      <c r="B15" s="181" t="s">
        <v>258</v>
      </c>
      <c r="C15" s="181"/>
      <c r="D15" s="181"/>
      <c r="E15" s="22"/>
      <c r="F15" s="22"/>
      <c r="G15" s="22"/>
      <c r="H15" s="22"/>
      <c r="I15" s="22"/>
      <c r="J15" s="22"/>
      <c r="K15" s="22"/>
      <c r="L15" s="22"/>
      <c r="M15" s="22"/>
      <c r="N15" s="20"/>
      <c r="O15" s="20"/>
      <c r="P15" s="20"/>
      <c r="Q15" s="20"/>
      <c r="R15" s="20"/>
      <c r="S15" s="20"/>
      <c r="T15" s="20"/>
      <c r="U15" s="20"/>
      <c r="V15" s="20"/>
      <c r="W15" s="20"/>
      <c r="X15" s="20"/>
      <c r="Y15" s="20"/>
      <c r="Z15" s="20"/>
    </row>
    <row r="16" spans="1:26" ht="71.25" customHeight="1" thickTop="1" thickBot="1" x14ac:dyDescent="0.3">
      <c r="A16" s="20"/>
      <c r="B16" s="189" t="s">
        <v>291</v>
      </c>
      <c r="C16" s="193"/>
      <c r="D16" s="194"/>
      <c r="E16" s="22"/>
      <c r="F16" s="22"/>
      <c r="G16" s="22"/>
      <c r="H16" s="22"/>
      <c r="I16" s="22"/>
      <c r="J16" s="22"/>
      <c r="K16" s="22"/>
      <c r="L16" s="22"/>
      <c r="M16" s="22"/>
      <c r="N16" s="20"/>
      <c r="O16" s="20"/>
      <c r="P16" s="20"/>
      <c r="Q16" s="20"/>
      <c r="R16" s="20"/>
      <c r="S16" s="20"/>
      <c r="T16" s="20"/>
      <c r="U16" s="20"/>
      <c r="V16" s="20"/>
      <c r="W16" s="20"/>
      <c r="X16" s="20"/>
      <c r="Y16" s="20"/>
      <c r="Z16" s="20"/>
    </row>
    <row r="17" spans="1:26" ht="13" thickTop="1" x14ac:dyDescent="0.25">
      <c r="A17" s="20"/>
      <c r="B17" s="110"/>
      <c r="C17" s="110"/>
      <c r="D17" s="110"/>
      <c r="E17" s="22"/>
      <c r="F17" s="22"/>
      <c r="G17" s="22"/>
      <c r="H17" s="22"/>
      <c r="I17" s="22"/>
      <c r="J17" s="22"/>
      <c r="K17" s="22"/>
      <c r="L17" s="22"/>
      <c r="M17" s="22"/>
      <c r="N17" s="20"/>
      <c r="O17" s="20"/>
      <c r="P17" s="20"/>
      <c r="Q17" s="20"/>
      <c r="R17" s="20"/>
      <c r="S17" s="20"/>
      <c r="T17" s="20"/>
      <c r="U17" s="20"/>
      <c r="V17" s="20"/>
      <c r="W17" s="20"/>
      <c r="X17" s="20"/>
      <c r="Y17" s="20"/>
      <c r="Z17" s="20"/>
    </row>
    <row r="18" spans="1:26" ht="18.5" thickBot="1" x14ac:dyDescent="0.3">
      <c r="A18" s="20"/>
      <c r="B18" s="167" t="s">
        <v>241</v>
      </c>
      <c r="C18" s="168"/>
      <c r="D18" s="168"/>
      <c r="E18" s="22"/>
      <c r="F18" s="22"/>
      <c r="G18" s="22"/>
      <c r="H18" s="22"/>
      <c r="I18" s="22"/>
      <c r="J18" s="22"/>
      <c r="K18" s="22"/>
      <c r="L18" s="22"/>
      <c r="M18" s="22"/>
      <c r="N18" s="20"/>
      <c r="O18" s="20"/>
      <c r="P18" s="20"/>
      <c r="Q18" s="20"/>
      <c r="R18" s="20"/>
      <c r="S18" s="20"/>
      <c r="T18" s="20"/>
      <c r="U18" s="20"/>
      <c r="V18" s="20"/>
      <c r="W18" s="20"/>
      <c r="X18" s="20"/>
      <c r="Y18" s="20"/>
      <c r="Z18" s="20"/>
    </row>
    <row r="19" spans="1:26" ht="72.75" customHeight="1" thickTop="1" thickBot="1" x14ac:dyDescent="0.3">
      <c r="A19" s="20"/>
      <c r="B19" s="189" t="s">
        <v>292</v>
      </c>
      <c r="C19" s="190"/>
      <c r="D19" s="191"/>
      <c r="E19" s="22"/>
      <c r="F19" s="22"/>
      <c r="G19" s="22"/>
      <c r="H19" s="22"/>
      <c r="I19" s="22"/>
      <c r="J19" s="22"/>
      <c r="K19" s="22"/>
      <c r="L19" s="22"/>
      <c r="M19" s="22"/>
      <c r="N19" s="20"/>
      <c r="O19" s="20"/>
      <c r="P19" s="20"/>
      <c r="Q19" s="20"/>
      <c r="R19" s="20"/>
      <c r="S19" s="20"/>
      <c r="T19" s="20"/>
      <c r="U19" s="20"/>
      <c r="V19" s="20"/>
      <c r="W19" s="20"/>
      <c r="X19" s="20"/>
      <c r="Y19" s="20"/>
      <c r="Z19" s="20"/>
    </row>
    <row r="20" spans="1:26" ht="13" thickTop="1" x14ac:dyDescent="0.25">
      <c r="A20" s="20"/>
      <c r="B20" s="172"/>
      <c r="C20" s="172"/>
      <c r="D20" s="172"/>
      <c r="E20" s="22"/>
      <c r="F20" s="22"/>
      <c r="G20" s="22"/>
      <c r="H20" s="22"/>
      <c r="I20" s="22"/>
      <c r="J20" s="22"/>
      <c r="K20" s="22"/>
      <c r="L20" s="22"/>
      <c r="M20" s="22"/>
      <c r="N20" s="20"/>
      <c r="O20" s="20"/>
      <c r="P20" s="20"/>
      <c r="Q20" s="20"/>
      <c r="R20" s="20"/>
      <c r="S20" s="20"/>
      <c r="T20" s="20"/>
      <c r="U20" s="20"/>
      <c r="V20" s="20"/>
      <c r="W20" s="20"/>
      <c r="X20" s="20"/>
      <c r="Y20" s="20"/>
      <c r="Z20" s="20"/>
    </row>
    <row r="21" spans="1:26" ht="18.5" thickBot="1" x14ac:dyDescent="0.3">
      <c r="A21" s="20"/>
      <c r="B21" s="167" t="s">
        <v>242</v>
      </c>
      <c r="C21" s="167"/>
      <c r="D21" s="167"/>
      <c r="E21" s="22"/>
      <c r="F21" s="22"/>
      <c r="G21" s="22"/>
      <c r="H21" s="22"/>
      <c r="I21" s="22"/>
      <c r="J21" s="22"/>
      <c r="K21" s="22"/>
      <c r="L21" s="22"/>
      <c r="M21" s="22"/>
      <c r="N21" s="20"/>
      <c r="O21" s="20"/>
      <c r="P21" s="20"/>
      <c r="Q21" s="20"/>
      <c r="R21" s="20"/>
      <c r="S21" s="20"/>
      <c r="T21" s="20"/>
      <c r="U21" s="20"/>
      <c r="V21" s="20"/>
      <c r="W21" s="20"/>
      <c r="X21" s="20"/>
      <c r="Y21" s="20"/>
      <c r="Z21" s="20"/>
    </row>
    <row r="22" spans="1:26" ht="55.5" customHeight="1" thickTop="1" x14ac:dyDescent="0.25">
      <c r="A22" s="20"/>
      <c r="B22" s="186" t="s">
        <v>303</v>
      </c>
      <c r="C22" s="174"/>
      <c r="D22" s="175"/>
      <c r="E22" s="22"/>
      <c r="F22" s="22"/>
      <c r="G22" s="22"/>
      <c r="H22" s="22"/>
      <c r="I22" s="22"/>
      <c r="J22" s="22"/>
      <c r="K22" s="22"/>
      <c r="L22" s="22"/>
      <c r="M22" s="22"/>
      <c r="N22" s="20"/>
      <c r="O22" s="20"/>
      <c r="P22" s="20"/>
      <c r="Q22" s="20"/>
      <c r="R22" s="20"/>
      <c r="S22" s="20"/>
      <c r="T22" s="20"/>
      <c r="U22" s="20"/>
      <c r="V22" s="20"/>
      <c r="W22" s="20"/>
      <c r="X22" s="20"/>
      <c r="Y22" s="20"/>
      <c r="Z22" s="20"/>
    </row>
    <row r="23" spans="1:26" ht="39" customHeight="1" x14ac:dyDescent="0.25">
      <c r="A23" s="20"/>
      <c r="B23" s="8" t="s">
        <v>248</v>
      </c>
      <c r="C23" s="177" t="s">
        <v>256</v>
      </c>
      <c r="D23" s="178"/>
      <c r="E23" s="22"/>
      <c r="F23" s="22"/>
      <c r="G23" s="22"/>
      <c r="H23" s="22"/>
      <c r="I23" s="22"/>
      <c r="J23" s="22"/>
      <c r="K23" s="22"/>
      <c r="L23" s="22"/>
      <c r="M23" s="22"/>
      <c r="N23" s="20"/>
      <c r="O23" s="20"/>
      <c r="P23" s="20"/>
      <c r="Q23" s="20"/>
      <c r="R23" s="20"/>
      <c r="S23" s="20"/>
      <c r="T23" s="20"/>
      <c r="U23" s="20"/>
      <c r="V23" s="20"/>
      <c r="W23" s="20"/>
      <c r="X23" s="20"/>
      <c r="Y23" s="20"/>
      <c r="Z23" s="20"/>
    </row>
    <row r="24" spans="1:26" s="5" customFormat="1" x14ac:dyDescent="0.25">
      <c r="A24" s="21"/>
      <c r="B24" s="8"/>
      <c r="C24" s="7" t="s">
        <v>243</v>
      </c>
      <c r="D24" s="9" t="s">
        <v>251</v>
      </c>
      <c r="E24" s="22"/>
      <c r="F24" s="22"/>
      <c r="G24" s="22"/>
      <c r="H24" s="22"/>
      <c r="I24" s="22"/>
      <c r="J24" s="22"/>
      <c r="K24" s="22"/>
      <c r="L24" s="22"/>
      <c r="M24" s="22"/>
      <c r="N24" s="21"/>
      <c r="O24" s="21"/>
      <c r="P24" s="21"/>
      <c r="Q24" s="21"/>
      <c r="R24" s="21"/>
      <c r="S24" s="21"/>
      <c r="T24" s="21"/>
      <c r="U24" s="21"/>
      <c r="V24" s="21"/>
      <c r="W24" s="21"/>
      <c r="X24" s="21"/>
      <c r="Y24" s="21"/>
      <c r="Z24" s="21"/>
    </row>
    <row r="25" spans="1:26" s="5" customFormat="1" x14ac:dyDescent="0.25">
      <c r="A25" s="21"/>
      <c r="B25" s="8"/>
      <c r="C25" s="7" t="s">
        <v>244</v>
      </c>
      <c r="D25" s="9" t="s">
        <v>253</v>
      </c>
      <c r="E25" s="22"/>
      <c r="F25" s="22"/>
      <c r="G25" s="22"/>
      <c r="H25" s="22"/>
      <c r="I25" s="22"/>
      <c r="J25" s="22"/>
      <c r="K25" s="22"/>
      <c r="L25" s="22"/>
      <c r="M25" s="22"/>
      <c r="N25" s="21"/>
      <c r="O25" s="21"/>
      <c r="P25" s="21"/>
      <c r="Q25" s="21"/>
      <c r="R25" s="21"/>
      <c r="S25" s="21"/>
      <c r="T25" s="21"/>
      <c r="U25" s="21"/>
      <c r="V25" s="21"/>
      <c r="W25" s="21"/>
      <c r="X25" s="21"/>
      <c r="Y25" s="21"/>
      <c r="Z25" s="21"/>
    </row>
    <row r="26" spans="1:26" s="5" customFormat="1" ht="18" customHeight="1" x14ac:dyDescent="0.25">
      <c r="A26" s="21"/>
      <c r="B26" s="8"/>
      <c r="C26" s="7" t="s">
        <v>250</v>
      </c>
      <c r="D26" s="9" t="s">
        <v>252</v>
      </c>
      <c r="E26" s="22"/>
      <c r="F26" s="22"/>
      <c r="G26" s="22"/>
      <c r="H26" s="22"/>
      <c r="I26" s="22"/>
      <c r="J26" s="22"/>
      <c r="K26" s="22"/>
      <c r="L26" s="22"/>
      <c r="M26" s="22"/>
      <c r="N26" s="21"/>
      <c r="O26" s="21"/>
      <c r="P26" s="21"/>
      <c r="Q26" s="21"/>
      <c r="R26" s="21"/>
      <c r="S26" s="21"/>
      <c r="T26" s="21"/>
      <c r="U26" s="21"/>
      <c r="V26" s="21"/>
      <c r="W26" s="21"/>
      <c r="X26" s="21"/>
      <c r="Y26" s="21"/>
      <c r="Z26" s="21"/>
    </row>
    <row r="27" spans="1:26" ht="29.25" customHeight="1" x14ac:dyDescent="0.25">
      <c r="A27" s="20"/>
      <c r="B27" s="8" t="s">
        <v>249</v>
      </c>
      <c r="C27" s="177" t="s">
        <v>255</v>
      </c>
      <c r="D27" s="178"/>
      <c r="E27" s="22"/>
      <c r="F27" s="22"/>
      <c r="G27" s="22"/>
      <c r="H27" s="22"/>
      <c r="I27" s="22"/>
      <c r="J27" s="22"/>
      <c r="K27" s="22"/>
      <c r="L27" s="22"/>
      <c r="M27" s="22"/>
      <c r="N27" s="20"/>
      <c r="O27" s="20"/>
      <c r="P27" s="20"/>
      <c r="Q27" s="20"/>
      <c r="R27" s="20"/>
      <c r="S27" s="20"/>
      <c r="T27" s="20"/>
      <c r="U27" s="20"/>
      <c r="V27" s="20"/>
      <c r="W27" s="20"/>
      <c r="X27" s="20"/>
      <c r="Y27" s="20"/>
      <c r="Z27" s="20"/>
    </row>
    <row r="28" spans="1:26" s="5" customFormat="1" x14ac:dyDescent="0.25">
      <c r="A28" s="21"/>
      <c r="B28" s="10"/>
      <c r="C28" s="7" t="s">
        <v>243</v>
      </c>
      <c r="D28" s="11" t="s">
        <v>267</v>
      </c>
      <c r="E28" s="22"/>
      <c r="F28" s="22"/>
      <c r="G28" s="22"/>
      <c r="H28" s="22"/>
      <c r="I28" s="22"/>
      <c r="J28" s="22"/>
      <c r="K28" s="22"/>
      <c r="L28" s="22"/>
      <c r="M28" s="22"/>
      <c r="N28" s="21"/>
      <c r="O28" s="21"/>
      <c r="P28" s="21"/>
      <c r="Q28" s="21"/>
      <c r="R28" s="21"/>
      <c r="S28" s="21"/>
      <c r="T28" s="21"/>
      <c r="U28" s="21"/>
      <c r="V28" s="21"/>
      <c r="W28" s="21"/>
      <c r="X28" s="21"/>
      <c r="Y28" s="21"/>
      <c r="Z28" s="21"/>
    </row>
    <row r="29" spans="1:26" s="5" customFormat="1" x14ac:dyDescent="0.25">
      <c r="A29" s="21"/>
      <c r="B29" s="12"/>
      <c r="C29" s="7" t="s">
        <v>244</v>
      </c>
      <c r="D29" s="11" t="s">
        <v>268</v>
      </c>
      <c r="E29" s="22"/>
      <c r="F29" s="22"/>
      <c r="G29" s="22"/>
      <c r="H29" s="22"/>
      <c r="I29" s="22"/>
      <c r="J29" s="22"/>
      <c r="K29" s="22"/>
      <c r="L29" s="22"/>
      <c r="M29" s="22"/>
      <c r="N29" s="21"/>
      <c r="O29" s="21"/>
      <c r="P29" s="21"/>
      <c r="Q29" s="21"/>
      <c r="R29" s="21"/>
      <c r="S29" s="21"/>
      <c r="T29" s="21"/>
      <c r="U29" s="21"/>
      <c r="V29" s="21"/>
      <c r="W29" s="21"/>
      <c r="X29" s="21"/>
      <c r="Y29" s="21"/>
      <c r="Z29" s="21"/>
    </row>
    <row r="30" spans="1:26" s="5" customFormat="1" x14ac:dyDescent="0.25">
      <c r="A30" s="21"/>
      <c r="B30" s="12"/>
      <c r="C30" s="7" t="s">
        <v>250</v>
      </c>
      <c r="D30" s="11" t="s">
        <v>254</v>
      </c>
      <c r="E30" s="22"/>
      <c r="F30" s="22"/>
      <c r="G30" s="22"/>
      <c r="H30" s="22"/>
      <c r="I30" s="22"/>
      <c r="J30" s="22"/>
      <c r="K30" s="22"/>
      <c r="L30" s="22"/>
      <c r="M30" s="22"/>
      <c r="N30" s="21"/>
      <c r="O30" s="21"/>
      <c r="P30" s="21"/>
      <c r="Q30" s="21"/>
      <c r="R30" s="21"/>
      <c r="S30" s="21"/>
      <c r="T30" s="21"/>
      <c r="U30" s="21"/>
      <c r="V30" s="21"/>
      <c r="W30" s="21"/>
      <c r="X30" s="21"/>
      <c r="Y30" s="21"/>
      <c r="Z30" s="21"/>
    </row>
    <row r="31" spans="1:26" s="5" customFormat="1" ht="48" customHeight="1" thickBot="1" x14ac:dyDescent="0.3">
      <c r="A31" s="21"/>
      <c r="B31" s="195" t="s">
        <v>288</v>
      </c>
      <c r="C31" s="196"/>
      <c r="D31" s="197"/>
      <c r="E31" s="22"/>
      <c r="F31" s="22"/>
      <c r="G31" s="22"/>
      <c r="H31" s="22"/>
      <c r="I31" s="22"/>
      <c r="J31" s="22"/>
      <c r="K31" s="22"/>
      <c r="L31" s="22"/>
      <c r="M31" s="22"/>
      <c r="N31" s="21"/>
      <c r="O31" s="21"/>
      <c r="P31" s="21"/>
      <c r="Q31" s="21"/>
      <c r="R31" s="21"/>
      <c r="S31" s="21"/>
      <c r="T31" s="21"/>
      <c r="U31" s="21"/>
      <c r="V31" s="21"/>
      <c r="W31" s="21"/>
      <c r="X31" s="21"/>
      <c r="Y31" s="21"/>
      <c r="Z31" s="21"/>
    </row>
    <row r="32" spans="1:26" ht="13" thickTop="1" x14ac:dyDescent="0.25">
      <c r="A32" s="20"/>
      <c r="B32" s="172"/>
      <c r="C32" s="172"/>
      <c r="D32" s="172"/>
      <c r="E32" s="20"/>
      <c r="F32" s="22"/>
      <c r="G32" s="22"/>
      <c r="H32" s="22"/>
      <c r="I32" s="22"/>
      <c r="J32" s="22"/>
      <c r="K32" s="22"/>
      <c r="L32" s="22"/>
      <c r="M32" s="22"/>
      <c r="N32" s="20"/>
      <c r="O32" s="20"/>
      <c r="P32" s="20"/>
      <c r="Q32" s="20"/>
      <c r="R32" s="20"/>
      <c r="S32" s="20"/>
      <c r="T32" s="20"/>
      <c r="U32" s="20"/>
      <c r="V32" s="20"/>
      <c r="W32" s="20"/>
      <c r="X32" s="20"/>
      <c r="Y32" s="20"/>
      <c r="Z32" s="20"/>
    </row>
    <row r="33" spans="1:26" ht="18.5" thickBot="1" x14ac:dyDescent="0.3">
      <c r="A33" s="20"/>
      <c r="B33" s="176" t="s">
        <v>246</v>
      </c>
      <c r="C33" s="176"/>
      <c r="D33" s="176"/>
      <c r="E33" s="20"/>
      <c r="F33" s="22"/>
      <c r="G33" s="22"/>
      <c r="H33" s="22"/>
      <c r="I33" s="22"/>
      <c r="J33" s="22"/>
      <c r="K33" s="22"/>
      <c r="L33" s="22"/>
      <c r="M33" s="22"/>
      <c r="N33" s="20"/>
      <c r="O33" s="20"/>
      <c r="P33" s="20"/>
      <c r="Q33" s="20"/>
      <c r="R33" s="20"/>
      <c r="S33" s="20"/>
      <c r="T33" s="20"/>
      <c r="U33" s="20"/>
      <c r="V33" s="20"/>
      <c r="W33" s="20"/>
      <c r="X33" s="20"/>
      <c r="Y33" s="20"/>
      <c r="Z33" s="20"/>
    </row>
    <row r="34" spans="1:26" ht="30" customHeight="1" thickTop="1" x14ac:dyDescent="0.25">
      <c r="A34" s="20"/>
      <c r="B34" s="173" t="s">
        <v>247</v>
      </c>
      <c r="C34" s="174"/>
      <c r="D34" s="175"/>
      <c r="E34" s="20"/>
      <c r="F34" s="22"/>
      <c r="G34" s="22"/>
      <c r="H34" s="22"/>
      <c r="I34" s="22"/>
      <c r="J34" s="22"/>
      <c r="K34" s="22"/>
      <c r="L34" s="22"/>
      <c r="M34" s="22"/>
      <c r="N34" s="20"/>
      <c r="O34" s="20"/>
      <c r="P34" s="20"/>
      <c r="Q34" s="20"/>
      <c r="R34" s="20"/>
      <c r="S34" s="20"/>
      <c r="T34" s="20"/>
      <c r="U34" s="20"/>
      <c r="V34" s="20"/>
      <c r="W34" s="20"/>
      <c r="X34" s="20"/>
      <c r="Y34" s="20"/>
      <c r="Z34" s="20"/>
    </row>
    <row r="35" spans="1:26" ht="39.75" customHeight="1" x14ac:dyDescent="0.25">
      <c r="A35" s="20"/>
      <c r="B35" s="8" t="s">
        <v>248</v>
      </c>
      <c r="C35" s="177" t="s">
        <v>304</v>
      </c>
      <c r="D35" s="178"/>
      <c r="E35" s="28"/>
      <c r="F35" s="22"/>
      <c r="G35" s="22"/>
      <c r="H35" s="22"/>
      <c r="I35" s="22"/>
      <c r="J35" s="22"/>
      <c r="K35" s="22"/>
      <c r="L35" s="22"/>
      <c r="M35" s="22"/>
      <c r="N35" s="20"/>
      <c r="O35" s="20"/>
      <c r="P35" s="20"/>
      <c r="Q35" s="20"/>
      <c r="R35" s="20"/>
      <c r="S35" s="20"/>
      <c r="T35" s="20"/>
      <c r="U35" s="20"/>
      <c r="V35" s="20"/>
      <c r="W35" s="20"/>
      <c r="X35" s="20"/>
      <c r="Y35" s="20"/>
      <c r="Z35" s="20"/>
    </row>
    <row r="36" spans="1:26" ht="36" customHeight="1" thickBot="1" x14ac:dyDescent="0.55000000000000004">
      <c r="A36" s="20"/>
      <c r="B36" s="13" t="s">
        <v>249</v>
      </c>
      <c r="C36" s="179" t="s">
        <v>305</v>
      </c>
      <c r="D36" s="180"/>
      <c r="E36" s="29"/>
      <c r="F36" s="22"/>
      <c r="G36" s="22"/>
      <c r="H36" s="22"/>
      <c r="I36" s="22"/>
      <c r="J36" s="22"/>
      <c r="K36" s="22"/>
      <c r="L36" s="22"/>
      <c r="M36" s="22"/>
      <c r="N36" s="20"/>
      <c r="O36" s="20"/>
      <c r="P36" s="20"/>
      <c r="Q36" s="20"/>
      <c r="R36" s="20"/>
      <c r="S36" s="20"/>
      <c r="T36" s="20"/>
      <c r="U36" s="20"/>
      <c r="V36" s="20"/>
      <c r="W36" s="20"/>
      <c r="X36" s="20"/>
      <c r="Y36" s="20"/>
      <c r="Z36" s="20"/>
    </row>
    <row r="37" spans="1:26" ht="13.5" thickTop="1" x14ac:dyDescent="0.3">
      <c r="A37" s="20"/>
      <c r="B37" s="172"/>
      <c r="C37" s="172"/>
      <c r="D37" s="172"/>
      <c r="E37" s="24"/>
      <c r="F37" s="22"/>
      <c r="G37" s="22"/>
      <c r="H37" s="22"/>
      <c r="I37" s="22"/>
      <c r="J37" s="22"/>
      <c r="K37" s="22"/>
      <c r="L37" s="22"/>
      <c r="M37" s="22"/>
      <c r="N37" s="20"/>
      <c r="O37" s="20"/>
      <c r="P37" s="20"/>
      <c r="Q37" s="20"/>
      <c r="R37" s="20"/>
      <c r="S37" s="20"/>
      <c r="T37" s="20"/>
      <c r="U37" s="20"/>
      <c r="V37" s="20"/>
      <c r="W37" s="20"/>
      <c r="X37" s="20"/>
      <c r="Y37" s="20"/>
      <c r="Z37" s="20"/>
    </row>
    <row r="38" spans="1:26" ht="18.5" thickBot="1" x14ac:dyDescent="0.3">
      <c r="A38" s="20"/>
      <c r="B38" s="167" t="s">
        <v>270</v>
      </c>
      <c r="C38" s="168"/>
      <c r="D38" s="168"/>
      <c r="E38" s="25"/>
      <c r="F38" s="84"/>
      <c r="G38" s="84"/>
      <c r="H38" s="20"/>
      <c r="I38" s="20"/>
      <c r="J38" s="20"/>
      <c r="K38" s="20"/>
      <c r="L38" s="20"/>
      <c r="M38" s="20"/>
      <c r="N38" s="20"/>
      <c r="O38" s="20"/>
      <c r="P38" s="20"/>
      <c r="Q38" s="20"/>
      <c r="R38" s="20"/>
      <c r="S38" s="20"/>
      <c r="T38" s="20"/>
      <c r="U38" s="20"/>
      <c r="V38" s="20"/>
      <c r="W38" s="20"/>
      <c r="X38" s="20"/>
      <c r="Y38" s="20"/>
      <c r="Z38" s="20"/>
    </row>
    <row r="39" spans="1:26" ht="16.5" customHeight="1" thickTop="1" x14ac:dyDescent="0.25">
      <c r="A39" s="20"/>
      <c r="B39" s="186" t="s">
        <v>109</v>
      </c>
      <c r="C39" s="174"/>
      <c r="D39" s="175"/>
      <c r="E39" s="25"/>
      <c r="F39" s="21"/>
      <c r="G39" s="21"/>
      <c r="H39" s="21"/>
      <c r="I39" s="21"/>
      <c r="J39" s="21"/>
      <c r="K39" s="21"/>
      <c r="L39" s="21"/>
      <c r="M39" s="21"/>
      <c r="N39" s="102"/>
      <c r="O39" s="20"/>
      <c r="P39" s="20"/>
      <c r="Q39" s="20"/>
      <c r="R39" s="20"/>
      <c r="S39" s="20"/>
      <c r="T39" s="20"/>
      <c r="U39" s="20"/>
      <c r="V39" s="26"/>
      <c r="W39" s="26"/>
      <c r="X39" s="20"/>
      <c r="Y39" s="20"/>
      <c r="Z39" s="20"/>
    </row>
    <row r="40" spans="1:26" ht="27.75" customHeight="1" x14ac:dyDescent="0.25">
      <c r="A40" s="20"/>
      <c r="B40" s="15">
        <v>1</v>
      </c>
      <c r="C40" s="177" t="s">
        <v>261</v>
      </c>
      <c r="D40" s="178"/>
      <c r="E40" s="25"/>
      <c r="F40" s="21"/>
      <c r="G40" s="21"/>
      <c r="H40" s="21"/>
      <c r="I40" s="21"/>
      <c r="J40" s="21"/>
      <c r="K40" s="21"/>
      <c r="L40" s="21"/>
      <c r="M40" s="21"/>
      <c r="N40" s="20"/>
      <c r="O40" s="20"/>
      <c r="P40" s="20"/>
      <c r="Q40" s="20"/>
      <c r="R40" s="20"/>
      <c r="S40" s="20"/>
      <c r="T40" s="20"/>
      <c r="U40" s="20"/>
      <c r="V40" s="20"/>
      <c r="W40" s="20"/>
      <c r="X40" s="20"/>
      <c r="Y40" s="20"/>
      <c r="Z40" s="20"/>
    </row>
    <row r="41" spans="1:26" ht="40.5" customHeight="1" x14ac:dyDescent="0.25">
      <c r="A41" s="20"/>
      <c r="B41" s="15">
        <v>2</v>
      </c>
      <c r="C41" s="177" t="s">
        <v>110</v>
      </c>
      <c r="D41" s="178"/>
      <c r="E41" s="28"/>
      <c r="F41" s="21"/>
      <c r="G41" s="21"/>
      <c r="H41" s="21"/>
      <c r="I41" s="21"/>
      <c r="J41" s="21"/>
      <c r="K41" s="21"/>
      <c r="L41" s="21"/>
      <c r="M41" s="21"/>
      <c r="N41" s="20"/>
      <c r="O41" s="20"/>
      <c r="P41" s="20"/>
      <c r="Q41" s="20"/>
      <c r="R41" s="20"/>
      <c r="S41" s="20"/>
      <c r="T41" s="20"/>
      <c r="U41" s="20"/>
      <c r="V41" s="20"/>
      <c r="W41" s="20"/>
      <c r="X41" s="20"/>
      <c r="Y41" s="20"/>
      <c r="Z41" s="20"/>
    </row>
    <row r="42" spans="1:26" ht="27.75" customHeight="1" x14ac:dyDescent="0.25">
      <c r="A42" s="20"/>
      <c r="B42" s="15">
        <v>3</v>
      </c>
      <c r="C42" s="177" t="s">
        <v>111</v>
      </c>
      <c r="D42" s="178"/>
      <c r="E42" s="25"/>
      <c r="F42" s="21"/>
      <c r="G42" s="21"/>
      <c r="H42" s="21"/>
      <c r="I42" s="21"/>
      <c r="J42" s="21"/>
      <c r="K42" s="21"/>
      <c r="L42" s="21"/>
      <c r="M42" s="21"/>
      <c r="N42" s="20"/>
      <c r="O42" s="20"/>
      <c r="P42" s="20"/>
      <c r="Q42" s="20"/>
      <c r="R42" s="20"/>
      <c r="S42" s="20"/>
      <c r="T42" s="20"/>
      <c r="U42" s="20"/>
      <c r="V42" s="20"/>
      <c r="W42" s="20"/>
      <c r="X42" s="20"/>
      <c r="Y42" s="20"/>
      <c r="Z42" s="20"/>
    </row>
    <row r="43" spans="1:26" ht="39.75" customHeight="1" x14ac:dyDescent="0.25">
      <c r="A43" s="20"/>
      <c r="B43" s="16"/>
      <c r="C43" s="17" t="s">
        <v>243</v>
      </c>
      <c r="D43" s="9" t="s">
        <v>306</v>
      </c>
      <c r="E43" s="25"/>
      <c r="F43" s="21"/>
      <c r="G43" s="21"/>
      <c r="H43" s="21"/>
      <c r="I43" s="21"/>
      <c r="J43" s="21"/>
      <c r="K43" s="21"/>
      <c r="L43" s="21"/>
      <c r="M43" s="21"/>
      <c r="N43" s="20"/>
      <c r="O43" s="20"/>
      <c r="P43" s="20"/>
      <c r="Q43" s="20"/>
      <c r="R43" s="20"/>
      <c r="S43" s="20"/>
      <c r="T43" s="20"/>
      <c r="U43" s="20"/>
      <c r="V43" s="20"/>
      <c r="W43" s="20"/>
      <c r="X43" s="20"/>
      <c r="Y43" s="20"/>
      <c r="Z43" s="20"/>
    </row>
    <row r="44" spans="1:26" ht="47.25" customHeight="1" thickBot="1" x14ac:dyDescent="0.3">
      <c r="A44" s="20"/>
      <c r="B44" s="18"/>
      <c r="C44" s="19" t="s">
        <v>244</v>
      </c>
      <c r="D44" s="14" t="s">
        <v>307</v>
      </c>
      <c r="E44" s="25"/>
      <c r="F44" s="21"/>
      <c r="G44" s="21"/>
      <c r="H44" s="21"/>
      <c r="I44" s="21"/>
      <c r="J44" s="21"/>
      <c r="K44" s="21"/>
      <c r="L44" s="21"/>
      <c r="M44" s="21"/>
      <c r="N44" s="20"/>
      <c r="O44" s="20"/>
      <c r="P44" s="20"/>
      <c r="Q44" s="20"/>
      <c r="R44" s="20"/>
      <c r="S44" s="20"/>
      <c r="T44" s="20"/>
      <c r="U44" s="20"/>
      <c r="V44" s="20"/>
      <c r="W44" s="20"/>
      <c r="X44" s="20"/>
      <c r="Y44" s="20"/>
      <c r="Z44" s="20"/>
    </row>
    <row r="45" spans="1:26" ht="13" thickTop="1" x14ac:dyDescent="0.25">
      <c r="A45" s="20"/>
      <c r="B45" s="20"/>
      <c r="C45" s="20"/>
      <c r="D45" s="26"/>
      <c r="E45" s="20"/>
      <c r="F45" s="20"/>
      <c r="G45" s="20"/>
      <c r="H45" s="20"/>
      <c r="I45" s="20"/>
      <c r="J45" s="20"/>
      <c r="K45" s="20"/>
      <c r="L45" s="20"/>
      <c r="M45" s="20"/>
      <c r="N45" s="20"/>
      <c r="O45" s="20"/>
      <c r="P45" s="20"/>
      <c r="Q45" s="20"/>
      <c r="R45" s="20"/>
      <c r="S45" s="20"/>
      <c r="T45" s="20"/>
      <c r="U45" s="20"/>
      <c r="V45" s="20"/>
      <c r="W45" s="20"/>
      <c r="X45" s="20"/>
      <c r="Y45" s="20"/>
      <c r="Z45" s="20"/>
    </row>
    <row r="46" spans="1:26" ht="18.5" thickBot="1" x14ac:dyDescent="0.3">
      <c r="A46" s="20"/>
      <c r="B46" s="167" t="s">
        <v>314</v>
      </c>
      <c r="C46" s="168"/>
      <c r="D46" s="168"/>
      <c r="E46" s="20"/>
      <c r="F46" s="20"/>
      <c r="G46" s="20"/>
      <c r="H46" s="20"/>
      <c r="I46" s="20"/>
      <c r="J46" s="20"/>
      <c r="K46" s="20"/>
      <c r="L46" s="20"/>
      <c r="M46" s="20"/>
      <c r="N46" s="20"/>
      <c r="O46" s="20"/>
      <c r="P46" s="20"/>
      <c r="Q46" s="20"/>
      <c r="R46" s="20"/>
      <c r="S46" s="20"/>
      <c r="T46" s="20"/>
      <c r="U46" s="20"/>
      <c r="V46" s="20"/>
      <c r="W46" s="20"/>
      <c r="X46" s="20"/>
      <c r="Y46" s="20"/>
      <c r="Z46" s="20"/>
    </row>
    <row r="47" spans="1:26" ht="13.5" thickTop="1" x14ac:dyDescent="0.25">
      <c r="A47" s="20"/>
      <c r="B47" s="169" t="s">
        <v>315</v>
      </c>
      <c r="C47" s="170"/>
      <c r="D47" s="171"/>
      <c r="E47" s="20"/>
      <c r="F47" s="20"/>
      <c r="G47" s="20"/>
      <c r="H47" s="20"/>
      <c r="I47" s="20"/>
      <c r="J47" s="20"/>
      <c r="K47" s="20"/>
      <c r="L47" s="20"/>
      <c r="M47" s="20"/>
      <c r="N47" s="20"/>
      <c r="O47" s="20"/>
      <c r="P47" s="20"/>
      <c r="Q47" s="20"/>
      <c r="R47" s="20"/>
      <c r="S47" s="20"/>
      <c r="T47" s="20"/>
      <c r="U47" s="20"/>
      <c r="V47" s="20"/>
      <c r="W47" s="20"/>
      <c r="X47" s="20"/>
      <c r="Y47" s="20"/>
      <c r="Z47" s="20"/>
    </row>
    <row r="48" spans="1:26" x14ac:dyDescent="0.25">
      <c r="A48" s="20"/>
      <c r="B48" s="164" t="s">
        <v>316</v>
      </c>
      <c r="C48" s="165"/>
      <c r="D48" s="166"/>
      <c r="E48" s="20"/>
      <c r="F48" s="20"/>
      <c r="G48" s="20"/>
      <c r="H48" s="20"/>
      <c r="I48" s="20"/>
      <c r="J48" s="20"/>
      <c r="K48" s="20"/>
      <c r="L48" s="20"/>
      <c r="M48" s="20"/>
      <c r="N48" s="20"/>
      <c r="O48" s="20"/>
      <c r="P48" s="20"/>
      <c r="Q48" s="20"/>
      <c r="R48" s="20"/>
      <c r="S48" s="20"/>
      <c r="T48" s="20"/>
      <c r="U48" s="20"/>
      <c r="V48" s="20"/>
      <c r="W48" s="20"/>
      <c r="X48" s="20"/>
      <c r="Y48" s="20"/>
      <c r="Z48" s="20"/>
    </row>
    <row r="49" spans="1:26" x14ac:dyDescent="0.25">
      <c r="A49" s="20"/>
      <c r="B49" s="164" t="s">
        <v>317</v>
      </c>
      <c r="C49" s="165"/>
      <c r="D49" s="166"/>
      <c r="E49" s="20"/>
      <c r="F49" s="20"/>
      <c r="G49" s="20"/>
      <c r="H49" s="20"/>
      <c r="I49" s="20"/>
      <c r="J49" s="20"/>
      <c r="K49" s="20"/>
      <c r="L49" s="20"/>
      <c r="M49" s="20"/>
      <c r="N49" s="20"/>
      <c r="O49" s="20"/>
      <c r="P49" s="20"/>
      <c r="Q49" s="20"/>
      <c r="R49" s="20"/>
      <c r="S49" s="20"/>
      <c r="T49" s="20"/>
      <c r="U49" s="20"/>
      <c r="V49" s="20"/>
      <c r="W49" s="20"/>
      <c r="X49" s="20"/>
      <c r="Y49" s="20"/>
      <c r="Z49" s="20"/>
    </row>
    <row r="50" spans="1:26" x14ac:dyDescent="0.25">
      <c r="A50" s="20"/>
      <c r="B50" s="164"/>
      <c r="C50" s="165"/>
      <c r="D50" s="166"/>
      <c r="E50" s="20"/>
      <c r="F50" s="20"/>
      <c r="G50" s="20"/>
      <c r="H50" s="20"/>
      <c r="I50" s="20"/>
      <c r="J50" s="20"/>
      <c r="K50" s="20"/>
      <c r="L50" s="20"/>
      <c r="M50" s="20"/>
      <c r="N50" s="20"/>
      <c r="O50" s="20"/>
      <c r="P50" s="20"/>
      <c r="Q50" s="20"/>
      <c r="R50" s="20"/>
      <c r="S50" s="20"/>
      <c r="T50" s="20"/>
      <c r="U50" s="20"/>
      <c r="V50" s="20"/>
      <c r="W50" s="20"/>
      <c r="X50" s="20"/>
      <c r="Y50" s="20"/>
      <c r="Z50" s="20"/>
    </row>
    <row r="51" spans="1:26" ht="13" thickBot="1" x14ac:dyDescent="0.3">
      <c r="A51" s="20"/>
      <c r="B51" s="162"/>
      <c r="C51" s="19"/>
      <c r="D51" s="163"/>
      <c r="E51" s="20"/>
      <c r="F51" s="20"/>
      <c r="G51" s="20"/>
      <c r="H51" s="20"/>
      <c r="I51" s="20"/>
      <c r="J51" s="20"/>
      <c r="K51" s="20"/>
      <c r="L51" s="20"/>
      <c r="M51" s="20"/>
      <c r="N51" s="20"/>
      <c r="O51" s="20"/>
      <c r="P51" s="20"/>
      <c r="Q51" s="20"/>
      <c r="R51" s="20"/>
      <c r="S51" s="20"/>
      <c r="T51" s="20"/>
      <c r="U51" s="20"/>
      <c r="V51" s="20"/>
      <c r="W51" s="20"/>
      <c r="X51" s="20"/>
      <c r="Y51" s="20"/>
      <c r="Z51" s="20"/>
    </row>
    <row r="52" spans="1:26" ht="13" thickTop="1" x14ac:dyDescent="0.25">
      <c r="A52" s="20"/>
      <c r="B52" s="20"/>
      <c r="C52" s="20"/>
      <c r="D52" s="26"/>
      <c r="E52" s="20"/>
      <c r="F52" s="20"/>
      <c r="G52" s="20"/>
      <c r="H52" s="20"/>
      <c r="I52" s="20"/>
      <c r="J52" s="20"/>
      <c r="K52" s="20"/>
      <c r="L52" s="20"/>
      <c r="M52" s="20"/>
      <c r="N52" s="20"/>
      <c r="O52" s="20"/>
      <c r="P52" s="20"/>
      <c r="Q52" s="20"/>
      <c r="R52" s="20"/>
      <c r="S52" s="20"/>
      <c r="T52" s="20"/>
      <c r="U52" s="20"/>
      <c r="V52" s="20"/>
      <c r="W52" s="20"/>
      <c r="X52" s="20"/>
      <c r="Y52" s="20"/>
      <c r="Z52" s="20"/>
    </row>
    <row r="53" spans="1:26" x14ac:dyDescent="0.25">
      <c r="A53" s="20"/>
      <c r="B53" s="20"/>
      <c r="C53" s="20"/>
      <c r="D53" s="26"/>
      <c r="E53" s="20"/>
      <c r="F53" s="20"/>
      <c r="G53" s="20"/>
      <c r="H53" s="20"/>
      <c r="I53" s="20"/>
      <c r="J53" s="20"/>
      <c r="K53" s="20"/>
      <c r="L53" s="20"/>
      <c r="M53" s="20"/>
      <c r="N53" s="20"/>
      <c r="O53" s="20"/>
      <c r="P53" s="20"/>
      <c r="Q53" s="20"/>
      <c r="R53" s="20"/>
      <c r="S53" s="20"/>
      <c r="T53" s="20"/>
      <c r="U53" s="20"/>
      <c r="V53" s="20"/>
      <c r="W53" s="20"/>
      <c r="X53" s="20"/>
      <c r="Y53" s="20"/>
      <c r="Z53" s="20"/>
    </row>
    <row r="54" spans="1:26" x14ac:dyDescent="0.25">
      <c r="A54" s="20"/>
      <c r="B54" s="20"/>
      <c r="C54" s="20"/>
      <c r="D54" s="26"/>
      <c r="E54" s="20"/>
      <c r="F54" s="20"/>
      <c r="G54" s="20"/>
      <c r="H54" s="20"/>
      <c r="I54" s="20"/>
      <c r="J54" s="20"/>
      <c r="K54" s="20"/>
      <c r="L54" s="20"/>
      <c r="M54" s="20"/>
      <c r="N54" s="20"/>
      <c r="O54" s="20"/>
      <c r="P54" s="20"/>
      <c r="Q54" s="20"/>
      <c r="R54" s="20"/>
      <c r="S54" s="20"/>
      <c r="T54" s="20"/>
      <c r="U54" s="20"/>
      <c r="V54" s="20"/>
      <c r="W54" s="20"/>
      <c r="X54" s="20"/>
      <c r="Y54" s="20"/>
      <c r="Z54" s="20"/>
    </row>
    <row r="55" spans="1:26" x14ac:dyDescent="0.25">
      <c r="A55" s="20"/>
      <c r="B55" s="20"/>
      <c r="C55" s="20"/>
      <c r="D55" s="26"/>
      <c r="E55" s="20"/>
      <c r="F55" s="20"/>
      <c r="G55" s="20"/>
      <c r="H55" s="20"/>
      <c r="I55" s="20"/>
      <c r="J55" s="20"/>
      <c r="K55" s="20"/>
      <c r="L55" s="20"/>
      <c r="M55" s="20"/>
      <c r="N55" s="20"/>
      <c r="O55" s="20"/>
      <c r="P55" s="20"/>
      <c r="Q55" s="20"/>
      <c r="R55" s="20"/>
      <c r="S55" s="20"/>
      <c r="T55" s="20"/>
      <c r="U55" s="20"/>
      <c r="V55" s="20"/>
      <c r="W55" s="20"/>
      <c r="X55" s="20"/>
      <c r="Y55" s="20"/>
      <c r="Z55" s="20"/>
    </row>
    <row r="56" spans="1:26" x14ac:dyDescent="0.25">
      <c r="A56" s="20"/>
      <c r="B56" s="20"/>
      <c r="C56" s="20"/>
      <c r="D56" s="26"/>
      <c r="E56" s="20"/>
      <c r="F56" s="20"/>
      <c r="G56" s="20"/>
      <c r="H56" s="20"/>
      <c r="I56" s="20"/>
      <c r="J56" s="20"/>
      <c r="K56" s="20"/>
      <c r="L56" s="20"/>
      <c r="M56" s="20"/>
      <c r="N56" s="20"/>
      <c r="O56" s="20"/>
      <c r="P56" s="20"/>
      <c r="Q56" s="20"/>
      <c r="R56" s="20"/>
      <c r="S56" s="20"/>
      <c r="T56" s="20"/>
      <c r="U56" s="20"/>
      <c r="V56" s="20"/>
      <c r="W56" s="20"/>
      <c r="X56" s="20"/>
      <c r="Y56" s="20"/>
      <c r="Z56" s="20"/>
    </row>
    <row r="57" spans="1:26" x14ac:dyDescent="0.25">
      <c r="A57" s="20"/>
      <c r="B57" s="20"/>
      <c r="C57" s="20"/>
      <c r="D57" s="26"/>
      <c r="E57" s="20"/>
      <c r="F57" s="20"/>
      <c r="G57" s="20"/>
      <c r="H57" s="20"/>
      <c r="I57" s="20"/>
      <c r="J57" s="20"/>
      <c r="K57" s="20"/>
      <c r="L57" s="20"/>
      <c r="M57" s="20"/>
      <c r="N57" s="20"/>
      <c r="O57" s="20"/>
      <c r="P57" s="20"/>
      <c r="Q57" s="20"/>
      <c r="R57" s="20"/>
      <c r="S57" s="20"/>
      <c r="T57" s="20"/>
      <c r="U57" s="20"/>
      <c r="V57" s="20"/>
      <c r="W57" s="20"/>
      <c r="X57" s="20"/>
      <c r="Y57" s="20"/>
      <c r="Z57" s="20"/>
    </row>
    <row r="58" spans="1:26" x14ac:dyDescent="0.25">
      <c r="A58" s="20"/>
      <c r="B58" s="20"/>
      <c r="C58" s="20"/>
      <c r="D58" s="26"/>
      <c r="E58" s="20"/>
      <c r="F58" s="20"/>
      <c r="G58" s="20"/>
      <c r="H58" s="20"/>
      <c r="I58" s="20"/>
      <c r="J58" s="20"/>
      <c r="K58" s="20"/>
      <c r="L58" s="20"/>
      <c r="M58" s="20"/>
      <c r="N58" s="20"/>
      <c r="O58" s="20"/>
      <c r="P58" s="20"/>
      <c r="Q58" s="20"/>
      <c r="R58" s="20"/>
      <c r="S58" s="20"/>
      <c r="T58" s="20"/>
      <c r="U58" s="20"/>
      <c r="V58" s="20"/>
      <c r="W58" s="20"/>
      <c r="X58" s="20"/>
      <c r="Y58" s="20"/>
      <c r="Z58" s="20"/>
    </row>
    <row r="59" spans="1:26" x14ac:dyDescent="0.25">
      <c r="A59" s="20"/>
      <c r="B59" s="20"/>
      <c r="C59" s="20"/>
      <c r="D59" s="26"/>
      <c r="E59" s="20"/>
      <c r="F59" s="20"/>
      <c r="G59" s="20"/>
      <c r="H59" s="20"/>
      <c r="I59" s="20"/>
      <c r="J59" s="20"/>
      <c r="K59" s="20"/>
      <c r="L59" s="20"/>
      <c r="M59" s="20"/>
      <c r="N59" s="20"/>
      <c r="O59" s="20"/>
      <c r="P59" s="20"/>
      <c r="Q59" s="20"/>
      <c r="R59" s="20"/>
      <c r="S59" s="20"/>
      <c r="T59" s="20"/>
      <c r="U59" s="20"/>
      <c r="V59" s="20"/>
      <c r="W59" s="20"/>
      <c r="X59" s="20"/>
      <c r="Y59" s="20"/>
      <c r="Z59" s="20"/>
    </row>
    <row r="60" spans="1:26" x14ac:dyDescent="0.25">
      <c r="A60" s="20"/>
      <c r="B60" s="20"/>
      <c r="C60" s="20"/>
      <c r="D60" s="26"/>
      <c r="E60" s="20"/>
      <c r="F60" s="20"/>
      <c r="G60" s="20"/>
      <c r="H60" s="20"/>
      <c r="I60" s="20"/>
      <c r="J60" s="20"/>
      <c r="K60" s="20"/>
      <c r="L60" s="20"/>
      <c r="M60" s="20"/>
      <c r="N60" s="20"/>
      <c r="O60" s="20"/>
      <c r="P60" s="20"/>
      <c r="Q60" s="20"/>
      <c r="R60" s="20"/>
      <c r="S60" s="20"/>
      <c r="T60" s="20"/>
      <c r="U60" s="20"/>
      <c r="V60" s="20"/>
      <c r="W60" s="20"/>
      <c r="X60" s="20"/>
      <c r="Y60" s="20"/>
      <c r="Z60" s="20"/>
    </row>
    <row r="61" spans="1:26" x14ac:dyDescent="0.25">
      <c r="A61" s="20"/>
      <c r="B61" s="20"/>
      <c r="C61" s="20"/>
      <c r="D61" s="26"/>
      <c r="E61" s="20"/>
      <c r="F61" s="20"/>
      <c r="G61" s="20"/>
      <c r="H61" s="20"/>
      <c r="I61" s="20"/>
      <c r="J61" s="20"/>
      <c r="K61" s="20"/>
      <c r="L61" s="20"/>
      <c r="M61" s="20"/>
      <c r="N61" s="20"/>
      <c r="O61" s="20"/>
      <c r="P61" s="20"/>
      <c r="Q61" s="20"/>
      <c r="R61" s="20"/>
      <c r="S61" s="20"/>
      <c r="T61" s="20"/>
      <c r="U61" s="20"/>
      <c r="V61" s="20"/>
      <c r="W61" s="20"/>
      <c r="X61" s="20"/>
      <c r="Y61" s="20"/>
      <c r="Z61" s="20"/>
    </row>
    <row r="62" spans="1:26" x14ac:dyDescent="0.25">
      <c r="A62" s="20"/>
      <c r="B62" s="20"/>
      <c r="C62" s="20"/>
      <c r="D62" s="26"/>
      <c r="E62" s="20"/>
      <c r="F62" s="20"/>
      <c r="G62" s="20"/>
      <c r="H62" s="20"/>
      <c r="I62" s="20"/>
      <c r="J62" s="20"/>
      <c r="K62" s="20"/>
      <c r="L62" s="20"/>
      <c r="M62" s="20"/>
      <c r="N62" s="20"/>
      <c r="O62" s="20"/>
      <c r="P62" s="20"/>
      <c r="Q62" s="20"/>
      <c r="R62" s="20"/>
      <c r="S62" s="20"/>
      <c r="T62" s="20"/>
      <c r="U62" s="20"/>
      <c r="V62" s="20"/>
      <c r="W62" s="20"/>
      <c r="X62" s="20"/>
      <c r="Y62" s="20"/>
      <c r="Z62" s="20"/>
    </row>
    <row r="63" spans="1:26" x14ac:dyDescent="0.25">
      <c r="A63" s="20"/>
      <c r="B63" s="20"/>
      <c r="C63" s="20"/>
      <c r="D63" s="26"/>
      <c r="E63" s="20"/>
      <c r="F63" s="20"/>
      <c r="G63" s="20"/>
      <c r="H63" s="20"/>
      <c r="I63" s="20"/>
      <c r="J63" s="20"/>
      <c r="K63" s="20"/>
      <c r="L63" s="20"/>
      <c r="M63" s="20"/>
      <c r="N63" s="20"/>
      <c r="O63" s="20"/>
      <c r="P63" s="20"/>
      <c r="Q63" s="20"/>
      <c r="R63" s="20"/>
      <c r="S63" s="20"/>
      <c r="T63" s="20"/>
      <c r="U63" s="20"/>
      <c r="V63" s="20"/>
      <c r="W63" s="20"/>
      <c r="X63" s="20"/>
      <c r="Y63" s="20"/>
      <c r="Z63" s="20"/>
    </row>
    <row r="64" spans="1:26" x14ac:dyDescent="0.25">
      <c r="A64" s="20"/>
      <c r="B64" s="20"/>
      <c r="C64" s="20"/>
      <c r="D64" s="26"/>
      <c r="E64" s="20"/>
      <c r="F64" s="20"/>
      <c r="G64" s="20"/>
      <c r="H64" s="20"/>
      <c r="I64" s="20"/>
      <c r="J64" s="20"/>
      <c r="K64" s="20"/>
      <c r="L64" s="20"/>
      <c r="M64" s="20"/>
      <c r="N64" s="20"/>
      <c r="O64" s="20"/>
      <c r="P64" s="20"/>
      <c r="Q64" s="20"/>
      <c r="R64" s="20"/>
      <c r="S64" s="20"/>
      <c r="T64" s="20"/>
      <c r="U64" s="20"/>
      <c r="V64" s="20"/>
      <c r="W64" s="20"/>
      <c r="X64" s="20"/>
      <c r="Y64" s="20"/>
      <c r="Z64" s="20"/>
    </row>
    <row r="65" spans="1:26" x14ac:dyDescent="0.25">
      <c r="A65" s="20"/>
      <c r="B65" s="20"/>
      <c r="C65" s="20"/>
      <c r="D65" s="26"/>
      <c r="E65" s="20"/>
      <c r="F65" s="20"/>
      <c r="G65" s="20"/>
      <c r="H65" s="20"/>
      <c r="I65" s="20"/>
      <c r="J65" s="20"/>
      <c r="K65" s="20"/>
      <c r="L65" s="20"/>
      <c r="M65" s="20"/>
      <c r="N65" s="20"/>
      <c r="O65" s="20"/>
      <c r="P65" s="20"/>
      <c r="Q65" s="20"/>
      <c r="R65" s="20"/>
      <c r="S65" s="20"/>
      <c r="T65" s="20"/>
      <c r="U65" s="20"/>
      <c r="V65" s="20"/>
      <c r="W65" s="20"/>
      <c r="X65" s="20"/>
      <c r="Y65" s="20"/>
      <c r="Z65" s="20"/>
    </row>
    <row r="66" spans="1:26" x14ac:dyDescent="0.25">
      <c r="A66" s="20"/>
      <c r="B66" s="20"/>
      <c r="C66" s="20"/>
      <c r="D66" s="26"/>
      <c r="E66" s="20"/>
      <c r="F66" s="20"/>
      <c r="G66" s="20"/>
      <c r="H66" s="20"/>
      <c r="I66" s="20"/>
      <c r="J66" s="20"/>
      <c r="K66" s="20"/>
      <c r="L66" s="20"/>
      <c r="M66" s="20"/>
      <c r="N66" s="20"/>
      <c r="O66" s="20"/>
      <c r="P66" s="20"/>
      <c r="Q66" s="20"/>
      <c r="R66" s="20"/>
      <c r="S66" s="20"/>
      <c r="T66" s="20"/>
      <c r="U66" s="20"/>
      <c r="V66" s="20"/>
      <c r="W66" s="20"/>
      <c r="X66" s="20"/>
      <c r="Y66" s="20"/>
      <c r="Z66" s="20"/>
    </row>
    <row r="67" spans="1:26" x14ac:dyDescent="0.25">
      <c r="A67" s="20"/>
      <c r="B67" s="20"/>
      <c r="C67" s="20"/>
      <c r="D67" s="26"/>
      <c r="E67" s="20"/>
      <c r="F67" s="20"/>
      <c r="G67" s="20"/>
      <c r="H67" s="20"/>
      <c r="I67" s="20"/>
      <c r="J67" s="20"/>
      <c r="K67" s="20"/>
      <c r="L67" s="20"/>
      <c r="M67" s="20"/>
      <c r="N67" s="20"/>
      <c r="O67" s="20"/>
      <c r="P67" s="20"/>
      <c r="Q67" s="20"/>
      <c r="R67" s="20"/>
      <c r="S67" s="20"/>
      <c r="T67" s="20"/>
      <c r="U67" s="20"/>
      <c r="V67" s="20"/>
      <c r="W67" s="20"/>
      <c r="X67" s="20"/>
      <c r="Y67" s="20"/>
      <c r="Z67" s="20"/>
    </row>
    <row r="68" spans="1:26" x14ac:dyDescent="0.25">
      <c r="A68" s="20"/>
      <c r="B68" s="20"/>
      <c r="C68" s="20"/>
      <c r="D68" s="26"/>
      <c r="E68" s="20"/>
      <c r="F68" s="20"/>
      <c r="G68" s="20"/>
      <c r="H68" s="20"/>
      <c r="I68" s="20"/>
      <c r="J68" s="20"/>
      <c r="K68" s="20"/>
      <c r="L68" s="20"/>
      <c r="M68" s="20"/>
      <c r="N68" s="20"/>
      <c r="O68" s="20"/>
      <c r="P68" s="20"/>
      <c r="Q68" s="20"/>
      <c r="R68" s="20"/>
      <c r="S68" s="20"/>
      <c r="T68" s="20"/>
      <c r="U68" s="20"/>
      <c r="V68" s="20"/>
      <c r="W68" s="20"/>
      <c r="X68" s="20"/>
      <c r="Y68" s="20"/>
      <c r="Z68" s="20"/>
    </row>
    <row r="69" spans="1:26" x14ac:dyDescent="0.25">
      <c r="A69" s="20"/>
      <c r="B69" s="20"/>
      <c r="C69" s="20"/>
      <c r="D69" s="26"/>
      <c r="E69" s="20"/>
      <c r="F69" s="20"/>
      <c r="G69" s="20"/>
      <c r="H69" s="20"/>
      <c r="I69" s="20"/>
      <c r="J69" s="20"/>
      <c r="K69" s="20"/>
      <c r="L69" s="20"/>
      <c r="M69" s="20"/>
      <c r="N69" s="20"/>
      <c r="O69" s="20"/>
      <c r="P69" s="20"/>
      <c r="Q69" s="20"/>
      <c r="R69" s="20"/>
      <c r="S69" s="20"/>
      <c r="T69" s="20"/>
      <c r="U69" s="20"/>
      <c r="V69" s="20"/>
      <c r="W69" s="20"/>
      <c r="X69" s="20"/>
      <c r="Y69" s="20"/>
      <c r="Z69" s="20"/>
    </row>
    <row r="70" spans="1:26" x14ac:dyDescent="0.25">
      <c r="A70" s="20"/>
      <c r="B70" s="20"/>
      <c r="C70" s="20"/>
      <c r="D70" s="26"/>
      <c r="E70" s="20"/>
      <c r="F70" s="20"/>
      <c r="G70" s="20"/>
      <c r="H70" s="20"/>
      <c r="I70" s="20"/>
      <c r="J70" s="20"/>
      <c r="K70" s="20"/>
      <c r="L70" s="20"/>
      <c r="M70" s="20"/>
      <c r="N70" s="20"/>
      <c r="O70" s="20"/>
      <c r="P70" s="20"/>
      <c r="Q70" s="20"/>
      <c r="R70" s="20"/>
      <c r="S70" s="20"/>
      <c r="T70" s="20"/>
      <c r="U70" s="20"/>
      <c r="V70" s="20"/>
      <c r="W70" s="20"/>
      <c r="X70" s="20"/>
      <c r="Y70" s="20"/>
      <c r="Z70" s="20"/>
    </row>
    <row r="71" spans="1:26" x14ac:dyDescent="0.25">
      <c r="A71" s="20"/>
      <c r="B71" s="20"/>
      <c r="C71" s="20"/>
      <c r="D71" s="26"/>
      <c r="E71" s="20"/>
      <c r="F71" s="20"/>
      <c r="G71" s="20"/>
      <c r="H71" s="20"/>
      <c r="I71" s="20"/>
      <c r="J71" s="20"/>
      <c r="K71" s="20"/>
      <c r="L71" s="20"/>
      <c r="M71" s="20"/>
      <c r="N71" s="20"/>
      <c r="O71" s="20"/>
      <c r="P71" s="20"/>
      <c r="Q71" s="20"/>
      <c r="R71" s="20"/>
      <c r="S71" s="20"/>
      <c r="T71" s="20"/>
      <c r="U71" s="20"/>
      <c r="V71" s="20"/>
      <c r="W71" s="20"/>
      <c r="X71" s="20"/>
      <c r="Y71" s="20"/>
      <c r="Z71" s="20"/>
    </row>
    <row r="72" spans="1:26" x14ac:dyDescent="0.25">
      <c r="A72" s="20"/>
      <c r="B72" s="20"/>
      <c r="C72" s="20"/>
      <c r="D72" s="26"/>
      <c r="E72" s="20"/>
      <c r="F72" s="20"/>
      <c r="G72" s="20"/>
      <c r="H72" s="20"/>
      <c r="I72" s="20"/>
      <c r="J72" s="20"/>
      <c r="K72" s="20"/>
      <c r="L72" s="20"/>
      <c r="M72" s="20"/>
      <c r="N72" s="20"/>
      <c r="O72" s="20"/>
      <c r="P72" s="20"/>
      <c r="Q72" s="20"/>
      <c r="R72" s="20"/>
      <c r="S72" s="20"/>
      <c r="T72" s="20"/>
      <c r="U72" s="20"/>
      <c r="V72" s="20"/>
      <c r="W72" s="20"/>
      <c r="X72" s="20"/>
      <c r="Y72" s="20"/>
      <c r="Z72" s="20"/>
    </row>
    <row r="73" spans="1:26" x14ac:dyDescent="0.25">
      <c r="A73" s="20"/>
      <c r="B73" s="20"/>
      <c r="C73" s="20"/>
      <c r="D73" s="26"/>
      <c r="E73" s="20"/>
      <c r="F73" s="20"/>
      <c r="G73" s="20"/>
      <c r="H73" s="20"/>
      <c r="I73" s="20"/>
      <c r="J73" s="20"/>
      <c r="K73" s="20"/>
      <c r="L73" s="20"/>
      <c r="M73" s="20"/>
      <c r="N73" s="20"/>
      <c r="O73" s="20"/>
      <c r="P73" s="20"/>
      <c r="Q73" s="20"/>
      <c r="R73" s="20"/>
      <c r="S73" s="20"/>
      <c r="T73" s="20"/>
      <c r="U73" s="20"/>
      <c r="V73" s="20"/>
      <c r="W73" s="20"/>
      <c r="X73" s="20"/>
      <c r="Y73" s="20"/>
      <c r="Z73" s="20"/>
    </row>
    <row r="74" spans="1:26" x14ac:dyDescent="0.25">
      <c r="A74" s="20"/>
      <c r="B74" s="20"/>
      <c r="C74" s="20"/>
      <c r="D74" s="26"/>
      <c r="E74" s="20"/>
      <c r="F74" s="20"/>
      <c r="G74" s="20"/>
      <c r="H74" s="20"/>
      <c r="I74" s="20"/>
      <c r="J74" s="20"/>
      <c r="K74" s="20"/>
      <c r="L74" s="20"/>
      <c r="M74" s="20"/>
      <c r="N74" s="20"/>
      <c r="O74" s="20"/>
      <c r="P74" s="20"/>
      <c r="Q74" s="20"/>
      <c r="R74" s="20"/>
      <c r="S74" s="20"/>
      <c r="T74" s="20"/>
      <c r="U74" s="20"/>
      <c r="V74" s="20"/>
      <c r="W74" s="20"/>
      <c r="X74" s="20"/>
      <c r="Y74" s="20"/>
      <c r="Z74" s="20"/>
    </row>
    <row r="75" spans="1:26" x14ac:dyDescent="0.25">
      <c r="A75" s="20"/>
      <c r="B75" s="20"/>
      <c r="C75" s="20"/>
      <c r="D75" s="26"/>
      <c r="E75" s="20"/>
      <c r="F75" s="20"/>
      <c r="G75" s="20"/>
      <c r="H75" s="20"/>
      <c r="I75" s="20"/>
      <c r="J75" s="20"/>
      <c r="K75" s="20"/>
      <c r="L75" s="20"/>
      <c r="M75" s="20"/>
      <c r="N75" s="20"/>
      <c r="O75" s="20"/>
      <c r="P75" s="20"/>
      <c r="Q75" s="20"/>
      <c r="R75" s="20"/>
      <c r="S75" s="20"/>
      <c r="T75" s="20"/>
      <c r="U75" s="20"/>
      <c r="V75" s="20"/>
      <c r="W75" s="20"/>
      <c r="X75" s="20"/>
      <c r="Y75" s="20"/>
      <c r="Z75" s="20"/>
    </row>
    <row r="76" spans="1:26" x14ac:dyDescent="0.25">
      <c r="A76" s="20"/>
      <c r="B76" s="20"/>
      <c r="C76" s="20"/>
      <c r="D76" s="26"/>
      <c r="E76" s="20"/>
      <c r="F76" s="20"/>
      <c r="G76" s="20"/>
      <c r="H76" s="20"/>
      <c r="I76" s="20"/>
      <c r="J76" s="20"/>
      <c r="K76" s="20"/>
      <c r="L76" s="20"/>
      <c r="M76" s="20"/>
      <c r="N76" s="20"/>
      <c r="O76" s="20"/>
      <c r="P76" s="20"/>
      <c r="Q76" s="20"/>
      <c r="R76" s="20"/>
      <c r="S76" s="20"/>
      <c r="T76" s="20"/>
      <c r="U76" s="20"/>
      <c r="V76" s="20"/>
      <c r="W76" s="20"/>
      <c r="X76" s="20"/>
      <c r="Y76" s="20"/>
      <c r="Z76" s="20"/>
    </row>
    <row r="77" spans="1:26" x14ac:dyDescent="0.25">
      <c r="A77" s="20"/>
      <c r="B77" s="20"/>
      <c r="C77" s="20"/>
      <c r="D77" s="26"/>
      <c r="E77" s="20"/>
      <c r="F77" s="20"/>
      <c r="G77" s="20"/>
      <c r="H77" s="20"/>
      <c r="I77" s="20"/>
      <c r="J77" s="20"/>
      <c r="K77" s="20"/>
      <c r="L77" s="20"/>
      <c r="M77" s="20"/>
      <c r="N77" s="20"/>
      <c r="O77" s="20"/>
      <c r="P77" s="20"/>
      <c r="Q77" s="20"/>
      <c r="R77" s="20"/>
      <c r="S77" s="20"/>
      <c r="T77" s="20"/>
      <c r="U77" s="20"/>
      <c r="V77" s="20"/>
      <c r="W77" s="20"/>
      <c r="X77" s="20"/>
      <c r="Y77" s="20"/>
      <c r="Z77" s="20"/>
    </row>
    <row r="78" spans="1:26" x14ac:dyDescent="0.25">
      <c r="A78" s="20"/>
      <c r="B78" s="20"/>
      <c r="C78" s="20"/>
      <c r="D78" s="26"/>
      <c r="E78" s="20"/>
      <c r="F78" s="20"/>
      <c r="G78" s="20"/>
      <c r="H78" s="20"/>
      <c r="I78" s="20"/>
      <c r="J78" s="20"/>
      <c r="K78" s="20"/>
      <c r="L78" s="20"/>
      <c r="M78" s="20"/>
      <c r="N78" s="20"/>
      <c r="O78" s="20"/>
      <c r="P78" s="20"/>
      <c r="Q78" s="20"/>
      <c r="R78" s="20"/>
      <c r="S78" s="20"/>
      <c r="T78" s="20"/>
      <c r="U78" s="20"/>
      <c r="V78" s="20"/>
      <c r="W78" s="20"/>
      <c r="X78" s="20"/>
      <c r="Y78" s="20"/>
      <c r="Z78" s="20"/>
    </row>
  </sheetData>
  <sheetProtection sheet="1" objects="1" scenarios="1" selectLockedCells="1"/>
  <mergeCells count="37">
    <mergeCell ref="B21:D21"/>
    <mergeCell ref="B8:D8"/>
    <mergeCell ref="B13:D13"/>
    <mergeCell ref="B16:D16"/>
    <mergeCell ref="C35:D35"/>
    <mergeCell ref="C36:D36"/>
    <mergeCell ref="C23:D23"/>
    <mergeCell ref="C27:D27"/>
    <mergeCell ref="B31:D31"/>
    <mergeCell ref="B32:D32"/>
    <mergeCell ref="B39:D39"/>
    <mergeCell ref="C42:D42"/>
    <mergeCell ref="B38:D38"/>
    <mergeCell ref="C41:D41"/>
    <mergeCell ref="B2:D2"/>
    <mergeCell ref="B5:D5"/>
    <mergeCell ref="B19:D19"/>
    <mergeCell ref="B22:D22"/>
    <mergeCell ref="B4:D4"/>
    <mergeCell ref="B18:D18"/>
    <mergeCell ref="C6:D6"/>
    <mergeCell ref="C7:D7"/>
    <mergeCell ref="B15:D15"/>
    <mergeCell ref="B14:D14"/>
    <mergeCell ref="B12:D12"/>
    <mergeCell ref="B9:D9"/>
    <mergeCell ref="B10:D10"/>
    <mergeCell ref="B50:D50"/>
    <mergeCell ref="B46:D46"/>
    <mergeCell ref="B47:D47"/>
    <mergeCell ref="B48:D48"/>
    <mergeCell ref="B49:D49"/>
    <mergeCell ref="B20:D20"/>
    <mergeCell ref="B34:D34"/>
    <mergeCell ref="B33:D33"/>
    <mergeCell ref="B37:D37"/>
    <mergeCell ref="C40:D40"/>
  </mergeCells>
  <phoneticPr fontId="3" type="noConversion"/>
  <pageMargins left="0.75" right="0.75" top="0.51" bottom="0.5" header="0.5" footer="0.5"/>
  <pageSetup orientation="portrait" r:id="rId1"/>
  <headerFooter alignWithMargins="0"/>
  <rowBreaks count="1" manualBreakCount="1">
    <brk id="20"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1"/>
  <sheetViews>
    <sheetView showGridLines="0" workbookViewId="0"/>
  </sheetViews>
  <sheetFormatPr defaultColWidth="9.1796875" defaultRowHeight="12.5" x14ac:dyDescent="0.25"/>
  <cols>
    <col min="1" max="1" width="4.7265625" style="4" customWidth="1"/>
    <col min="2" max="2" width="86.7265625" style="4" customWidth="1"/>
    <col min="3" max="3" width="4.7265625" style="4" customWidth="1"/>
    <col min="4" max="5" width="5.7265625" style="4" customWidth="1"/>
    <col min="6" max="8" width="7.7265625" style="4" customWidth="1"/>
    <col min="9" max="9" width="5.7265625" style="4" customWidth="1"/>
    <col min="10" max="11" width="9.1796875" style="4"/>
    <col min="12" max="17" width="2.7265625" style="4" hidden="1" customWidth="1"/>
    <col min="18" max="19" width="3.7265625" style="4" hidden="1" customWidth="1"/>
    <col min="20" max="16384" width="9.1796875" style="4"/>
  </cols>
  <sheetData>
    <row r="1" spans="1:24" x14ac:dyDescent="0.25">
      <c r="A1" s="90"/>
      <c r="B1" s="90"/>
      <c r="C1" s="92" t="s">
        <v>272</v>
      </c>
      <c r="D1" s="90"/>
      <c r="E1" s="90"/>
      <c r="F1" s="90"/>
      <c r="G1" s="90"/>
      <c r="H1" s="90"/>
      <c r="I1" s="90"/>
      <c r="J1" s="90"/>
      <c r="K1" s="90"/>
      <c r="L1" s="90"/>
      <c r="M1" s="90"/>
      <c r="N1" s="90"/>
      <c r="O1" s="90"/>
      <c r="P1" s="90"/>
      <c r="Q1" s="90"/>
      <c r="R1" s="90"/>
      <c r="S1" s="90"/>
      <c r="T1" s="90"/>
      <c r="U1" s="90"/>
      <c r="V1" s="90"/>
      <c r="W1" s="90"/>
      <c r="X1" s="90"/>
    </row>
    <row r="2" spans="1:24" ht="36" x14ac:dyDescent="0.25">
      <c r="A2" s="90"/>
      <c r="B2" s="114" t="s">
        <v>296</v>
      </c>
      <c r="C2" s="93"/>
      <c r="D2" s="93"/>
      <c r="E2" s="93"/>
      <c r="F2" s="93"/>
      <c r="G2" s="93"/>
      <c r="H2" s="93"/>
      <c r="I2" s="93"/>
      <c r="J2" s="93"/>
      <c r="K2" s="93"/>
      <c r="L2" s="90"/>
      <c r="M2" s="90"/>
      <c r="N2" s="90"/>
      <c r="O2" s="90"/>
      <c r="P2" s="90"/>
      <c r="Q2" s="90"/>
      <c r="R2" s="90"/>
      <c r="S2" s="90"/>
      <c r="T2" s="90"/>
      <c r="U2" s="90"/>
      <c r="V2" s="90"/>
      <c r="W2" s="90"/>
      <c r="X2" s="90"/>
    </row>
    <row r="3" spans="1:24" x14ac:dyDescent="0.25">
      <c r="A3" s="90"/>
      <c r="B3" s="90"/>
      <c r="C3" s="93"/>
      <c r="D3" s="93"/>
      <c r="E3" s="93"/>
      <c r="F3" s="93"/>
      <c r="G3" s="93"/>
      <c r="H3" s="93"/>
      <c r="I3" s="93"/>
      <c r="J3" s="93"/>
      <c r="K3" s="93"/>
      <c r="L3" s="90"/>
      <c r="M3" s="90"/>
      <c r="N3" s="90"/>
      <c r="O3" s="90"/>
      <c r="P3" s="90"/>
      <c r="Q3" s="90"/>
      <c r="R3" s="90"/>
      <c r="S3" s="90"/>
      <c r="T3" s="90"/>
      <c r="U3" s="90"/>
      <c r="V3" s="90"/>
      <c r="W3" s="90"/>
      <c r="X3" s="90"/>
    </row>
    <row r="4" spans="1:24" ht="18.5" thickBot="1" x14ac:dyDescent="0.3">
      <c r="A4" s="90"/>
      <c r="B4" s="115" t="s">
        <v>276</v>
      </c>
      <c r="C4" s="93"/>
      <c r="D4" s="93"/>
      <c r="E4" s="93"/>
      <c r="F4" s="93"/>
      <c r="G4" s="93"/>
      <c r="H4" s="93"/>
      <c r="I4" s="93"/>
      <c r="J4" s="93"/>
      <c r="K4" s="93"/>
      <c r="L4" s="90"/>
      <c r="M4" s="90"/>
      <c r="N4" s="90"/>
      <c r="O4" s="90"/>
      <c r="P4" s="90"/>
      <c r="Q4" s="90"/>
      <c r="R4" s="90"/>
      <c r="S4" s="90"/>
      <c r="T4" s="90"/>
      <c r="U4" s="90"/>
      <c r="V4" s="90"/>
      <c r="W4" s="90"/>
      <c r="X4" s="90"/>
    </row>
    <row r="5" spans="1:24" ht="63" thickTop="1" x14ac:dyDescent="0.25">
      <c r="A5" s="90"/>
      <c r="B5" s="116" t="s">
        <v>279</v>
      </c>
      <c r="C5" s="93"/>
      <c r="D5" s="93"/>
      <c r="E5" s="93"/>
      <c r="F5" s="93"/>
      <c r="G5" s="93"/>
      <c r="H5" s="93"/>
      <c r="I5" s="93"/>
      <c r="J5" s="93"/>
      <c r="K5" s="93"/>
      <c r="L5" s="90"/>
      <c r="M5" s="90"/>
      <c r="N5" s="90"/>
      <c r="O5" s="90"/>
      <c r="P5" s="90"/>
      <c r="Q5" s="90"/>
      <c r="R5" s="90"/>
      <c r="S5" s="90"/>
      <c r="T5" s="90"/>
      <c r="U5" s="90"/>
      <c r="V5" s="90"/>
      <c r="W5" s="90"/>
      <c r="X5" s="90"/>
    </row>
    <row r="6" spans="1:24" ht="25" x14ac:dyDescent="0.25">
      <c r="A6" s="90"/>
      <c r="B6" s="117" t="s">
        <v>280</v>
      </c>
      <c r="C6" s="93"/>
      <c r="D6" s="93"/>
      <c r="E6" s="93"/>
      <c r="F6" s="93"/>
      <c r="G6" s="93"/>
      <c r="H6" s="93"/>
      <c r="I6" s="93"/>
      <c r="J6" s="93"/>
      <c r="K6" s="93"/>
      <c r="L6" s="90"/>
      <c r="M6" s="90"/>
      <c r="N6" s="90"/>
      <c r="O6" s="90"/>
      <c r="P6" s="90"/>
      <c r="Q6" s="90"/>
      <c r="R6" s="90"/>
      <c r="S6" s="90"/>
      <c r="T6" s="90"/>
      <c r="U6" s="90"/>
      <c r="V6" s="90"/>
      <c r="W6" s="90"/>
      <c r="X6" s="90"/>
    </row>
    <row r="7" spans="1:24" ht="50" x14ac:dyDescent="0.25">
      <c r="A7" s="90"/>
      <c r="B7" s="117" t="s">
        <v>281</v>
      </c>
      <c r="C7" s="93"/>
      <c r="D7" s="93"/>
      <c r="E7" s="93"/>
      <c r="F7" s="93"/>
      <c r="G7" s="93"/>
      <c r="H7" s="93"/>
      <c r="I7" s="93"/>
      <c r="J7" s="93"/>
      <c r="K7" s="93"/>
      <c r="L7" s="90"/>
      <c r="M7" s="90"/>
      <c r="N7" s="90"/>
      <c r="O7" s="90"/>
      <c r="P7" s="90"/>
      <c r="Q7" s="90"/>
      <c r="R7" s="90"/>
      <c r="S7" s="90"/>
      <c r="T7" s="90"/>
      <c r="U7" s="90"/>
      <c r="V7" s="90"/>
      <c r="W7" s="90"/>
      <c r="X7" s="90"/>
    </row>
    <row r="8" spans="1:24" ht="37.5" x14ac:dyDescent="0.25">
      <c r="A8" s="90"/>
      <c r="B8" s="117" t="s">
        <v>282</v>
      </c>
      <c r="C8" s="93"/>
      <c r="D8" s="93"/>
      <c r="E8" s="93"/>
      <c r="F8" s="93"/>
      <c r="G8" s="93"/>
      <c r="H8" s="93"/>
      <c r="I8" s="93"/>
      <c r="J8" s="93"/>
      <c r="K8" s="93"/>
      <c r="L8" s="90"/>
      <c r="M8" s="90"/>
      <c r="N8" s="90"/>
      <c r="O8" s="90"/>
      <c r="P8" s="90"/>
      <c r="Q8" s="90"/>
      <c r="R8" s="90"/>
      <c r="S8" s="90"/>
      <c r="T8" s="90"/>
      <c r="U8" s="90"/>
      <c r="V8" s="90"/>
      <c r="W8" s="90"/>
      <c r="X8" s="90"/>
    </row>
    <row r="9" spans="1:24" ht="15.5" x14ac:dyDescent="0.25">
      <c r="A9" s="90"/>
      <c r="B9" s="118" t="s">
        <v>273</v>
      </c>
      <c r="C9" s="93"/>
      <c r="D9" s="93"/>
      <c r="E9" s="93"/>
      <c r="F9" s="93"/>
      <c r="G9" s="93"/>
      <c r="H9" s="93"/>
      <c r="I9" s="93"/>
      <c r="J9" s="93"/>
      <c r="K9" s="93"/>
      <c r="L9" s="90"/>
      <c r="M9" s="90"/>
      <c r="N9" s="90"/>
      <c r="O9" s="90"/>
      <c r="P9" s="90"/>
      <c r="Q9" s="90"/>
      <c r="R9" s="90"/>
      <c r="S9" s="90"/>
      <c r="T9" s="90"/>
      <c r="U9" s="90"/>
      <c r="V9" s="90"/>
      <c r="W9" s="90"/>
      <c r="X9" s="90"/>
    </row>
    <row r="10" spans="1:24" s="6" customFormat="1" ht="100" x14ac:dyDescent="0.25">
      <c r="A10" s="91"/>
      <c r="B10" s="117" t="s">
        <v>286</v>
      </c>
      <c r="C10" s="120"/>
      <c r="D10" s="120"/>
      <c r="E10" s="120"/>
      <c r="F10" s="120"/>
      <c r="G10" s="120"/>
      <c r="H10" s="120"/>
      <c r="I10" s="120"/>
      <c r="J10" s="120"/>
      <c r="K10" s="120"/>
      <c r="L10" s="91"/>
      <c r="M10" s="91"/>
      <c r="N10" s="91"/>
      <c r="O10" s="91"/>
      <c r="P10" s="91"/>
      <c r="Q10" s="91"/>
      <c r="R10" s="91"/>
      <c r="S10" s="91"/>
      <c r="T10" s="91"/>
      <c r="U10" s="91"/>
      <c r="V10" s="91"/>
      <c r="W10" s="91"/>
      <c r="X10" s="91"/>
    </row>
    <row r="11" spans="1:24" ht="125" x14ac:dyDescent="0.25">
      <c r="A11" s="90"/>
      <c r="B11" s="117" t="s">
        <v>283</v>
      </c>
      <c r="C11" s="93"/>
      <c r="D11" s="93"/>
      <c r="E11" s="93"/>
      <c r="F11" s="93"/>
      <c r="G11" s="93"/>
      <c r="H11" s="93"/>
      <c r="I11" s="93"/>
      <c r="J11" s="93"/>
      <c r="K11" s="93"/>
      <c r="L11" s="90"/>
      <c r="M11" s="90"/>
      <c r="N11" s="90"/>
      <c r="O11" s="90"/>
      <c r="P11" s="90"/>
      <c r="Q11" s="90"/>
      <c r="R11" s="90"/>
      <c r="S11" s="90"/>
      <c r="T11" s="90"/>
      <c r="U11" s="90"/>
      <c r="V11" s="90"/>
      <c r="W11" s="90"/>
      <c r="X11" s="90"/>
    </row>
    <row r="12" spans="1:24" ht="15.5" x14ac:dyDescent="0.25">
      <c r="A12" s="90"/>
      <c r="B12" s="118" t="s">
        <v>277</v>
      </c>
      <c r="C12" s="93"/>
      <c r="D12" s="93"/>
      <c r="E12" s="93"/>
      <c r="F12" s="93"/>
      <c r="G12" s="93"/>
      <c r="H12" s="93"/>
      <c r="I12" s="93"/>
      <c r="J12" s="93"/>
      <c r="K12" s="93"/>
      <c r="L12" s="90"/>
      <c r="M12" s="90"/>
      <c r="N12" s="90"/>
      <c r="O12" s="90"/>
      <c r="P12" s="90"/>
      <c r="Q12" s="90"/>
      <c r="R12" s="90"/>
      <c r="S12" s="90"/>
      <c r="T12" s="90"/>
      <c r="U12" s="90"/>
      <c r="V12" s="90"/>
      <c r="W12" s="90"/>
      <c r="X12" s="90"/>
    </row>
    <row r="13" spans="1:24" ht="100" x14ac:dyDescent="0.25">
      <c r="A13" s="90"/>
      <c r="B13" s="117" t="s">
        <v>284</v>
      </c>
      <c r="C13" s="93"/>
      <c r="D13" s="93"/>
      <c r="E13" s="93"/>
      <c r="F13" s="93"/>
      <c r="G13" s="93"/>
      <c r="H13" s="93"/>
      <c r="I13" s="93"/>
      <c r="J13" s="93"/>
      <c r="K13" s="93"/>
      <c r="L13" s="90"/>
      <c r="M13" s="90"/>
      <c r="N13" s="90"/>
      <c r="O13" s="90"/>
      <c r="P13" s="90"/>
      <c r="Q13" s="90"/>
      <c r="R13" s="90"/>
      <c r="S13" s="90"/>
      <c r="T13" s="90"/>
      <c r="U13" s="90"/>
      <c r="V13" s="90"/>
      <c r="W13" s="90"/>
      <c r="X13" s="90"/>
    </row>
    <row r="14" spans="1:24" ht="15.5" x14ac:dyDescent="0.25">
      <c r="A14" s="90"/>
      <c r="B14" s="118" t="s">
        <v>274</v>
      </c>
      <c r="C14" s="93"/>
      <c r="D14" s="93"/>
      <c r="E14" s="93"/>
      <c r="F14" s="93"/>
      <c r="G14" s="93"/>
      <c r="H14" s="93"/>
      <c r="I14" s="93"/>
      <c r="J14" s="93"/>
      <c r="K14" s="93"/>
      <c r="L14" s="90"/>
      <c r="M14" s="90"/>
      <c r="N14" s="90"/>
      <c r="O14" s="90"/>
      <c r="P14" s="90"/>
      <c r="Q14" s="90"/>
      <c r="R14" s="90"/>
      <c r="S14" s="90"/>
      <c r="T14" s="90"/>
      <c r="U14" s="90"/>
      <c r="V14" s="90"/>
      <c r="W14" s="90"/>
      <c r="X14" s="90"/>
    </row>
    <row r="15" spans="1:24" ht="25" x14ac:dyDescent="0.25">
      <c r="A15" s="90"/>
      <c r="B15" s="117" t="s">
        <v>285</v>
      </c>
      <c r="C15" s="93"/>
      <c r="D15" s="93"/>
      <c r="E15" s="93"/>
      <c r="F15" s="93"/>
      <c r="G15" s="93"/>
      <c r="H15" s="93"/>
      <c r="I15" s="93"/>
      <c r="J15" s="93"/>
      <c r="K15" s="93"/>
      <c r="L15" s="90"/>
      <c r="M15" s="90"/>
      <c r="N15" s="90"/>
      <c r="O15" s="90"/>
      <c r="P15" s="90"/>
      <c r="Q15" s="90"/>
      <c r="R15" s="90"/>
      <c r="S15" s="90"/>
      <c r="T15" s="90"/>
      <c r="U15" s="90"/>
      <c r="V15" s="90"/>
      <c r="W15" s="90"/>
      <c r="X15" s="90"/>
    </row>
    <row r="16" spans="1:24" ht="75.5" thickBot="1" x14ac:dyDescent="0.3">
      <c r="A16" s="90"/>
      <c r="B16" s="119" t="s">
        <v>275</v>
      </c>
      <c r="C16" s="93"/>
      <c r="D16" s="93"/>
      <c r="E16" s="93"/>
      <c r="F16" s="93"/>
      <c r="G16" s="93"/>
      <c r="H16" s="93"/>
      <c r="I16" s="93"/>
      <c r="J16" s="93"/>
      <c r="K16" s="93"/>
      <c r="L16" s="90"/>
      <c r="M16" s="90"/>
      <c r="N16" s="90"/>
      <c r="O16" s="90"/>
      <c r="P16" s="90"/>
      <c r="Q16" s="90"/>
      <c r="R16" s="90"/>
      <c r="S16" s="90"/>
      <c r="T16" s="90"/>
      <c r="U16" s="90"/>
      <c r="V16" s="90"/>
      <c r="W16" s="90"/>
      <c r="X16" s="90"/>
    </row>
    <row r="17" spans="1:24" ht="13" thickTop="1" x14ac:dyDescent="0.25">
      <c r="A17" s="90"/>
      <c r="B17" s="112"/>
      <c r="C17" s="93"/>
      <c r="D17" s="93"/>
      <c r="E17" s="93"/>
      <c r="F17" s="93"/>
      <c r="G17" s="93"/>
      <c r="H17" s="93"/>
      <c r="I17" s="93"/>
      <c r="J17" s="93"/>
      <c r="K17" s="93"/>
      <c r="L17" s="90"/>
      <c r="M17" s="90"/>
      <c r="N17" s="90"/>
      <c r="O17" s="90"/>
      <c r="P17" s="90"/>
      <c r="Q17" s="90"/>
      <c r="R17" s="90"/>
      <c r="S17" s="90"/>
      <c r="T17" s="90"/>
      <c r="U17" s="90"/>
      <c r="V17" s="90"/>
      <c r="W17" s="90"/>
      <c r="X17" s="90"/>
    </row>
    <row r="18" spans="1:24" ht="18" x14ac:dyDescent="0.25">
      <c r="A18" s="90"/>
      <c r="B18" s="113"/>
      <c r="C18" s="93"/>
      <c r="D18" s="93"/>
      <c r="E18" s="93"/>
      <c r="F18" s="93"/>
      <c r="G18" s="93"/>
      <c r="H18" s="93"/>
      <c r="I18" s="93"/>
      <c r="J18" s="93"/>
      <c r="K18" s="93"/>
      <c r="L18" s="90"/>
      <c r="M18" s="90"/>
      <c r="N18" s="90"/>
      <c r="O18" s="90"/>
      <c r="P18" s="90"/>
      <c r="Q18" s="90"/>
      <c r="R18" s="90"/>
      <c r="S18" s="90"/>
      <c r="T18" s="90"/>
      <c r="U18" s="90"/>
      <c r="V18" s="90"/>
      <c r="W18" s="90"/>
      <c r="X18" s="90"/>
    </row>
    <row r="19" spans="1:24" x14ac:dyDescent="0.25">
      <c r="A19" s="90"/>
      <c r="B19" s="90"/>
      <c r="C19" s="90"/>
      <c r="D19" s="90"/>
      <c r="E19" s="90"/>
      <c r="F19" s="90"/>
      <c r="G19" s="90"/>
      <c r="H19" s="90"/>
      <c r="I19" s="90"/>
      <c r="J19" s="90"/>
      <c r="K19" s="90"/>
      <c r="L19" s="90"/>
      <c r="M19" s="90"/>
      <c r="N19" s="90"/>
      <c r="O19" s="90"/>
      <c r="P19" s="90"/>
      <c r="Q19" s="90"/>
      <c r="R19" s="90"/>
      <c r="S19" s="90"/>
      <c r="T19" s="90"/>
      <c r="U19" s="90"/>
      <c r="V19" s="90"/>
      <c r="W19" s="90"/>
      <c r="X19" s="90"/>
    </row>
    <row r="20" spans="1:24" x14ac:dyDescent="0.25">
      <c r="A20" s="90"/>
      <c r="B20" s="90"/>
      <c r="C20" s="90"/>
      <c r="D20" s="90"/>
      <c r="E20" s="90"/>
      <c r="F20" s="90"/>
      <c r="G20" s="90"/>
      <c r="H20" s="90"/>
      <c r="I20" s="90"/>
      <c r="J20" s="90"/>
      <c r="K20" s="90"/>
      <c r="L20" s="90"/>
      <c r="M20" s="90"/>
      <c r="N20" s="90"/>
      <c r="O20" s="90"/>
      <c r="P20" s="90"/>
      <c r="Q20" s="90"/>
      <c r="R20" s="90"/>
      <c r="S20" s="90"/>
      <c r="T20" s="90"/>
      <c r="U20" s="90"/>
      <c r="V20" s="90"/>
      <c r="W20" s="90"/>
      <c r="X20" s="90"/>
    </row>
    <row r="21" spans="1:24" x14ac:dyDescent="0.25">
      <c r="A21" s="90"/>
      <c r="B21" s="90"/>
      <c r="C21" s="90"/>
      <c r="D21" s="90"/>
      <c r="E21" s="90"/>
      <c r="F21" s="90"/>
      <c r="G21" s="90"/>
      <c r="H21" s="90"/>
      <c r="I21" s="90"/>
      <c r="J21" s="90"/>
      <c r="K21" s="90"/>
      <c r="L21" s="90"/>
      <c r="M21" s="90"/>
      <c r="N21" s="90"/>
      <c r="O21" s="90"/>
      <c r="P21" s="90"/>
      <c r="Q21" s="90"/>
      <c r="R21" s="90"/>
      <c r="S21" s="90"/>
      <c r="T21" s="90"/>
      <c r="U21" s="90"/>
      <c r="V21" s="90"/>
      <c r="W21" s="90"/>
      <c r="X21" s="90"/>
    </row>
    <row r="22" spans="1:24" x14ac:dyDescent="0.25">
      <c r="A22" s="90"/>
      <c r="B22" s="90"/>
      <c r="C22" s="90"/>
      <c r="D22" s="90"/>
      <c r="E22" s="90"/>
      <c r="F22" s="90"/>
      <c r="G22" s="90"/>
      <c r="H22" s="90"/>
      <c r="I22" s="90"/>
      <c r="J22" s="90"/>
      <c r="K22" s="90"/>
      <c r="L22" s="90"/>
      <c r="M22" s="90"/>
      <c r="N22" s="90"/>
      <c r="O22" s="90"/>
      <c r="P22" s="90"/>
      <c r="Q22" s="90"/>
      <c r="R22" s="90"/>
      <c r="S22" s="90"/>
      <c r="T22" s="90"/>
      <c r="U22" s="90"/>
      <c r="V22" s="90"/>
      <c r="W22" s="90"/>
      <c r="X22" s="90"/>
    </row>
    <row r="23" spans="1:24" x14ac:dyDescent="0.25">
      <c r="A23" s="90"/>
      <c r="B23" s="90"/>
      <c r="C23" s="90"/>
      <c r="D23" s="90"/>
      <c r="E23" s="90"/>
      <c r="F23" s="90"/>
      <c r="G23" s="90"/>
      <c r="H23" s="90"/>
      <c r="I23" s="90"/>
      <c r="J23" s="90"/>
      <c r="K23" s="90"/>
      <c r="L23" s="90"/>
      <c r="M23" s="90"/>
      <c r="N23" s="90"/>
      <c r="O23" s="90"/>
      <c r="P23" s="90"/>
      <c r="Q23" s="90"/>
      <c r="R23" s="90"/>
      <c r="S23" s="90"/>
      <c r="T23" s="90"/>
      <c r="U23" s="90"/>
      <c r="V23" s="90"/>
      <c r="W23" s="90"/>
      <c r="X23" s="90"/>
    </row>
    <row r="24" spans="1:24" x14ac:dyDescent="0.25">
      <c r="A24" s="90"/>
      <c r="B24" s="90"/>
      <c r="C24" s="90"/>
      <c r="D24" s="90"/>
      <c r="E24" s="90"/>
      <c r="F24" s="90"/>
      <c r="G24" s="90"/>
      <c r="H24" s="90"/>
      <c r="I24" s="90"/>
      <c r="J24" s="90"/>
      <c r="K24" s="90"/>
      <c r="L24" s="90"/>
      <c r="M24" s="90"/>
      <c r="N24" s="90"/>
      <c r="O24" s="90"/>
      <c r="P24" s="90"/>
      <c r="Q24" s="90"/>
      <c r="R24" s="90"/>
      <c r="S24" s="90"/>
      <c r="T24" s="90"/>
      <c r="U24" s="90"/>
      <c r="V24" s="90"/>
      <c r="W24" s="90"/>
      <c r="X24" s="90"/>
    </row>
    <row r="25" spans="1:24" x14ac:dyDescent="0.25">
      <c r="A25" s="90"/>
      <c r="B25" s="90"/>
      <c r="C25" s="90"/>
      <c r="D25" s="90"/>
      <c r="E25" s="90"/>
      <c r="F25" s="90"/>
      <c r="G25" s="90"/>
      <c r="H25" s="90"/>
      <c r="I25" s="90"/>
      <c r="J25" s="90"/>
      <c r="K25" s="90"/>
      <c r="L25" s="90"/>
      <c r="M25" s="90"/>
      <c r="N25" s="90"/>
      <c r="O25" s="90"/>
      <c r="P25" s="90"/>
      <c r="Q25" s="90"/>
      <c r="R25" s="90"/>
      <c r="S25" s="90"/>
      <c r="T25" s="90"/>
      <c r="U25" s="90"/>
      <c r="V25" s="90"/>
      <c r="W25" s="90"/>
      <c r="X25" s="90"/>
    </row>
    <row r="26" spans="1:24" x14ac:dyDescent="0.25">
      <c r="A26" s="90"/>
      <c r="B26" s="90"/>
      <c r="C26" s="90"/>
      <c r="D26" s="90"/>
      <c r="E26" s="90"/>
      <c r="F26" s="90"/>
      <c r="G26" s="90"/>
      <c r="H26" s="90"/>
      <c r="I26" s="90"/>
      <c r="J26" s="90"/>
      <c r="K26" s="90"/>
      <c r="L26" s="90"/>
      <c r="M26" s="90"/>
      <c r="N26" s="90"/>
      <c r="O26" s="90"/>
      <c r="P26" s="90"/>
      <c r="Q26" s="90"/>
      <c r="R26" s="90"/>
      <c r="S26" s="90"/>
      <c r="T26" s="90"/>
      <c r="U26" s="90"/>
      <c r="V26" s="90"/>
      <c r="W26" s="90"/>
      <c r="X26" s="90"/>
    </row>
    <row r="27" spans="1:24" x14ac:dyDescent="0.25">
      <c r="A27" s="90"/>
      <c r="B27" s="90"/>
      <c r="C27" s="90"/>
      <c r="D27" s="90"/>
      <c r="E27" s="90"/>
      <c r="F27" s="90"/>
      <c r="G27" s="90"/>
      <c r="H27" s="90"/>
      <c r="I27" s="90"/>
      <c r="J27" s="90"/>
      <c r="K27" s="90"/>
      <c r="L27" s="90"/>
      <c r="M27" s="90"/>
      <c r="N27" s="90"/>
      <c r="O27" s="90"/>
      <c r="P27" s="90"/>
      <c r="Q27" s="90"/>
      <c r="R27" s="90"/>
      <c r="S27" s="90"/>
      <c r="T27" s="90"/>
      <c r="U27" s="90"/>
      <c r="V27" s="90"/>
      <c r="W27" s="90"/>
      <c r="X27" s="90"/>
    </row>
    <row r="28" spans="1:24" x14ac:dyDescent="0.25">
      <c r="A28" s="90"/>
      <c r="B28" s="90"/>
      <c r="C28" s="90"/>
      <c r="D28" s="90"/>
      <c r="E28" s="90"/>
      <c r="F28" s="90"/>
      <c r="G28" s="90"/>
      <c r="H28" s="90"/>
      <c r="I28" s="90"/>
      <c r="J28" s="90"/>
      <c r="K28" s="90"/>
      <c r="L28" s="90"/>
      <c r="M28" s="90"/>
      <c r="N28" s="90"/>
      <c r="O28" s="90"/>
      <c r="P28" s="90"/>
      <c r="Q28" s="90"/>
      <c r="R28" s="90"/>
      <c r="S28" s="90"/>
      <c r="T28" s="90"/>
      <c r="U28" s="90"/>
      <c r="V28" s="90"/>
      <c r="W28" s="90"/>
      <c r="X28" s="90"/>
    </row>
    <row r="29" spans="1:24" x14ac:dyDescent="0.25">
      <c r="A29" s="90"/>
      <c r="B29" s="90"/>
      <c r="C29" s="90"/>
      <c r="D29" s="90"/>
      <c r="E29" s="90"/>
      <c r="F29" s="90"/>
      <c r="G29" s="90"/>
      <c r="H29" s="90"/>
      <c r="I29" s="90"/>
      <c r="J29" s="90"/>
      <c r="K29" s="90"/>
      <c r="L29" s="90"/>
      <c r="M29" s="90"/>
      <c r="N29" s="90"/>
      <c r="O29" s="90"/>
      <c r="P29" s="90"/>
      <c r="Q29" s="90"/>
      <c r="R29" s="90"/>
      <c r="S29" s="90"/>
      <c r="T29" s="90"/>
      <c r="U29" s="90"/>
      <c r="V29" s="90"/>
      <c r="W29" s="90"/>
      <c r="X29" s="90"/>
    </row>
    <row r="30" spans="1:24" x14ac:dyDescent="0.25">
      <c r="A30" s="90"/>
      <c r="B30" s="90"/>
      <c r="C30" s="90"/>
      <c r="D30" s="90"/>
      <c r="E30" s="90"/>
      <c r="F30" s="90"/>
      <c r="G30" s="90"/>
      <c r="H30" s="90"/>
      <c r="I30" s="90"/>
      <c r="J30" s="90"/>
      <c r="K30" s="90"/>
      <c r="L30" s="90"/>
      <c r="M30" s="90"/>
      <c r="N30" s="90"/>
      <c r="O30" s="90"/>
      <c r="P30" s="90"/>
      <c r="Q30" s="90"/>
      <c r="R30" s="90"/>
      <c r="S30" s="90"/>
      <c r="T30" s="90"/>
      <c r="U30" s="90"/>
      <c r="V30" s="90"/>
      <c r="W30" s="90"/>
      <c r="X30" s="90"/>
    </row>
    <row r="31" spans="1:24" x14ac:dyDescent="0.25">
      <c r="A31" s="90"/>
      <c r="B31" s="90"/>
      <c r="C31" s="90"/>
      <c r="D31" s="90"/>
      <c r="E31" s="90"/>
      <c r="F31" s="90"/>
      <c r="G31" s="90"/>
      <c r="H31" s="90"/>
      <c r="I31" s="90"/>
      <c r="J31" s="90"/>
      <c r="K31" s="90"/>
      <c r="L31" s="90"/>
      <c r="M31" s="90"/>
      <c r="N31" s="90"/>
      <c r="O31" s="90"/>
      <c r="P31" s="90"/>
      <c r="Q31" s="90"/>
      <c r="R31" s="90"/>
      <c r="S31" s="90"/>
      <c r="T31" s="90"/>
      <c r="U31" s="90"/>
      <c r="V31" s="90"/>
      <c r="W31" s="90"/>
      <c r="X31" s="90"/>
    </row>
    <row r="32" spans="1:24" x14ac:dyDescent="0.25">
      <c r="A32" s="90"/>
      <c r="B32" s="90"/>
      <c r="C32" s="90"/>
      <c r="D32" s="90"/>
      <c r="E32" s="90"/>
      <c r="F32" s="90"/>
      <c r="G32" s="90"/>
      <c r="H32" s="90"/>
      <c r="I32" s="90"/>
      <c r="J32" s="90"/>
      <c r="K32" s="90"/>
      <c r="L32" s="90"/>
      <c r="M32" s="90"/>
      <c r="N32" s="90"/>
      <c r="O32" s="90"/>
      <c r="P32" s="90"/>
      <c r="Q32" s="90"/>
      <c r="R32" s="90"/>
      <c r="S32" s="90"/>
      <c r="T32" s="90"/>
      <c r="U32" s="90"/>
      <c r="V32" s="90"/>
      <c r="W32" s="90"/>
      <c r="X32" s="90"/>
    </row>
    <row r="33" spans="1:24" x14ac:dyDescent="0.25">
      <c r="A33" s="90"/>
      <c r="B33" s="90"/>
      <c r="C33" s="90"/>
      <c r="D33" s="90"/>
      <c r="E33" s="90"/>
      <c r="F33" s="90"/>
      <c r="G33" s="90"/>
      <c r="H33" s="90"/>
      <c r="I33" s="90"/>
      <c r="J33" s="90"/>
      <c r="K33" s="90"/>
      <c r="L33" s="90"/>
      <c r="M33" s="90"/>
      <c r="N33" s="90"/>
      <c r="O33" s="90"/>
      <c r="P33" s="90"/>
      <c r="Q33" s="90"/>
      <c r="R33" s="90"/>
      <c r="S33" s="90"/>
      <c r="T33" s="90"/>
      <c r="U33" s="90"/>
      <c r="V33" s="90"/>
      <c r="W33" s="90"/>
      <c r="X33" s="90"/>
    </row>
    <row r="34" spans="1:24" x14ac:dyDescent="0.25">
      <c r="A34" s="90"/>
      <c r="B34" s="90"/>
      <c r="C34" s="90"/>
      <c r="D34" s="90"/>
      <c r="E34" s="90"/>
      <c r="F34" s="90"/>
      <c r="G34" s="90"/>
      <c r="H34" s="90"/>
      <c r="I34" s="90"/>
      <c r="J34" s="90"/>
      <c r="K34" s="90"/>
      <c r="L34" s="90"/>
      <c r="M34" s="90"/>
      <c r="N34" s="90"/>
      <c r="O34" s="90"/>
      <c r="P34" s="90"/>
      <c r="Q34" s="90"/>
      <c r="R34" s="90"/>
      <c r="S34" s="90"/>
      <c r="T34" s="90"/>
      <c r="U34" s="90"/>
      <c r="V34" s="90"/>
      <c r="W34" s="90"/>
      <c r="X34" s="90"/>
    </row>
    <row r="35" spans="1:24" x14ac:dyDescent="0.25">
      <c r="A35" s="90"/>
      <c r="B35" s="90"/>
      <c r="C35" s="90"/>
      <c r="D35" s="90"/>
      <c r="E35" s="90"/>
      <c r="F35" s="90"/>
      <c r="G35" s="90"/>
      <c r="H35" s="90"/>
      <c r="I35" s="90"/>
      <c r="J35" s="90"/>
      <c r="K35" s="90"/>
      <c r="L35" s="90"/>
      <c r="M35" s="90"/>
      <c r="N35" s="90"/>
      <c r="O35" s="90"/>
      <c r="P35" s="90"/>
      <c r="Q35" s="90"/>
      <c r="R35" s="90"/>
      <c r="S35" s="90"/>
      <c r="T35" s="90"/>
      <c r="U35" s="90"/>
      <c r="V35" s="90"/>
      <c r="W35" s="90"/>
      <c r="X35" s="90"/>
    </row>
    <row r="36" spans="1:24" x14ac:dyDescent="0.25">
      <c r="A36" s="90"/>
      <c r="B36" s="90"/>
      <c r="C36" s="90"/>
      <c r="D36" s="90"/>
      <c r="E36" s="90"/>
      <c r="F36" s="90"/>
      <c r="G36" s="90"/>
      <c r="H36" s="90"/>
      <c r="I36" s="90"/>
      <c r="J36" s="90"/>
      <c r="K36" s="90"/>
      <c r="L36" s="90"/>
      <c r="M36" s="90"/>
      <c r="N36" s="90"/>
      <c r="O36" s="90"/>
      <c r="P36" s="90"/>
      <c r="Q36" s="90"/>
      <c r="R36" s="90"/>
      <c r="S36" s="90"/>
      <c r="T36" s="90"/>
      <c r="U36" s="90"/>
      <c r="V36" s="90"/>
      <c r="W36" s="90"/>
      <c r="X36" s="90"/>
    </row>
    <row r="37" spans="1:24" x14ac:dyDescent="0.25">
      <c r="A37" s="90"/>
      <c r="B37" s="90"/>
      <c r="C37" s="90"/>
      <c r="D37" s="90"/>
      <c r="E37" s="90"/>
      <c r="F37" s="90"/>
      <c r="G37" s="90"/>
      <c r="H37" s="90"/>
      <c r="I37" s="90"/>
      <c r="J37" s="90"/>
      <c r="K37" s="90"/>
      <c r="L37" s="90"/>
      <c r="M37" s="90"/>
      <c r="N37" s="90"/>
      <c r="O37" s="90"/>
      <c r="P37" s="90"/>
      <c r="Q37" s="90"/>
      <c r="R37" s="90"/>
      <c r="S37" s="90"/>
      <c r="T37" s="90"/>
      <c r="U37" s="90"/>
      <c r="V37" s="90"/>
      <c r="W37" s="90"/>
      <c r="X37" s="90"/>
    </row>
    <row r="38" spans="1:24" x14ac:dyDescent="0.25">
      <c r="A38" s="90"/>
      <c r="B38" s="90"/>
      <c r="C38" s="90"/>
      <c r="D38" s="90"/>
      <c r="E38" s="90"/>
      <c r="F38" s="90"/>
      <c r="G38" s="90"/>
      <c r="H38" s="90"/>
      <c r="I38" s="90"/>
      <c r="J38" s="90"/>
      <c r="K38" s="90"/>
      <c r="L38" s="90"/>
      <c r="M38" s="90"/>
      <c r="N38" s="90"/>
      <c r="O38" s="90"/>
      <c r="P38" s="90"/>
      <c r="Q38" s="90"/>
      <c r="R38" s="90"/>
      <c r="S38" s="90"/>
      <c r="T38" s="90"/>
      <c r="U38" s="90"/>
      <c r="V38" s="90"/>
      <c r="W38" s="90"/>
      <c r="X38" s="90"/>
    </row>
    <row r="39" spans="1:24" x14ac:dyDescent="0.25">
      <c r="A39" s="90"/>
      <c r="B39" s="90"/>
      <c r="C39" s="90"/>
      <c r="D39" s="90"/>
      <c r="E39" s="90"/>
      <c r="F39" s="90"/>
      <c r="G39" s="90"/>
      <c r="H39" s="90"/>
      <c r="I39" s="90"/>
      <c r="J39" s="90"/>
      <c r="K39" s="90"/>
      <c r="L39" s="90"/>
      <c r="M39" s="90"/>
      <c r="N39" s="90"/>
      <c r="O39" s="90"/>
      <c r="P39" s="90"/>
      <c r="Q39" s="90"/>
      <c r="R39" s="90"/>
      <c r="S39" s="90"/>
      <c r="T39" s="90"/>
      <c r="U39" s="90"/>
      <c r="V39" s="90"/>
      <c r="W39" s="90"/>
      <c r="X39" s="90"/>
    </row>
    <row r="40" spans="1:24" x14ac:dyDescent="0.25">
      <c r="A40" s="90"/>
      <c r="B40" s="90"/>
      <c r="C40" s="90"/>
      <c r="D40" s="90"/>
      <c r="E40" s="90"/>
      <c r="F40" s="90"/>
      <c r="G40" s="90"/>
      <c r="H40" s="90"/>
      <c r="I40" s="90"/>
      <c r="J40" s="90"/>
      <c r="K40" s="90"/>
      <c r="L40" s="90"/>
      <c r="M40" s="90"/>
      <c r="N40" s="90"/>
      <c r="O40" s="90"/>
      <c r="P40" s="90"/>
      <c r="Q40" s="90"/>
      <c r="R40" s="90"/>
      <c r="S40" s="90"/>
      <c r="T40" s="90"/>
      <c r="U40" s="90"/>
      <c r="V40" s="90"/>
      <c r="W40" s="90"/>
      <c r="X40" s="90"/>
    </row>
    <row r="41" spans="1:24" x14ac:dyDescent="0.25">
      <c r="A41" s="90"/>
      <c r="B41" s="90"/>
      <c r="C41" s="90"/>
      <c r="D41" s="90"/>
      <c r="E41" s="90"/>
      <c r="F41" s="90"/>
      <c r="G41" s="90"/>
      <c r="H41" s="90"/>
      <c r="I41" s="90"/>
      <c r="J41" s="90"/>
      <c r="K41" s="90"/>
      <c r="L41" s="90"/>
      <c r="M41" s="90"/>
      <c r="N41" s="90"/>
      <c r="O41" s="90"/>
      <c r="P41" s="90"/>
      <c r="Q41" s="90"/>
      <c r="R41" s="90"/>
      <c r="S41" s="90"/>
      <c r="T41" s="90"/>
      <c r="U41" s="90"/>
      <c r="V41" s="90"/>
      <c r="W41" s="90"/>
      <c r="X41" s="90"/>
    </row>
    <row r="42" spans="1:24" x14ac:dyDescent="0.25">
      <c r="A42" s="90"/>
      <c r="B42" s="90"/>
      <c r="C42" s="90"/>
      <c r="D42" s="90"/>
      <c r="E42" s="90"/>
      <c r="F42" s="90"/>
      <c r="G42" s="90"/>
      <c r="H42" s="90"/>
      <c r="I42" s="90"/>
      <c r="J42" s="90"/>
      <c r="K42" s="90"/>
      <c r="L42" s="90"/>
      <c r="M42" s="90"/>
      <c r="N42" s="90"/>
      <c r="O42" s="90"/>
      <c r="P42" s="90"/>
      <c r="Q42" s="90"/>
      <c r="R42" s="90"/>
      <c r="S42" s="90"/>
      <c r="T42" s="90"/>
      <c r="U42" s="90"/>
      <c r="V42" s="90"/>
      <c r="W42" s="90"/>
      <c r="X42" s="90"/>
    </row>
    <row r="43" spans="1:24" x14ac:dyDescent="0.25">
      <c r="A43" s="90"/>
      <c r="B43" s="90"/>
      <c r="C43" s="90"/>
      <c r="D43" s="90"/>
      <c r="E43" s="90"/>
      <c r="F43" s="90"/>
      <c r="G43" s="90"/>
      <c r="H43" s="90"/>
      <c r="I43" s="90"/>
      <c r="J43" s="90"/>
      <c r="K43" s="90"/>
      <c r="L43" s="90"/>
      <c r="M43" s="90"/>
      <c r="N43" s="90"/>
      <c r="O43" s="90"/>
      <c r="P43" s="90"/>
      <c r="Q43" s="90"/>
      <c r="R43" s="90"/>
      <c r="S43" s="90"/>
      <c r="T43" s="90"/>
      <c r="U43" s="90"/>
      <c r="V43" s="90"/>
      <c r="W43" s="90"/>
      <c r="X43" s="90"/>
    </row>
    <row r="44" spans="1:24" x14ac:dyDescent="0.25">
      <c r="A44" s="90"/>
      <c r="B44" s="90"/>
      <c r="C44" s="90"/>
      <c r="D44" s="90"/>
      <c r="E44" s="90"/>
      <c r="F44" s="90"/>
      <c r="G44" s="90"/>
      <c r="H44" s="90"/>
      <c r="I44" s="90"/>
      <c r="J44" s="90"/>
      <c r="K44" s="90"/>
      <c r="L44" s="90"/>
      <c r="M44" s="90"/>
      <c r="N44" s="90"/>
      <c r="O44" s="90"/>
      <c r="P44" s="90"/>
      <c r="Q44" s="90"/>
      <c r="R44" s="90"/>
      <c r="S44" s="90"/>
      <c r="T44" s="90"/>
      <c r="U44" s="90"/>
      <c r="V44" s="90"/>
      <c r="W44" s="90"/>
      <c r="X44" s="90"/>
    </row>
    <row r="45" spans="1:24" x14ac:dyDescent="0.25">
      <c r="A45" s="90"/>
      <c r="B45" s="90"/>
      <c r="C45" s="90"/>
      <c r="D45" s="90"/>
      <c r="E45" s="90"/>
      <c r="F45" s="90"/>
      <c r="G45" s="90"/>
      <c r="H45" s="90"/>
      <c r="I45" s="90"/>
      <c r="J45" s="90"/>
      <c r="K45" s="90"/>
      <c r="L45" s="90"/>
      <c r="M45" s="90"/>
      <c r="N45" s="90"/>
      <c r="O45" s="90"/>
      <c r="P45" s="90"/>
      <c r="Q45" s="90"/>
      <c r="R45" s="90"/>
      <c r="S45" s="90"/>
      <c r="T45" s="90"/>
      <c r="U45" s="90"/>
      <c r="V45" s="90"/>
      <c r="W45" s="90"/>
      <c r="X45" s="90"/>
    </row>
    <row r="46" spans="1:24" x14ac:dyDescent="0.25">
      <c r="A46" s="90"/>
      <c r="B46" s="90"/>
      <c r="C46" s="90"/>
      <c r="D46" s="90"/>
      <c r="E46" s="90"/>
      <c r="F46" s="90"/>
      <c r="G46" s="90"/>
      <c r="H46" s="90"/>
      <c r="I46" s="90"/>
      <c r="J46" s="90"/>
      <c r="K46" s="90"/>
      <c r="L46" s="90"/>
      <c r="M46" s="90"/>
      <c r="N46" s="90"/>
      <c r="O46" s="90"/>
      <c r="P46" s="90"/>
      <c r="Q46" s="90"/>
      <c r="R46" s="90"/>
      <c r="S46" s="90"/>
      <c r="T46" s="90"/>
      <c r="U46" s="90"/>
      <c r="V46" s="90"/>
      <c r="W46" s="90"/>
      <c r="X46" s="90"/>
    </row>
    <row r="47" spans="1:24" x14ac:dyDescent="0.25">
      <c r="A47" s="90"/>
      <c r="B47" s="90"/>
      <c r="C47" s="90"/>
      <c r="D47" s="90"/>
      <c r="E47" s="90"/>
      <c r="F47" s="90"/>
      <c r="G47" s="90"/>
      <c r="H47" s="90"/>
      <c r="I47" s="90"/>
      <c r="J47" s="90"/>
      <c r="K47" s="90"/>
      <c r="L47" s="90"/>
      <c r="M47" s="90"/>
      <c r="N47" s="90"/>
      <c r="O47" s="90"/>
      <c r="P47" s="90"/>
      <c r="Q47" s="90"/>
      <c r="R47" s="90"/>
      <c r="S47" s="90"/>
      <c r="T47" s="90"/>
      <c r="U47" s="90"/>
      <c r="V47" s="90"/>
      <c r="W47" s="90"/>
      <c r="X47" s="90"/>
    </row>
    <row r="48" spans="1:24" x14ac:dyDescent="0.25">
      <c r="A48" s="90"/>
      <c r="B48" s="90"/>
      <c r="C48" s="90"/>
      <c r="D48" s="90"/>
      <c r="E48" s="90"/>
      <c r="F48" s="90"/>
      <c r="G48" s="90"/>
      <c r="H48" s="90"/>
      <c r="I48" s="90"/>
      <c r="J48" s="90"/>
      <c r="K48" s="90"/>
      <c r="L48" s="90"/>
      <c r="M48" s="90"/>
      <c r="N48" s="90"/>
      <c r="O48" s="90"/>
      <c r="P48" s="90"/>
      <c r="Q48" s="90"/>
      <c r="R48" s="90"/>
      <c r="S48" s="90"/>
      <c r="T48" s="90"/>
      <c r="U48" s="90"/>
      <c r="V48" s="90"/>
      <c r="W48" s="90"/>
      <c r="X48" s="90"/>
    </row>
    <row r="49" spans="1:24" x14ac:dyDescent="0.25">
      <c r="A49" s="90"/>
      <c r="B49" s="90"/>
      <c r="C49" s="90"/>
      <c r="D49" s="90"/>
      <c r="E49" s="90"/>
      <c r="F49" s="90"/>
      <c r="G49" s="90"/>
      <c r="H49" s="90"/>
      <c r="I49" s="90"/>
      <c r="J49" s="90"/>
      <c r="K49" s="90"/>
      <c r="L49" s="90"/>
      <c r="M49" s="90"/>
      <c r="N49" s="90"/>
      <c r="O49" s="90"/>
      <c r="P49" s="90"/>
      <c r="Q49" s="90"/>
      <c r="R49" s="90"/>
      <c r="S49" s="90"/>
      <c r="T49" s="90"/>
      <c r="U49" s="90"/>
      <c r="V49" s="90"/>
      <c r="W49" s="90"/>
      <c r="X49" s="90"/>
    </row>
    <row r="50" spans="1:24" x14ac:dyDescent="0.25">
      <c r="A50" s="90"/>
      <c r="B50" s="90"/>
      <c r="C50" s="90"/>
      <c r="D50" s="90"/>
      <c r="E50" s="90"/>
      <c r="F50" s="90"/>
      <c r="G50" s="90"/>
      <c r="H50" s="90"/>
      <c r="I50" s="90"/>
      <c r="J50" s="90"/>
      <c r="K50" s="90"/>
      <c r="L50" s="90"/>
      <c r="M50" s="90"/>
      <c r="N50" s="90"/>
      <c r="O50" s="90"/>
      <c r="P50" s="90"/>
      <c r="Q50" s="90"/>
      <c r="R50" s="90"/>
      <c r="S50" s="90"/>
      <c r="T50" s="90"/>
      <c r="U50" s="90"/>
      <c r="V50" s="90"/>
      <c r="W50" s="90"/>
      <c r="X50" s="90"/>
    </row>
    <row r="51" spans="1:24" x14ac:dyDescent="0.25">
      <c r="A51" s="90"/>
      <c r="B51" s="90"/>
      <c r="C51" s="90"/>
      <c r="D51" s="90"/>
      <c r="E51" s="90"/>
      <c r="F51" s="90"/>
      <c r="G51" s="90"/>
      <c r="H51" s="90"/>
      <c r="I51" s="90"/>
      <c r="J51" s="90"/>
      <c r="K51" s="90"/>
      <c r="L51" s="90"/>
      <c r="M51" s="90"/>
      <c r="N51" s="90"/>
      <c r="O51" s="90"/>
      <c r="P51" s="90"/>
      <c r="Q51" s="90"/>
      <c r="R51" s="90"/>
      <c r="S51" s="90"/>
      <c r="T51" s="90"/>
      <c r="U51" s="90"/>
      <c r="V51" s="90"/>
      <c r="W51" s="90"/>
      <c r="X51" s="90"/>
    </row>
  </sheetData>
  <sheetProtection sheet="1" objects="1" scenarios="1" selectLockedCells="1"/>
  <phoneticPr fontId="3" type="noConversion"/>
  <pageMargins left="0.61" right="0.5" top="0.3" bottom="0.52" header="0.3"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87"/>
  <sheetViews>
    <sheetView workbookViewId="0">
      <selection activeCell="F13" sqref="F13"/>
    </sheetView>
  </sheetViews>
  <sheetFormatPr defaultColWidth="9.1796875" defaultRowHeight="12.5" x14ac:dyDescent="0.25"/>
  <cols>
    <col min="1" max="1" width="3.7265625" style="1" customWidth="1"/>
    <col min="2" max="2" width="60.7265625" style="1" customWidth="1"/>
    <col min="3" max="4" width="5.7265625" style="1" customWidth="1"/>
    <col min="5" max="7" width="7.7265625" style="1" customWidth="1"/>
    <col min="8" max="8" width="5.7265625" style="1" customWidth="1"/>
    <col min="9" max="9" width="6.26953125" style="1" customWidth="1"/>
    <col min="10" max="10" width="6.81640625" style="1" customWidth="1"/>
    <col min="11" max="16" width="2.7265625" style="1" hidden="1" customWidth="1"/>
    <col min="17" max="18" width="3.7265625" style="1" hidden="1" customWidth="1"/>
    <col min="19" max="19" width="4.26953125" style="88" customWidth="1"/>
    <col min="20" max="20" width="30.7265625" style="89" customWidth="1"/>
    <col min="21" max="26" width="9.1796875" style="89"/>
    <col min="27" max="29" width="9.1796875" style="3"/>
    <col min="30" max="16384" width="9.1796875" style="1"/>
  </cols>
  <sheetData>
    <row r="1" spans="1:26" x14ac:dyDescent="0.25">
      <c r="A1" s="52"/>
      <c r="B1" s="52"/>
      <c r="C1" s="52"/>
      <c r="D1" s="52"/>
      <c r="E1" s="52"/>
      <c r="F1" s="52"/>
      <c r="G1" s="52"/>
      <c r="H1" s="52"/>
      <c r="I1" s="52"/>
      <c r="J1" s="156" t="s">
        <v>272</v>
      </c>
      <c r="S1" s="149"/>
      <c r="T1" s="149"/>
      <c r="U1" s="149"/>
      <c r="V1" s="149"/>
      <c r="W1" s="149"/>
      <c r="X1" s="149"/>
      <c r="Y1" s="149"/>
      <c r="Z1" s="149"/>
    </row>
    <row r="2" spans="1:26" ht="21.75" customHeight="1" x14ac:dyDescent="0.25">
      <c r="A2" s="201" t="s">
        <v>293</v>
      </c>
      <c r="B2" s="202"/>
      <c r="C2" s="202"/>
      <c r="D2" s="202"/>
      <c r="E2" s="202"/>
      <c r="F2" s="202"/>
      <c r="G2" s="202"/>
      <c r="H2" s="202"/>
      <c r="I2" s="202"/>
      <c r="J2" s="202"/>
      <c r="S2" s="81"/>
      <c r="T2" s="81"/>
      <c r="U2" s="81"/>
      <c r="V2" s="81"/>
      <c r="W2" s="81"/>
      <c r="X2" s="81"/>
      <c r="Y2" s="81"/>
      <c r="Z2" s="81"/>
    </row>
    <row r="3" spans="1:26" ht="13" thickBot="1" x14ac:dyDescent="0.3">
      <c r="A3" s="37"/>
      <c r="B3" s="37"/>
      <c r="C3" s="37"/>
      <c r="D3" s="37"/>
      <c r="E3" s="37"/>
      <c r="F3" s="37"/>
      <c r="G3" s="37"/>
      <c r="H3" s="37"/>
      <c r="I3" s="37"/>
      <c r="J3" s="37"/>
      <c r="S3" s="81"/>
      <c r="T3" s="81"/>
      <c r="U3" s="81"/>
      <c r="V3" s="81"/>
      <c r="W3" s="81"/>
      <c r="X3" s="81"/>
      <c r="Y3" s="81"/>
      <c r="Z3" s="81"/>
    </row>
    <row r="4" spans="1:26" ht="13.5" thickTop="1" x14ac:dyDescent="0.25">
      <c r="A4" s="37"/>
      <c r="B4" s="37"/>
      <c r="C4" s="208" t="s">
        <v>67</v>
      </c>
      <c r="D4" s="209"/>
      <c r="E4" s="209"/>
      <c r="F4" s="209"/>
      <c r="G4" s="209"/>
      <c r="H4" s="209"/>
      <c r="I4" s="140" t="e">
        <f>IF(OR(I9="error",I58="error",I132="error"),"error",(I9+I58+I132)/3)</f>
        <v>#DIV/0!</v>
      </c>
      <c r="J4" s="141"/>
      <c r="S4" s="81"/>
      <c r="T4" s="81"/>
      <c r="U4" s="81"/>
      <c r="V4" s="81"/>
      <c r="W4" s="81"/>
      <c r="X4" s="81"/>
      <c r="Y4" s="81"/>
      <c r="Z4" s="81"/>
    </row>
    <row r="5" spans="1:26" ht="13.5" thickBot="1" x14ac:dyDescent="0.3">
      <c r="A5" s="37"/>
      <c r="B5" s="37"/>
      <c r="C5" s="210" t="s">
        <v>68</v>
      </c>
      <c r="D5" s="211"/>
      <c r="E5" s="211"/>
      <c r="F5" s="211"/>
      <c r="G5" s="211"/>
      <c r="H5" s="211"/>
      <c r="I5" s="142"/>
      <c r="J5" s="143" t="e">
        <f>IF(OR(J9="error",J58="error",J132="error"),"error",(J9+J58+J132)/3)</f>
        <v>#DIV/0!</v>
      </c>
      <c r="S5" s="150"/>
      <c r="T5" s="150"/>
      <c r="U5" s="150"/>
      <c r="V5" s="150"/>
      <c r="W5" s="150"/>
      <c r="X5" s="150"/>
      <c r="Y5" s="150"/>
      <c r="Z5" s="150"/>
    </row>
    <row r="6" spans="1:26" ht="13.5" thickTop="1" x14ac:dyDescent="0.25">
      <c r="A6" s="38"/>
      <c r="B6" s="38"/>
      <c r="C6" s="203" t="s">
        <v>7</v>
      </c>
      <c r="D6" s="204"/>
      <c r="E6" s="204"/>
      <c r="F6" s="204"/>
      <c r="G6" s="204"/>
      <c r="H6" s="205"/>
      <c r="I6" s="206" t="s">
        <v>9</v>
      </c>
      <c r="J6" s="207"/>
      <c r="S6" s="153"/>
      <c r="T6" s="151"/>
      <c r="U6" s="151"/>
      <c r="V6" s="151"/>
      <c r="W6" s="151"/>
      <c r="X6" s="151"/>
      <c r="Y6" s="151"/>
      <c r="Z6" s="151"/>
    </row>
    <row r="7" spans="1:26" ht="21" customHeight="1" x14ac:dyDescent="0.25">
      <c r="A7" s="38"/>
      <c r="B7" s="38"/>
      <c r="C7" s="198"/>
      <c r="D7" s="199"/>
      <c r="E7" s="199"/>
      <c r="F7" s="199"/>
      <c r="G7" s="199"/>
      <c r="H7" s="200"/>
      <c r="I7" s="109"/>
      <c r="J7" s="121"/>
      <c r="S7" s="153"/>
      <c r="T7" s="151"/>
      <c r="U7" s="151"/>
      <c r="V7" s="151"/>
      <c r="W7" s="151"/>
      <c r="X7" s="151"/>
      <c r="Y7" s="151"/>
      <c r="Z7" s="151"/>
    </row>
    <row r="8" spans="1:26" ht="128" thickBot="1" x14ac:dyDescent="0.3">
      <c r="A8" s="39"/>
      <c r="B8" s="38" t="s">
        <v>8</v>
      </c>
      <c r="C8" s="136" t="s">
        <v>2</v>
      </c>
      <c r="D8" s="136" t="s">
        <v>3</v>
      </c>
      <c r="E8" s="137" t="s">
        <v>6</v>
      </c>
      <c r="F8" s="138" t="s">
        <v>5</v>
      </c>
      <c r="G8" s="139" t="s">
        <v>4</v>
      </c>
      <c r="H8" s="136" t="s">
        <v>11</v>
      </c>
      <c r="I8" s="40" t="s">
        <v>67</v>
      </c>
      <c r="J8" s="41" t="s">
        <v>68</v>
      </c>
      <c r="S8" s="154"/>
      <c r="T8" s="152"/>
      <c r="U8" s="152"/>
      <c r="V8" s="152"/>
      <c r="W8" s="152"/>
      <c r="X8" s="152"/>
      <c r="Y8" s="152"/>
      <c r="Z8" s="152"/>
    </row>
    <row r="9" spans="1:26" ht="14" thickTop="1" thickBot="1" x14ac:dyDescent="0.3">
      <c r="A9" s="94" t="s">
        <v>309</v>
      </c>
      <c r="B9" s="42"/>
      <c r="C9" s="43"/>
      <c r="D9" s="43"/>
      <c r="E9" s="43"/>
      <c r="F9" s="43"/>
      <c r="G9" s="43"/>
      <c r="H9" s="43"/>
      <c r="I9" s="158" t="e">
        <f>AVERAGE(I10:I57)</f>
        <v>#DIV/0!</v>
      </c>
      <c r="J9" s="159" t="e">
        <f>AVERAGE(J10:J57)</f>
        <v>#DIV/0!</v>
      </c>
      <c r="M9" s="157"/>
      <c r="S9" s="155"/>
      <c r="T9" s="87"/>
      <c r="U9" s="87"/>
      <c r="V9" s="87"/>
      <c r="W9" s="87"/>
      <c r="X9" s="87"/>
      <c r="Y9" s="87"/>
      <c r="Z9" s="87"/>
    </row>
    <row r="10" spans="1:26" ht="14" thickTop="1" thickBot="1" x14ac:dyDescent="0.3">
      <c r="A10" s="44" t="s">
        <v>10</v>
      </c>
      <c r="B10" s="45"/>
      <c r="C10" s="46"/>
      <c r="D10" s="46"/>
      <c r="E10" s="46"/>
      <c r="F10" s="46"/>
      <c r="G10" s="46"/>
      <c r="H10" s="46"/>
      <c r="I10" s="144" t="str">
        <f>IF(COUNTIF($I11:$I18,"error")=0,SUM(Q11:Q18)/SUM($K11:$P18),"error")</f>
        <v>error</v>
      </c>
      <c r="J10" s="145" t="str">
        <f>IF(COUNTIF($I11:$I18,"error")=0,SUM(R11:R18)/SUM($K11:$P18),"error")</f>
        <v>error</v>
      </c>
      <c r="S10" s="85"/>
      <c r="T10" s="85"/>
      <c r="U10" s="85"/>
      <c r="V10" s="85"/>
      <c r="W10" s="85"/>
      <c r="X10" s="85"/>
      <c r="Y10" s="85"/>
      <c r="Z10" s="85"/>
    </row>
    <row r="11" spans="1:26" ht="13" thickTop="1" x14ac:dyDescent="0.25">
      <c r="A11" s="47" t="s">
        <v>77</v>
      </c>
      <c r="B11" s="48" t="s">
        <v>12</v>
      </c>
      <c r="C11" s="49"/>
      <c r="D11" s="50"/>
      <c r="E11" s="126"/>
      <c r="F11" s="122"/>
      <c r="G11" s="50"/>
      <c r="H11" s="51"/>
      <c r="I11" s="52" t="str">
        <f t="shared" ref="I11:I18" si="0">+IF(OR((SUM(K11:P11)=1),(ISBLANK(B11)=TRUE)),"       ","error")</f>
        <v>error</v>
      </c>
      <c r="J11" s="52"/>
      <c r="K11" s="1">
        <f t="shared" ref="K11:N17" si="1">+IF(AND((ISBLANK($B11)=FALSE),(C11="y")),1,0)</f>
        <v>0</v>
      </c>
      <c r="L11" s="1">
        <f t="shared" si="1"/>
        <v>0</v>
      </c>
      <c r="M11" s="1">
        <f t="shared" si="1"/>
        <v>0</v>
      </c>
      <c r="N11" s="1">
        <f t="shared" si="1"/>
        <v>0</v>
      </c>
      <c r="O11" s="1">
        <f t="shared" ref="O11:O17" si="2">+IF(AND((ISBLANK($B11)=FALSE),(G11="y")),1,0)</f>
        <v>0</v>
      </c>
      <c r="P11" s="1">
        <f t="shared" ref="P11:P17" si="3">+IF(AND((ISBLANK($B11)=FALSE),(H11="y")),1,0)</f>
        <v>0</v>
      </c>
      <c r="Q11" s="1">
        <f>10*K11+5*L11+M11</f>
        <v>0</v>
      </c>
      <c r="R11" s="1">
        <f>10*N11+5*O11</f>
        <v>0</v>
      </c>
      <c r="S11" s="81"/>
      <c r="T11" s="81"/>
      <c r="U11" s="81"/>
      <c r="V11" s="81"/>
      <c r="W11" s="81"/>
      <c r="X11" s="81"/>
      <c r="Y11" s="81"/>
      <c r="Z11" s="81"/>
    </row>
    <row r="12" spans="1:26" ht="50" x14ac:dyDescent="0.25">
      <c r="A12" s="47" t="s">
        <v>78</v>
      </c>
      <c r="B12" s="53" t="s">
        <v>84</v>
      </c>
      <c r="C12" s="54"/>
      <c r="D12" s="55"/>
      <c r="E12" s="127"/>
      <c r="F12" s="123"/>
      <c r="G12" s="55"/>
      <c r="H12" s="56"/>
      <c r="I12" s="52" t="str">
        <f t="shared" si="0"/>
        <v>error</v>
      </c>
      <c r="J12" s="52"/>
      <c r="K12" s="1">
        <f t="shared" si="1"/>
        <v>0</v>
      </c>
      <c r="L12" s="1">
        <f t="shared" si="1"/>
        <v>0</v>
      </c>
      <c r="M12" s="1">
        <f t="shared" si="1"/>
        <v>0</v>
      </c>
      <c r="N12" s="1">
        <f t="shared" si="1"/>
        <v>0</v>
      </c>
      <c r="O12" s="1">
        <f t="shared" si="2"/>
        <v>0</v>
      </c>
      <c r="P12" s="1">
        <f t="shared" si="3"/>
        <v>0</v>
      </c>
      <c r="Q12" s="1">
        <f t="shared" ref="Q12:Q17" si="4">10*K12+5*L12+M12</f>
        <v>0</v>
      </c>
      <c r="R12" s="1">
        <f t="shared" ref="R12:R17" si="5">10*N12+5*O12</f>
        <v>0</v>
      </c>
      <c r="S12" s="81"/>
      <c r="T12" s="81"/>
      <c r="U12" s="81"/>
      <c r="V12" s="81"/>
      <c r="W12" s="81"/>
      <c r="X12" s="81"/>
      <c r="Y12" s="81"/>
      <c r="Z12" s="81"/>
    </row>
    <row r="13" spans="1:26" ht="25" x14ac:dyDescent="0.25">
      <c r="A13" s="47" t="s">
        <v>79</v>
      </c>
      <c r="B13" s="48" t="s">
        <v>230</v>
      </c>
      <c r="C13" s="57"/>
      <c r="D13" s="58"/>
      <c r="E13" s="128"/>
      <c r="F13" s="124"/>
      <c r="G13" s="58"/>
      <c r="H13" s="59"/>
      <c r="I13" s="52" t="str">
        <f t="shared" si="0"/>
        <v>error</v>
      </c>
      <c r="J13" s="52"/>
      <c r="K13" s="1">
        <f t="shared" si="1"/>
        <v>0</v>
      </c>
      <c r="L13" s="1">
        <f t="shared" si="1"/>
        <v>0</v>
      </c>
      <c r="M13" s="1">
        <f t="shared" si="1"/>
        <v>0</v>
      </c>
      <c r="N13" s="1">
        <f t="shared" si="1"/>
        <v>0</v>
      </c>
      <c r="O13" s="1">
        <f t="shared" si="2"/>
        <v>0</v>
      </c>
      <c r="P13" s="1">
        <f t="shared" si="3"/>
        <v>0</v>
      </c>
      <c r="Q13" s="1">
        <f t="shared" si="4"/>
        <v>0</v>
      </c>
      <c r="R13" s="1">
        <f t="shared" si="5"/>
        <v>0</v>
      </c>
      <c r="S13" s="81"/>
      <c r="T13" s="81"/>
      <c r="U13" s="81"/>
      <c r="V13" s="81"/>
      <c r="W13" s="81"/>
      <c r="X13" s="81"/>
      <c r="Y13" s="81"/>
      <c r="Z13" s="81"/>
    </row>
    <row r="14" spans="1:26" ht="25" x14ac:dyDescent="0.25">
      <c r="A14" s="47" t="s">
        <v>80</v>
      </c>
      <c r="B14" s="53" t="s">
        <v>71</v>
      </c>
      <c r="C14" s="54"/>
      <c r="D14" s="55"/>
      <c r="E14" s="127"/>
      <c r="F14" s="123"/>
      <c r="G14" s="55"/>
      <c r="H14" s="56"/>
      <c r="I14" s="52" t="str">
        <f t="shared" si="0"/>
        <v>error</v>
      </c>
      <c r="J14" s="52"/>
      <c r="K14" s="1">
        <f t="shared" si="1"/>
        <v>0</v>
      </c>
      <c r="L14" s="1">
        <f t="shared" si="1"/>
        <v>0</v>
      </c>
      <c r="M14" s="1">
        <f t="shared" si="1"/>
        <v>0</v>
      </c>
      <c r="N14" s="1">
        <f t="shared" si="1"/>
        <v>0</v>
      </c>
      <c r="O14" s="1">
        <f t="shared" si="2"/>
        <v>0</v>
      </c>
      <c r="P14" s="1">
        <f t="shared" si="3"/>
        <v>0</v>
      </c>
      <c r="Q14" s="1">
        <f t="shared" si="4"/>
        <v>0</v>
      </c>
      <c r="R14" s="1">
        <f t="shared" si="5"/>
        <v>0</v>
      </c>
      <c r="S14" s="81"/>
      <c r="T14" s="81"/>
      <c r="U14" s="81"/>
      <c r="V14" s="81"/>
      <c r="W14" s="81"/>
      <c r="X14" s="81"/>
      <c r="Y14" s="81"/>
      <c r="Z14" s="81"/>
    </row>
    <row r="15" spans="1:26" x14ac:dyDescent="0.25">
      <c r="A15" s="47" t="s">
        <v>81</v>
      </c>
      <c r="B15" s="48" t="s">
        <v>125</v>
      </c>
      <c r="C15" s="57"/>
      <c r="D15" s="58"/>
      <c r="E15" s="128"/>
      <c r="F15" s="124"/>
      <c r="G15" s="58"/>
      <c r="H15" s="59"/>
      <c r="I15" s="52" t="str">
        <f t="shared" si="0"/>
        <v>error</v>
      </c>
      <c r="J15" s="52"/>
      <c r="K15" s="1">
        <f t="shared" si="1"/>
        <v>0</v>
      </c>
      <c r="L15" s="1">
        <f t="shared" si="1"/>
        <v>0</v>
      </c>
      <c r="M15" s="1">
        <f t="shared" si="1"/>
        <v>0</v>
      </c>
      <c r="N15" s="1">
        <f t="shared" si="1"/>
        <v>0</v>
      </c>
      <c r="O15" s="1">
        <f t="shared" si="2"/>
        <v>0</v>
      </c>
      <c r="P15" s="1">
        <f t="shared" si="3"/>
        <v>0</v>
      </c>
      <c r="Q15" s="1">
        <f t="shared" si="4"/>
        <v>0</v>
      </c>
      <c r="R15" s="1">
        <f t="shared" si="5"/>
        <v>0</v>
      </c>
      <c r="S15" s="81"/>
      <c r="T15" s="81"/>
      <c r="U15" s="81"/>
      <c r="V15" s="81"/>
      <c r="W15" s="81"/>
      <c r="X15" s="81"/>
      <c r="Y15" s="81"/>
      <c r="Z15" s="81"/>
    </row>
    <row r="16" spans="1:26" ht="25" x14ac:dyDescent="0.25">
      <c r="A16" s="47" t="s">
        <v>82</v>
      </c>
      <c r="B16" s="53" t="s">
        <v>128</v>
      </c>
      <c r="C16" s="54"/>
      <c r="D16" s="55"/>
      <c r="E16" s="127"/>
      <c r="F16" s="123"/>
      <c r="G16" s="55"/>
      <c r="H16" s="56"/>
      <c r="I16" s="52" t="str">
        <f t="shared" si="0"/>
        <v>error</v>
      </c>
      <c r="J16" s="52"/>
      <c r="K16" s="1">
        <f t="shared" si="1"/>
        <v>0</v>
      </c>
      <c r="L16" s="1">
        <f t="shared" si="1"/>
        <v>0</v>
      </c>
      <c r="M16" s="1">
        <f t="shared" si="1"/>
        <v>0</v>
      </c>
      <c r="N16" s="1">
        <f t="shared" si="1"/>
        <v>0</v>
      </c>
      <c r="O16" s="1">
        <f t="shared" si="2"/>
        <v>0</v>
      </c>
      <c r="P16" s="1">
        <f t="shared" si="3"/>
        <v>0</v>
      </c>
      <c r="Q16" s="1">
        <f t="shared" si="4"/>
        <v>0</v>
      </c>
      <c r="R16" s="1">
        <f t="shared" si="5"/>
        <v>0</v>
      </c>
      <c r="S16" s="81"/>
      <c r="T16" s="81"/>
      <c r="U16" s="81"/>
      <c r="V16" s="81"/>
      <c r="W16" s="81"/>
      <c r="X16" s="81"/>
      <c r="Y16" s="81"/>
      <c r="Z16" s="81"/>
    </row>
    <row r="17" spans="1:26" ht="25" x14ac:dyDescent="0.25">
      <c r="A17" s="47" t="s">
        <v>83</v>
      </c>
      <c r="B17" s="48" t="s">
        <v>124</v>
      </c>
      <c r="C17" s="57"/>
      <c r="D17" s="58"/>
      <c r="E17" s="128"/>
      <c r="F17" s="124"/>
      <c r="G17" s="58"/>
      <c r="H17" s="59"/>
      <c r="I17" s="52" t="str">
        <f t="shared" si="0"/>
        <v>error</v>
      </c>
      <c r="J17" s="52"/>
      <c r="K17" s="1">
        <f t="shared" si="1"/>
        <v>0</v>
      </c>
      <c r="L17" s="1">
        <f t="shared" si="1"/>
        <v>0</v>
      </c>
      <c r="M17" s="1">
        <f t="shared" si="1"/>
        <v>0</v>
      </c>
      <c r="N17" s="1">
        <f t="shared" si="1"/>
        <v>0</v>
      </c>
      <c r="O17" s="1">
        <f t="shared" si="2"/>
        <v>0</v>
      </c>
      <c r="P17" s="1">
        <f t="shared" si="3"/>
        <v>0</v>
      </c>
      <c r="Q17" s="1">
        <f t="shared" si="4"/>
        <v>0</v>
      </c>
      <c r="R17" s="1">
        <f t="shared" si="5"/>
        <v>0</v>
      </c>
      <c r="S17" s="81"/>
      <c r="T17" s="81"/>
      <c r="U17" s="81"/>
      <c r="V17" s="81"/>
      <c r="W17" s="81"/>
      <c r="X17" s="81"/>
      <c r="Y17" s="81"/>
      <c r="Z17" s="81"/>
    </row>
    <row r="18" spans="1:26" ht="13" thickBot="1" x14ac:dyDescent="0.3">
      <c r="A18" s="47"/>
      <c r="B18" s="60"/>
      <c r="C18" s="61"/>
      <c r="D18" s="62"/>
      <c r="E18" s="129"/>
      <c r="F18" s="125"/>
      <c r="G18" s="62"/>
      <c r="H18" s="63"/>
      <c r="I18" s="52" t="str">
        <f t="shared" si="0"/>
        <v xml:space="preserve">       </v>
      </c>
      <c r="J18" s="52"/>
      <c r="K18" s="1">
        <f t="shared" ref="K18:P18" si="6">+IF(AND((ISBLANK($B18)=FALSE),(C18="y")),1,0)</f>
        <v>0</v>
      </c>
      <c r="L18" s="1">
        <f t="shared" si="6"/>
        <v>0</v>
      </c>
      <c r="M18" s="1">
        <f t="shared" si="6"/>
        <v>0</v>
      </c>
      <c r="N18" s="1">
        <f t="shared" si="6"/>
        <v>0</v>
      </c>
      <c r="O18" s="1">
        <f t="shared" si="6"/>
        <v>0</v>
      </c>
      <c r="P18" s="1">
        <f t="shared" si="6"/>
        <v>0</v>
      </c>
      <c r="Q18" s="1">
        <f>10*K18+5*L18+M18</f>
        <v>0</v>
      </c>
      <c r="R18" s="1">
        <f>10*N18+5*O18</f>
        <v>0</v>
      </c>
      <c r="S18" s="81"/>
      <c r="T18" s="81"/>
      <c r="U18" s="81"/>
      <c r="V18" s="81"/>
      <c r="W18" s="81"/>
      <c r="X18" s="81"/>
      <c r="Y18" s="81"/>
      <c r="Z18" s="81"/>
    </row>
    <row r="19" spans="1:26" ht="14" thickTop="1" thickBot="1" x14ac:dyDescent="0.3">
      <c r="A19" s="44" t="s">
        <v>14</v>
      </c>
      <c r="B19" s="46"/>
      <c r="C19" s="64"/>
      <c r="D19" s="64"/>
      <c r="E19" s="64"/>
      <c r="F19" s="64"/>
      <c r="G19" s="64"/>
      <c r="H19" s="64"/>
      <c r="I19" s="144" t="str">
        <f>IF(COUNTIF($I20:$I26,"error")=0,SUM(Q20:Q26)/SUM($K20:$P26),"error")</f>
        <v>error</v>
      </c>
      <c r="J19" s="145" t="str">
        <f>IF(COUNTIF($I20:$I26,"error")=0,SUM(R20:R26)/SUM($K20:$P26),"error")</f>
        <v>error</v>
      </c>
      <c r="S19" s="85"/>
      <c r="T19" s="85"/>
      <c r="U19" s="85"/>
      <c r="V19" s="85"/>
      <c r="W19" s="85"/>
      <c r="X19" s="85"/>
      <c r="Y19" s="85"/>
      <c r="Z19" s="85"/>
    </row>
    <row r="20" spans="1:26" ht="25.5" thickTop="1" x14ac:dyDescent="0.25">
      <c r="A20" s="47" t="s">
        <v>85</v>
      </c>
      <c r="B20" s="53" t="s">
        <v>23</v>
      </c>
      <c r="C20" s="67"/>
      <c r="D20" s="68"/>
      <c r="E20" s="130"/>
      <c r="F20" s="123"/>
      <c r="G20" s="55"/>
      <c r="H20" s="56"/>
      <c r="I20" s="52" t="str">
        <f t="shared" ref="I20:I26" si="7">+IF(OR((SUM(K20:P20)=1),(ISBLANK(B20)=TRUE)),"       ","error")</f>
        <v>error</v>
      </c>
      <c r="J20" s="52"/>
      <c r="K20" s="1">
        <f t="shared" ref="K20:K25" si="8">+IF(AND((ISBLANK($B20)=FALSE),(C20="y")),1,0)</f>
        <v>0</v>
      </c>
      <c r="L20" s="1">
        <f t="shared" ref="L20:L25" si="9">+IF(AND((ISBLANK($B20)=FALSE),(D20="y")),1,0)</f>
        <v>0</v>
      </c>
      <c r="M20" s="1">
        <f t="shared" ref="M20:M25" si="10">+IF(AND((ISBLANK($B20)=FALSE),(E20="y")),1,0)</f>
        <v>0</v>
      </c>
      <c r="N20" s="1">
        <f t="shared" ref="N20:N25" si="11">+IF(AND((ISBLANK($B20)=FALSE),(F20="y")),1,0)</f>
        <v>0</v>
      </c>
      <c r="O20" s="1">
        <f t="shared" ref="O20:O25" si="12">+IF(AND((ISBLANK($B20)=FALSE),(G20="y")),1,0)</f>
        <v>0</v>
      </c>
      <c r="P20" s="1">
        <f t="shared" ref="P20:P25" si="13">+IF(AND((ISBLANK($B20)=FALSE),(H20="y")),1,0)</f>
        <v>0</v>
      </c>
      <c r="Q20" s="1">
        <f t="shared" ref="Q20:Q26" si="14">10*K20+5*L20+M20</f>
        <v>0</v>
      </c>
      <c r="R20" s="1">
        <f t="shared" ref="R20:R26" si="15">10*N20+5*O20</f>
        <v>0</v>
      </c>
      <c r="S20" s="81"/>
      <c r="T20" s="81"/>
      <c r="U20" s="81"/>
      <c r="V20" s="81"/>
      <c r="W20" s="81"/>
      <c r="X20" s="81"/>
      <c r="Y20" s="81"/>
      <c r="Z20" s="81"/>
    </row>
    <row r="21" spans="1:26" ht="50" x14ac:dyDescent="0.25">
      <c r="A21" s="47" t="s">
        <v>86</v>
      </c>
      <c r="B21" s="60" t="s">
        <v>232</v>
      </c>
      <c r="C21" s="57"/>
      <c r="D21" s="58"/>
      <c r="E21" s="128"/>
      <c r="F21" s="124"/>
      <c r="G21" s="58"/>
      <c r="H21" s="59"/>
      <c r="I21" s="52" t="str">
        <f t="shared" si="7"/>
        <v>error</v>
      </c>
      <c r="J21" s="52"/>
      <c r="K21" s="1">
        <f t="shared" si="8"/>
        <v>0</v>
      </c>
      <c r="L21" s="1">
        <f t="shared" si="9"/>
        <v>0</v>
      </c>
      <c r="M21" s="1">
        <f t="shared" si="10"/>
        <v>0</v>
      </c>
      <c r="N21" s="1">
        <f t="shared" si="11"/>
        <v>0</v>
      </c>
      <c r="O21" s="1">
        <f t="shared" si="12"/>
        <v>0</v>
      </c>
      <c r="P21" s="1">
        <f t="shared" si="13"/>
        <v>0</v>
      </c>
      <c r="Q21" s="1">
        <f t="shared" si="14"/>
        <v>0</v>
      </c>
      <c r="R21" s="1">
        <f t="shared" si="15"/>
        <v>0</v>
      </c>
      <c r="S21" s="81"/>
      <c r="T21" s="81"/>
      <c r="U21" s="81"/>
      <c r="V21" s="81"/>
      <c r="W21" s="81"/>
      <c r="X21" s="81"/>
      <c r="Y21" s="81"/>
      <c r="Z21" s="81"/>
    </row>
    <row r="22" spans="1:26" ht="37.5" x14ac:dyDescent="0.25">
      <c r="A22" s="47" t="s">
        <v>87</v>
      </c>
      <c r="B22" s="53" t="s">
        <v>126</v>
      </c>
      <c r="C22" s="54"/>
      <c r="D22" s="55"/>
      <c r="E22" s="127"/>
      <c r="F22" s="123"/>
      <c r="G22" s="55"/>
      <c r="H22" s="56"/>
      <c r="I22" s="52" t="str">
        <f t="shared" si="7"/>
        <v>error</v>
      </c>
      <c r="J22" s="52"/>
      <c r="K22" s="1">
        <f t="shared" si="8"/>
        <v>0</v>
      </c>
      <c r="L22" s="1">
        <f t="shared" si="9"/>
        <v>0</v>
      </c>
      <c r="M22" s="1">
        <f t="shared" si="10"/>
        <v>0</v>
      </c>
      <c r="N22" s="1">
        <f t="shared" si="11"/>
        <v>0</v>
      </c>
      <c r="O22" s="1">
        <f t="shared" si="12"/>
        <v>0</v>
      </c>
      <c r="P22" s="1">
        <f t="shared" si="13"/>
        <v>0</v>
      </c>
      <c r="Q22" s="1">
        <f t="shared" si="14"/>
        <v>0</v>
      </c>
      <c r="R22" s="1">
        <f t="shared" si="15"/>
        <v>0</v>
      </c>
      <c r="S22" s="81"/>
      <c r="T22" s="81"/>
      <c r="U22" s="81"/>
      <c r="V22" s="81"/>
      <c r="W22" s="81"/>
      <c r="X22" s="81"/>
      <c r="Y22" s="81"/>
      <c r="Z22" s="81"/>
    </row>
    <row r="23" spans="1:26" ht="25" x14ac:dyDescent="0.25">
      <c r="A23" s="47" t="s">
        <v>88</v>
      </c>
      <c r="B23" s="60" t="s">
        <v>310</v>
      </c>
      <c r="C23" s="57"/>
      <c r="D23" s="58"/>
      <c r="E23" s="128"/>
      <c r="F23" s="124"/>
      <c r="G23" s="58"/>
      <c r="H23" s="59"/>
      <c r="I23" s="52" t="str">
        <f>+IF(OR((SUM(K23:P23)=1),(ISBLANK(#REF!)=TRUE)),"       ","error")</f>
        <v>error</v>
      </c>
      <c r="J23" s="52"/>
      <c r="K23" s="1">
        <f>+IF(AND((ISBLANK(#REF!)=FALSE),(C23="y")),1,0)</f>
        <v>0</v>
      </c>
      <c r="L23" s="1">
        <f>+IF(AND((ISBLANK(#REF!)=FALSE),(D23="y")),1,0)</f>
        <v>0</v>
      </c>
      <c r="M23" s="1">
        <f>+IF(AND((ISBLANK(#REF!)=FALSE),(E23="y")),1,0)</f>
        <v>0</v>
      </c>
      <c r="N23" s="1">
        <f>+IF(AND((ISBLANK(#REF!)=FALSE),(F23="y")),1,0)</f>
        <v>0</v>
      </c>
      <c r="O23" s="1">
        <f>+IF(AND((ISBLANK(#REF!)=FALSE),(G23="y")),1,0)</f>
        <v>0</v>
      </c>
      <c r="P23" s="1">
        <f>+IF(AND((ISBLANK(#REF!)=FALSE),(H23="y")),1,0)</f>
        <v>0</v>
      </c>
      <c r="Q23" s="1">
        <f t="shared" si="14"/>
        <v>0</v>
      </c>
      <c r="R23" s="1">
        <f t="shared" si="15"/>
        <v>0</v>
      </c>
      <c r="S23" s="81"/>
      <c r="T23" s="81"/>
      <c r="U23" s="81"/>
      <c r="V23" s="81"/>
      <c r="W23" s="81"/>
      <c r="X23" s="81"/>
      <c r="Y23" s="81"/>
      <c r="Z23" s="81"/>
    </row>
    <row r="24" spans="1:26" ht="62.5" x14ac:dyDescent="0.25">
      <c r="A24" s="47" t="s">
        <v>89</v>
      </c>
      <c r="B24" s="65" t="s">
        <v>76</v>
      </c>
      <c r="C24" s="54"/>
      <c r="D24" s="55"/>
      <c r="E24" s="127"/>
      <c r="F24" s="123"/>
      <c r="G24" s="55"/>
      <c r="H24" s="56"/>
      <c r="I24" s="52" t="str">
        <f t="shared" si="7"/>
        <v>error</v>
      </c>
      <c r="J24" s="52"/>
      <c r="K24" s="1">
        <f t="shared" si="8"/>
        <v>0</v>
      </c>
      <c r="L24" s="1">
        <f t="shared" si="9"/>
        <v>0</v>
      </c>
      <c r="M24" s="1">
        <f t="shared" si="10"/>
        <v>0</v>
      </c>
      <c r="N24" s="1">
        <f t="shared" si="11"/>
        <v>0</v>
      </c>
      <c r="O24" s="1">
        <f t="shared" si="12"/>
        <v>0</v>
      </c>
      <c r="P24" s="1">
        <f t="shared" si="13"/>
        <v>0</v>
      </c>
      <c r="Q24" s="1">
        <f t="shared" si="14"/>
        <v>0</v>
      </c>
      <c r="R24" s="1">
        <f t="shared" si="15"/>
        <v>0</v>
      </c>
      <c r="S24" s="81"/>
      <c r="T24" s="81"/>
      <c r="U24" s="81"/>
      <c r="V24" s="81"/>
      <c r="W24" s="81"/>
      <c r="X24" s="81"/>
      <c r="Y24" s="81"/>
      <c r="Z24" s="81"/>
    </row>
    <row r="25" spans="1:26" ht="37.5" x14ac:dyDescent="0.25">
      <c r="A25" s="47" t="s">
        <v>90</v>
      </c>
      <c r="B25" s="60" t="s">
        <v>287</v>
      </c>
      <c r="C25" s="57"/>
      <c r="D25" s="58"/>
      <c r="E25" s="128"/>
      <c r="F25" s="124"/>
      <c r="G25" s="58"/>
      <c r="H25" s="59"/>
      <c r="I25" s="52" t="str">
        <f t="shared" si="7"/>
        <v>error</v>
      </c>
      <c r="J25" s="52"/>
      <c r="K25" s="1">
        <f t="shared" si="8"/>
        <v>0</v>
      </c>
      <c r="L25" s="1">
        <f t="shared" si="9"/>
        <v>0</v>
      </c>
      <c r="M25" s="1">
        <f t="shared" si="10"/>
        <v>0</v>
      </c>
      <c r="N25" s="1">
        <f t="shared" si="11"/>
        <v>0</v>
      </c>
      <c r="O25" s="1">
        <f t="shared" si="12"/>
        <v>0</v>
      </c>
      <c r="P25" s="1">
        <f t="shared" si="13"/>
        <v>0</v>
      </c>
      <c r="Q25" s="1">
        <f t="shared" si="14"/>
        <v>0</v>
      </c>
      <c r="R25" s="1">
        <f t="shared" si="15"/>
        <v>0</v>
      </c>
      <c r="S25" s="81"/>
      <c r="T25" s="81"/>
      <c r="U25" s="81"/>
      <c r="V25" s="81"/>
      <c r="W25" s="81"/>
      <c r="X25" s="81"/>
      <c r="Y25" s="81"/>
      <c r="Z25" s="81"/>
    </row>
    <row r="26" spans="1:26" ht="13" thickBot="1" x14ac:dyDescent="0.3">
      <c r="A26" s="47"/>
      <c r="B26" s="60"/>
      <c r="C26" s="61"/>
      <c r="D26" s="62"/>
      <c r="E26" s="129"/>
      <c r="F26" s="125"/>
      <c r="G26" s="62"/>
      <c r="H26" s="63"/>
      <c r="I26" s="52" t="str">
        <f t="shared" si="7"/>
        <v xml:space="preserve">       </v>
      </c>
      <c r="J26" s="52"/>
      <c r="K26" s="1">
        <f t="shared" ref="K26:P26" si="16">+IF(AND((ISBLANK($B26)=FALSE),(C26="y")),1,0)</f>
        <v>0</v>
      </c>
      <c r="L26" s="1">
        <f t="shared" si="16"/>
        <v>0</v>
      </c>
      <c r="M26" s="1">
        <f t="shared" si="16"/>
        <v>0</v>
      </c>
      <c r="N26" s="1">
        <f t="shared" si="16"/>
        <v>0</v>
      </c>
      <c r="O26" s="1">
        <f t="shared" si="16"/>
        <v>0</v>
      </c>
      <c r="P26" s="1">
        <f t="shared" si="16"/>
        <v>0</v>
      </c>
      <c r="Q26" s="1">
        <f t="shared" si="14"/>
        <v>0</v>
      </c>
      <c r="R26" s="1">
        <f t="shared" si="15"/>
        <v>0</v>
      </c>
      <c r="S26" s="81"/>
      <c r="T26" s="81"/>
      <c r="U26" s="81"/>
      <c r="V26" s="81"/>
      <c r="W26" s="81"/>
      <c r="X26" s="81"/>
      <c r="Y26" s="81"/>
      <c r="Z26" s="81"/>
    </row>
    <row r="27" spans="1:26" ht="14" thickTop="1" thickBot="1" x14ac:dyDescent="0.3">
      <c r="A27" s="44" t="s">
        <v>15</v>
      </c>
      <c r="B27" s="45"/>
      <c r="C27" s="64"/>
      <c r="D27" s="64"/>
      <c r="E27" s="64"/>
      <c r="F27" s="64"/>
      <c r="G27" s="64"/>
      <c r="H27" s="64"/>
      <c r="I27" s="144" t="str">
        <f>IF(COUNTIF($I28:$I32,"error")=0,SUM(Q28:Q32)/SUM($K28:$P32),"error")</f>
        <v>error</v>
      </c>
      <c r="J27" s="145" t="str">
        <f>IF(COUNTIF($I28:$I32,"error")=0,SUM(R28:R32)/SUM($K28:$P32),"error")</f>
        <v>error</v>
      </c>
      <c r="S27" s="85"/>
      <c r="T27" s="85"/>
      <c r="U27" s="85"/>
      <c r="V27" s="85"/>
      <c r="W27" s="85"/>
      <c r="X27" s="85"/>
      <c r="Y27" s="85"/>
      <c r="Z27" s="85"/>
    </row>
    <row r="28" spans="1:26" ht="13" thickTop="1" x14ac:dyDescent="0.25">
      <c r="A28" s="47" t="s">
        <v>131</v>
      </c>
      <c r="B28" s="66" t="s">
        <v>231</v>
      </c>
      <c r="C28" s="67"/>
      <c r="D28" s="68"/>
      <c r="E28" s="130"/>
      <c r="F28" s="131"/>
      <c r="G28" s="68"/>
      <c r="H28" s="69"/>
      <c r="I28" s="52" t="str">
        <f>+IF(OR((SUM(K28:P28)=1),(ISBLANK(B28)=TRUE)),"       ","error")</f>
        <v>error</v>
      </c>
      <c r="J28" s="52"/>
      <c r="K28" s="1">
        <f t="shared" ref="K28:P32" si="17">+IF(AND((ISBLANK($B28)=FALSE),(C28="y")),1,0)</f>
        <v>0</v>
      </c>
      <c r="L28" s="1">
        <f t="shared" si="17"/>
        <v>0</v>
      </c>
      <c r="M28" s="1">
        <f t="shared" si="17"/>
        <v>0</v>
      </c>
      <c r="N28" s="1">
        <f t="shared" si="17"/>
        <v>0</v>
      </c>
      <c r="O28" s="1">
        <f t="shared" si="17"/>
        <v>0</v>
      </c>
      <c r="P28" s="1">
        <f t="shared" si="17"/>
        <v>0</v>
      </c>
      <c r="Q28" s="1">
        <f>10*K28+5*L28+M28</f>
        <v>0</v>
      </c>
      <c r="R28" s="1">
        <f>10*N28+5*O28</f>
        <v>0</v>
      </c>
      <c r="S28" s="81"/>
      <c r="T28" s="81"/>
      <c r="U28" s="81"/>
      <c r="V28" s="81"/>
      <c r="W28" s="81"/>
      <c r="X28" s="81"/>
      <c r="Y28" s="81"/>
      <c r="Z28" s="81"/>
    </row>
    <row r="29" spans="1:26" ht="25" x14ac:dyDescent="0.25">
      <c r="A29" s="47" t="s">
        <v>132</v>
      </c>
      <c r="B29" s="48" t="s">
        <v>201</v>
      </c>
      <c r="C29" s="54"/>
      <c r="D29" s="55"/>
      <c r="E29" s="127"/>
      <c r="F29" s="123"/>
      <c r="G29" s="55"/>
      <c r="H29" s="56"/>
      <c r="I29" s="52" t="str">
        <f>+IF(OR((SUM(K29:P29)=1),(ISBLANK(B29)=TRUE)),"       ","error")</f>
        <v>error</v>
      </c>
      <c r="J29" s="52"/>
      <c r="K29" s="1">
        <f t="shared" si="17"/>
        <v>0</v>
      </c>
      <c r="L29" s="1">
        <f t="shared" si="17"/>
        <v>0</v>
      </c>
      <c r="M29" s="1">
        <f t="shared" si="17"/>
        <v>0</v>
      </c>
      <c r="N29" s="1">
        <f t="shared" si="17"/>
        <v>0</v>
      </c>
      <c r="O29" s="1">
        <f t="shared" si="17"/>
        <v>0</v>
      </c>
      <c r="P29" s="1">
        <f t="shared" si="17"/>
        <v>0</v>
      </c>
      <c r="Q29" s="1">
        <f>10*K29+5*L29+M29</f>
        <v>0</v>
      </c>
      <c r="R29" s="1">
        <f>10*N29+5*O29</f>
        <v>0</v>
      </c>
      <c r="S29" s="81"/>
      <c r="T29" s="81"/>
      <c r="U29" s="81"/>
      <c r="V29" s="81"/>
      <c r="W29" s="81"/>
      <c r="X29" s="81"/>
      <c r="Y29" s="81"/>
      <c r="Z29" s="81"/>
    </row>
    <row r="30" spans="1:26" x14ac:dyDescent="0.25">
      <c r="A30" s="47" t="s">
        <v>133</v>
      </c>
      <c r="B30" s="66" t="s">
        <v>13</v>
      </c>
      <c r="C30" s="54"/>
      <c r="D30" s="55"/>
      <c r="E30" s="127"/>
      <c r="F30" s="123"/>
      <c r="G30" s="55"/>
      <c r="H30" s="56"/>
      <c r="I30" s="52" t="str">
        <f>+IF(OR((SUM(K30:P30)=1),(ISBLANK(B30)=TRUE)),"       ","error")</f>
        <v>error</v>
      </c>
      <c r="J30" s="52"/>
      <c r="K30" s="1">
        <f t="shared" si="17"/>
        <v>0</v>
      </c>
      <c r="L30" s="1">
        <f t="shared" si="17"/>
        <v>0</v>
      </c>
      <c r="M30" s="1">
        <f t="shared" si="17"/>
        <v>0</v>
      </c>
      <c r="N30" s="1">
        <f t="shared" si="17"/>
        <v>0</v>
      </c>
      <c r="O30" s="1">
        <f t="shared" si="17"/>
        <v>0</v>
      </c>
      <c r="P30" s="1">
        <f t="shared" si="17"/>
        <v>0</v>
      </c>
      <c r="Q30" s="1">
        <f>10*K30+5*L30+M30</f>
        <v>0</v>
      </c>
      <c r="R30" s="1">
        <f>10*N30+5*O30</f>
        <v>0</v>
      </c>
      <c r="S30" s="81"/>
      <c r="T30" s="81"/>
      <c r="U30" s="81"/>
      <c r="V30" s="81"/>
      <c r="W30" s="81"/>
      <c r="X30" s="81"/>
      <c r="Y30" s="81"/>
      <c r="Z30" s="81"/>
    </row>
    <row r="31" spans="1:26" x14ac:dyDescent="0.25">
      <c r="A31" s="47" t="s">
        <v>134</v>
      </c>
      <c r="B31" s="70" t="s">
        <v>16</v>
      </c>
      <c r="C31" s="54"/>
      <c r="D31" s="55"/>
      <c r="E31" s="127"/>
      <c r="F31" s="123"/>
      <c r="G31" s="55"/>
      <c r="H31" s="56"/>
      <c r="I31" s="52" t="str">
        <f>+IF(OR((SUM(K31:P31)=1),(ISBLANK(B31)=TRUE)),"       ","error")</f>
        <v>error</v>
      </c>
      <c r="J31" s="52"/>
      <c r="K31" s="1">
        <f t="shared" si="17"/>
        <v>0</v>
      </c>
      <c r="L31" s="1">
        <f t="shared" si="17"/>
        <v>0</v>
      </c>
      <c r="M31" s="1">
        <f t="shared" si="17"/>
        <v>0</v>
      </c>
      <c r="N31" s="1">
        <f t="shared" si="17"/>
        <v>0</v>
      </c>
      <c r="O31" s="1">
        <f t="shared" si="17"/>
        <v>0</v>
      </c>
      <c r="P31" s="1">
        <f t="shared" si="17"/>
        <v>0</v>
      </c>
      <c r="Q31" s="1">
        <f>10*K31+5*L31+M31</f>
        <v>0</v>
      </c>
      <c r="R31" s="1">
        <f>10*N31+5*O31</f>
        <v>0</v>
      </c>
      <c r="S31" s="81"/>
      <c r="T31" s="81"/>
      <c r="U31" s="81"/>
      <c r="V31" s="81"/>
      <c r="W31" s="81"/>
      <c r="X31" s="81"/>
      <c r="Y31" s="81"/>
      <c r="Z31" s="81"/>
    </row>
    <row r="32" spans="1:26" ht="13.5" thickBot="1" x14ac:dyDescent="0.3">
      <c r="A32" s="71"/>
      <c r="B32" s="66"/>
      <c r="C32" s="61"/>
      <c r="D32" s="62"/>
      <c r="E32" s="129"/>
      <c r="F32" s="125"/>
      <c r="G32" s="62"/>
      <c r="H32" s="63"/>
      <c r="I32" s="52" t="str">
        <f>+IF(OR((SUM(K32:P32)=1),(ISBLANK(B32)=TRUE)),"       ","error")</f>
        <v xml:space="preserve">       </v>
      </c>
      <c r="J32" s="52"/>
      <c r="K32" s="1">
        <f t="shared" si="17"/>
        <v>0</v>
      </c>
      <c r="L32" s="1">
        <f t="shared" si="17"/>
        <v>0</v>
      </c>
      <c r="M32" s="1">
        <f t="shared" si="17"/>
        <v>0</v>
      </c>
      <c r="N32" s="1">
        <f t="shared" si="17"/>
        <v>0</v>
      </c>
      <c r="O32" s="1">
        <f t="shared" si="17"/>
        <v>0</v>
      </c>
      <c r="P32" s="1">
        <f t="shared" si="17"/>
        <v>0</v>
      </c>
      <c r="Q32" s="1">
        <f>10*K32+5*L32+M32</f>
        <v>0</v>
      </c>
      <c r="R32" s="1">
        <f>10*N32+5*O32</f>
        <v>0</v>
      </c>
      <c r="S32" s="81"/>
      <c r="T32" s="81"/>
      <c r="U32" s="81"/>
      <c r="V32" s="81"/>
      <c r="W32" s="81"/>
      <c r="X32" s="81"/>
      <c r="Y32" s="81"/>
      <c r="Z32" s="81"/>
    </row>
    <row r="33" spans="1:26" ht="14" thickTop="1" thickBot="1" x14ac:dyDescent="0.3">
      <c r="A33" s="44" t="s">
        <v>69</v>
      </c>
      <c r="B33" s="45"/>
      <c r="C33" s="64"/>
      <c r="D33" s="64"/>
      <c r="E33" s="64"/>
      <c r="F33" s="64"/>
      <c r="G33" s="64"/>
      <c r="H33" s="64"/>
      <c r="I33" s="144" t="str">
        <f>IF(COUNTIF($I34:$I41,"error")=0,SUM(Q34:Q41)/SUM($K34:$P41),"error")</f>
        <v>error</v>
      </c>
      <c r="J33" s="145" t="str">
        <f>IF(COUNTIF($I34:$I41,"error")=0,SUM(R34:R41)/SUM($K34:$P41),"error")</f>
        <v>error</v>
      </c>
      <c r="S33" s="85"/>
      <c r="T33" s="85"/>
      <c r="U33" s="85"/>
      <c r="V33" s="85"/>
      <c r="W33" s="85"/>
      <c r="X33" s="85"/>
      <c r="Y33" s="85"/>
      <c r="Z33" s="85"/>
    </row>
    <row r="34" spans="1:26" ht="25.5" thickTop="1" x14ac:dyDescent="0.25">
      <c r="A34" s="47" t="s">
        <v>112</v>
      </c>
      <c r="B34" s="48" t="s">
        <v>119</v>
      </c>
      <c r="C34" s="67"/>
      <c r="D34" s="68"/>
      <c r="E34" s="130"/>
      <c r="F34" s="131"/>
      <c r="G34" s="68"/>
      <c r="H34" s="69"/>
      <c r="I34" s="52" t="str">
        <f t="shared" ref="I34:I41" si="18">+IF(OR((SUM(K34:P34)=1),(ISBLANK(B34)=TRUE)),"       ","error")</f>
        <v>error</v>
      </c>
      <c r="J34" s="52"/>
      <c r="K34" s="1">
        <f t="shared" ref="K34:K41" si="19">+IF(AND((ISBLANK($B34)=FALSE),(C34="y")),1,0)</f>
        <v>0</v>
      </c>
      <c r="L34" s="1">
        <f t="shared" ref="L34:L41" si="20">+IF(AND((ISBLANK($B34)=FALSE),(D34="y")),1,0)</f>
        <v>0</v>
      </c>
      <c r="M34" s="1">
        <f t="shared" ref="M34:M41" si="21">+IF(AND((ISBLANK($B34)=FALSE),(E34="y")),1,0)</f>
        <v>0</v>
      </c>
      <c r="N34" s="1">
        <f t="shared" ref="N34:N41" si="22">+IF(AND((ISBLANK($B34)=FALSE),(F34="y")),1,0)</f>
        <v>0</v>
      </c>
      <c r="O34" s="1">
        <f t="shared" ref="O34:O41" si="23">+IF(AND((ISBLANK($B34)=FALSE),(G34="y")),1,0)</f>
        <v>0</v>
      </c>
      <c r="P34" s="1">
        <f t="shared" ref="P34:P41" si="24">+IF(AND((ISBLANK($B34)=FALSE),(H34="y")),1,0)</f>
        <v>0</v>
      </c>
      <c r="Q34" s="1">
        <f>10*K34+5*L34+M34</f>
        <v>0</v>
      </c>
      <c r="R34" s="1">
        <f>10*N34+5*O34</f>
        <v>0</v>
      </c>
      <c r="S34" s="81"/>
      <c r="T34" s="81"/>
      <c r="U34" s="81"/>
      <c r="V34" s="81"/>
      <c r="W34" s="81"/>
      <c r="X34" s="81"/>
      <c r="Y34" s="81"/>
      <c r="Z34" s="81"/>
    </row>
    <row r="35" spans="1:26" ht="37.5" x14ac:dyDescent="0.25">
      <c r="A35" s="47" t="s">
        <v>113</v>
      </c>
      <c r="B35" s="48" t="s">
        <v>297</v>
      </c>
      <c r="C35" s="54"/>
      <c r="D35" s="55"/>
      <c r="E35" s="127"/>
      <c r="F35" s="123"/>
      <c r="G35" s="55"/>
      <c r="H35" s="56"/>
      <c r="I35" s="52" t="str">
        <f t="shared" si="18"/>
        <v>error</v>
      </c>
      <c r="J35" s="52"/>
      <c r="K35" s="1">
        <f t="shared" si="19"/>
        <v>0</v>
      </c>
      <c r="L35" s="1">
        <f t="shared" si="20"/>
        <v>0</v>
      </c>
      <c r="M35" s="1">
        <f t="shared" si="21"/>
        <v>0</v>
      </c>
      <c r="N35" s="1">
        <f t="shared" si="22"/>
        <v>0</v>
      </c>
      <c r="O35" s="1">
        <f t="shared" si="23"/>
        <v>0</v>
      </c>
      <c r="P35" s="1">
        <f t="shared" si="24"/>
        <v>0</v>
      </c>
      <c r="Q35" s="1">
        <f t="shared" ref="Q35:Q41" si="25">10*K35+5*L35+M35</f>
        <v>0</v>
      </c>
      <c r="R35" s="1">
        <f t="shared" ref="R35:R41" si="26">10*N35+5*O35</f>
        <v>0</v>
      </c>
      <c r="S35" s="81"/>
      <c r="T35" s="81"/>
      <c r="U35" s="81"/>
      <c r="V35" s="81"/>
      <c r="W35" s="81"/>
      <c r="X35" s="81"/>
      <c r="Y35" s="81"/>
      <c r="Z35" s="81"/>
    </row>
    <row r="36" spans="1:26" x14ac:dyDescent="0.25">
      <c r="A36" s="47" t="s">
        <v>114</v>
      </c>
      <c r="B36" s="48" t="s">
        <v>263</v>
      </c>
      <c r="C36" s="54"/>
      <c r="D36" s="55"/>
      <c r="E36" s="127"/>
      <c r="F36" s="123"/>
      <c r="G36" s="55"/>
      <c r="H36" s="56"/>
      <c r="I36" s="52" t="str">
        <f t="shared" si="18"/>
        <v>error</v>
      </c>
      <c r="J36" s="52"/>
      <c r="K36" s="1">
        <f t="shared" si="19"/>
        <v>0</v>
      </c>
      <c r="L36" s="1">
        <f t="shared" si="20"/>
        <v>0</v>
      </c>
      <c r="M36" s="1">
        <f t="shared" si="21"/>
        <v>0</v>
      </c>
      <c r="N36" s="1">
        <f t="shared" si="22"/>
        <v>0</v>
      </c>
      <c r="O36" s="1">
        <f t="shared" si="23"/>
        <v>0</v>
      </c>
      <c r="P36" s="1">
        <f t="shared" si="24"/>
        <v>0</v>
      </c>
      <c r="Q36" s="1">
        <f t="shared" si="25"/>
        <v>0</v>
      </c>
      <c r="R36" s="1">
        <f t="shared" si="26"/>
        <v>0</v>
      </c>
      <c r="S36" s="81"/>
      <c r="T36" s="81"/>
      <c r="U36" s="81"/>
      <c r="V36" s="81"/>
      <c r="W36" s="81"/>
      <c r="X36" s="81"/>
      <c r="Y36" s="81"/>
      <c r="Z36" s="81"/>
    </row>
    <row r="37" spans="1:26" ht="25" x14ac:dyDescent="0.25">
      <c r="A37" s="47" t="s">
        <v>115</v>
      </c>
      <c r="B37" s="48" t="s">
        <v>120</v>
      </c>
      <c r="C37" s="54"/>
      <c r="D37" s="55"/>
      <c r="E37" s="127"/>
      <c r="F37" s="123"/>
      <c r="G37" s="55"/>
      <c r="H37" s="56"/>
      <c r="I37" s="52" t="str">
        <f t="shared" si="18"/>
        <v>error</v>
      </c>
      <c r="J37" s="52"/>
      <c r="K37" s="1">
        <f t="shared" si="19"/>
        <v>0</v>
      </c>
      <c r="L37" s="1">
        <f t="shared" si="20"/>
        <v>0</v>
      </c>
      <c r="M37" s="1">
        <f t="shared" si="21"/>
        <v>0</v>
      </c>
      <c r="N37" s="1">
        <f t="shared" si="22"/>
        <v>0</v>
      </c>
      <c r="O37" s="1">
        <f t="shared" si="23"/>
        <v>0</v>
      </c>
      <c r="P37" s="1">
        <f t="shared" si="24"/>
        <v>0</v>
      </c>
      <c r="Q37" s="1">
        <f t="shared" si="25"/>
        <v>0</v>
      </c>
      <c r="R37" s="1">
        <f t="shared" si="26"/>
        <v>0</v>
      </c>
      <c r="S37" s="81"/>
      <c r="T37" s="81"/>
      <c r="U37" s="81"/>
      <c r="V37" s="81"/>
      <c r="W37" s="81"/>
      <c r="X37" s="81"/>
      <c r="Y37" s="81"/>
      <c r="Z37" s="81"/>
    </row>
    <row r="38" spans="1:26" x14ac:dyDescent="0.25">
      <c r="A38" s="47" t="s">
        <v>116</v>
      </c>
      <c r="B38" s="48" t="s">
        <v>18</v>
      </c>
      <c r="C38" s="54"/>
      <c r="D38" s="55"/>
      <c r="E38" s="127"/>
      <c r="F38" s="123"/>
      <c r="G38" s="55"/>
      <c r="H38" s="56"/>
      <c r="I38" s="52" t="str">
        <f t="shared" si="18"/>
        <v>error</v>
      </c>
      <c r="J38" s="52"/>
      <c r="K38" s="1">
        <f t="shared" si="19"/>
        <v>0</v>
      </c>
      <c r="L38" s="1">
        <f t="shared" si="20"/>
        <v>0</v>
      </c>
      <c r="M38" s="1">
        <f t="shared" si="21"/>
        <v>0</v>
      </c>
      <c r="N38" s="1">
        <f t="shared" si="22"/>
        <v>0</v>
      </c>
      <c r="O38" s="1">
        <f t="shared" si="23"/>
        <v>0</v>
      </c>
      <c r="P38" s="1">
        <f t="shared" si="24"/>
        <v>0</v>
      </c>
      <c r="Q38" s="1">
        <f t="shared" si="25"/>
        <v>0</v>
      </c>
      <c r="R38" s="1">
        <f t="shared" si="26"/>
        <v>0</v>
      </c>
      <c r="S38" s="81"/>
      <c r="T38" s="81"/>
      <c r="U38" s="81"/>
      <c r="V38" s="81"/>
      <c r="W38" s="81"/>
      <c r="X38" s="81"/>
      <c r="Y38" s="81"/>
      <c r="Z38" s="81"/>
    </row>
    <row r="39" spans="1:26" ht="25" x14ac:dyDescent="0.25">
      <c r="A39" s="47" t="s">
        <v>117</v>
      </c>
      <c r="B39" s="48" t="s">
        <v>262</v>
      </c>
      <c r="C39" s="54"/>
      <c r="D39" s="55"/>
      <c r="E39" s="127"/>
      <c r="F39" s="123"/>
      <c r="G39" s="55"/>
      <c r="H39" s="56"/>
      <c r="I39" s="52" t="str">
        <f>+IF(OR((SUM(K39:P39)=1),(ISBLANK(#REF!)=TRUE)),"       ","error")</f>
        <v>error</v>
      </c>
      <c r="J39" s="52"/>
      <c r="K39" s="1">
        <f>+IF(AND((ISBLANK(#REF!)=FALSE),(C39="y")),1,0)</f>
        <v>0</v>
      </c>
      <c r="L39" s="1">
        <f>+IF(AND((ISBLANK(#REF!)=FALSE),(D39="y")),1,0)</f>
        <v>0</v>
      </c>
      <c r="M39" s="1">
        <f>+IF(AND((ISBLANK(#REF!)=FALSE),(E39="y")),1,0)</f>
        <v>0</v>
      </c>
      <c r="N39" s="1">
        <f>+IF(AND((ISBLANK(#REF!)=FALSE),(F39="y")),1,0)</f>
        <v>0</v>
      </c>
      <c r="O39" s="1">
        <f>+IF(AND((ISBLANK(#REF!)=FALSE),(G39="y")),1,0)</f>
        <v>0</v>
      </c>
      <c r="P39" s="1">
        <f>+IF(AND((ISBLANK(#REF!)=FALSE),(H39="y")),1,0)</f>
        <v>0</v>
      </c>
      <c r="Q39" s="1">
        <f t="shared" si="25"/>
        <v>0</v>
      </c>
      <c r="R39" s="1">
        <f t="shared" si="26"/>
        <v>0</v>
      </c>
      <c r="S39" s="81"/>
      <c r="T39" s="81"/>
      <c r="U39" s="81"/>
      <c r="V39" s="81"/>
      <c r="W39" s="81"/>
      <c r="X39" s="81"/>
      <c r="Y39" s="81"/>
      <c r="Z39" s="81"/>
    </row>
    <row r="40" spans="1:26" ht="50" x14ac:dyDescent="0.25">
      <c r="A40" s="47" t="s">
        <v>118</v>
      </c>
      <c r="B40" s="48" t="s">
        <v>298</v>
      </c>
      <c r="C40" s="54"/>
      <c r="D40" s="55"/>
      <c r="E40" s="127"/>
      <c r="F40" s="123"/>
      <c r="G40" s="55"/>
      <c r="H40" s="56"/>
      <c r="I40" s="52" t="str">
        <f t="shared" si="18"/>
        <v>error</v>
      </c>
      <c r="J40" s="52"/>
      <c r="K40" s="1">
        <f t="shared" si="19"/>
        <v>0</v>
      </c>
      <c r="L40" s="1">
        <f t="shared" si="20"/>
        <v>0</v>
      </c>
      <c r="M40" s="1">
        <f t="shared" si="21"/>
        <v>0</v>
      </c>
      <c r="N40" s="1">
        <f t="shared" si="22"/>
        <v>0</v>
      </c>
      <c r="O40" s="1">
        <f t="shared" si="23"/>
        <v>0</v>
      </c>
      <c r="P40" s="1">
        <f t="shared" si="24"/>
        <v>0</v>
      </c>
      <c r="Q40" s="1">
        <f t="shared" si="25"/>
        <v>0</v>
      </c>
      <c r="R40" s="1">
        <f t="shared" si="26"/>
        <v>0</v>
      </c>
      <c r="S40" s="81"/>
      <c r="T40" s="81"/>
      <c r="U40" s="81"/>
      <c r="V40" s="81"/>
      <c r="W40" s="81"/>
      <c r="X40" s="81"/>
      <c r="Y40" s="81"/>
      <c r="Z40" s="81"/>
    </row>
    <row r="41" spans="1:26" ht="13" thickBot="1" x14ac:dyDescent="0.3">
      <c r="A41" s="47"/>
      <c r="B41" s="48"/>
      <c r="C41" s="61"/>
      <c r="D41" s="62"/>
      <c r="E41" s="129"/>
      <c r="F41" s="125"/>
      <c r="G41" s="62"/>
      <c r="H41" s="63"/>
      <c r="I41" s="52" t="str">
        <f t="shared" si="18"/>
        <v xml:space="preserve">       </v>
      </c>
      <c r="J41" s="52"/>
      <c r="K41" s="1">
        <f t="shared" si="19"/>
        <v>0</v>
      </c>
      <c r="L41" s="1">
        <f t="shared" si="20"/>
        <v>0</v>
      </c>
      <c r="M41" s="1">
        <f t="shared" si="21"/>
        <v>0</v>
      </c>
      <c r="N41" s="1">
        <f t="shared" si="22"/>
        <v>0</v>
      </c>
      <c r="O41" s="1">
        <f t="shared" si="23"/>
        <v>0</v>
      </c>
      <c r="P41" s="1">
        <f t="shared" si="24"/>
        <v>0</v>
      </c>
      <c r="Q41" s="1">
        <f t="shared" si="25"/>
        <v>0</v>
      </c>
      <c r="R41" s="1">
        <f t="shared" si="26"/>
        <v>0</v>
      </c>
      <c r="S41" s="81"/>
      <c r="T41" s="81"/>
      <c r="U41" s="81"/>
      <c r="V41" s="81"/>
      <c r="W41" s="81"/>
      <c r="X41" s="81"/>
      <c r="Y41" s="81"/>
      <c r="Z41" s="81"/>
    </row>
    <row r="42" spans="1:26" ht="14" thickTop="1" thickBot="1" x14ac:dyDescent="0.3">
      <c r="A42" s="44" t="s">
        <v>21</v>
      </c>
      <c r="B42" s="45"/>
      <c r="C42" s="64"/>
      <c r="D42" s="64"/>
      <c r="E42" s="64"/>
      <c r="F42" s="64"/>
      <c r="G42" s="64"/>
      <c r="H42" s="64"/>
      <c r="I42" s="144" t="str">
        <f>IF(COUNTIF($I43:$I53,"error")=0,SUM(Q43:Q53)/SUM($K43:$P53),"error")</f>
        <v>error</v>
      </c>
      <c r="J42" s="145" t="str">
        <f>IF(COUNTIF($I43:$I53,"error")=0,SUM(R43:R53)/SUM($K43:$P53),"error")</f>
        <v>error</v>
      </c>
      <c r="S42" s="85"/>
      <c r="T42" s="85"/>
      <c r="U42" s="85"/>
      <c r="V42" s="85"/>
      <c r="W42" s="85"/>
      <c r="X42" s="85"/>
      <c r="Y42" s="85"/>
      <c r="Z42" s="85"/>
    </row>
    <row r="43" spans="1:26" ht="13" thickTop="1" x14ac:dyDescent="0.25">
      <c r="A43" s="72" t="s">
        <v>91</v>
      </c>
      <c r="B43" s="48" t="s">
        <v>17</v>
      </c>
      <c r="C43" s="67"/>
      <c r="D43" s="68"/>
      <c r="E43" s="130"/>
      <c r="F43" s="131"/>
      <c r="G43" s="68"/>
      <c r="H43" s="69"/>
      <c r="I43" s="52" t="str">
        <f t="shared" ref="I43:I53" si="27">+IF(OR((SUM(K43:P43)=1),(ISBLANK(B43)=TRUE)),"       ","error")</f>
        <v>error</v>
      </c>
      <c r="J43" s="52"/>
      <c r="K43" s="1">
        <f t="shared" ref="K43:K53" si="28">+IF(AND((ISBLANK($B43)=FALSE),(C43="y")),1,0)</f>
        <v>0</v>
      </c>
      <c r="L43" s="1">
        <f t="shared" ref="L43:L53" si="29">+IF(AND((ISBLANK($B43)=FALSE),(D43="y")),1,0)</f>
        <v>0</v>
      </c>
      <c r="M43" s="1">
        <f t="shared" ref="M43:M53" si="30">+IF(AND((ISBLANK($B43)=FALSE),(E43="y")),1,0)</f>
        <v>0</v>
      </c>
      <c r="N43" s="1">
        <f t="shared" ref="N43:N53" si="31">+IF(AND((ISBLANK($B43)=FALSE),(F43="y")),1,0)</f>
        <v>0</v>
      </c>
      <c r="O43" s="1">
        <f t="shared" ref="O43:O53" si="32">+IF(AND((ISBLANK($B43)=FALSE),(G43="y")),1,0)</f>
        <v>0</v>
      </c>
      <c r="P43" s="1">
        <f t="shared" ref="P43:P53" si="33">+IF(AND((ISBLANK($B43)=FALSE),(H43="y")),1,0)</f>
        <v>0</v>
      </c>
      <c r="Q43" s="1">
        <f>10*K43+5*L43+M43</f>
        <v>0</v>
      </c>
      <c r="R43" s="1">
        <f>10*N43+5*O43</f>
        <v>0</v>
      </c>
      <c r="S43" s="81"/>
      <c r="T43" s="81"/>
      <c r="U43" s="81"/>
      <c r="V43" s="81"/>
      <c r="W43" s="81"/>
      <c r="X43" s="81"/>
      <c r="Y43" s="81"/>
      <c r="Z43" s="81"/>
    </row>
    <row r="44" spans="1:26" ht="25" x14ac:dyDescent="0.25">
      <c r="A44" s="72" t="s">
        <v>92</v>
      </c>
      <c r="B44" s="48" t="s">
        <v>129</v>
      </c>
      <c r="C44" s="73"/>
      <c r="D44" s="74"/>
      <c r="E44" s="133"/>
      <c r="F44" s="132"/>
      <c r="G44" s="74"/>
      <c r="H44" s="75"/>
      <c r="I44" s="52"/>
      <c r="J44" s="52"/>
      <c r="K44" s="1">
        <f t="shared" si="28"/>
        <v>0</v>
      </c>
      <c r="L44" s="1">
        <f t="shared" si="29"/>
        <v>0</v>
      </c>
      <c r="M44" s="1">
        <f t="shared" si="30"/>
        <v>0</v>
      </c>
      <c r="N44" s="1">
        <f t="shared" si="31"/>
        <v>0</v>
      </c>
      <c r="O44" s="1">
        <f t="shared" si="32"/>
        <v>0</v>
      </c>
      <c r="Q44" s="1">
        <f>10*K44+5*L44+M44</f>
        <v>0</v>
      </c>
      <c r="R44" s="1">
        <f>10*N44+5*O44</f>
        <v>0</v>
      </c>
      <c r="S44" s="81"/>
      <c r="T44" s="81"/>
      <c r="U44" s="81"/>
      <c r="V44" s="81"/>
      <c r="W44" s="81"/>
      <c r="X44" s="81"/>
      <c r="Y44" s="81"/>
      <c r="Z44" s="81"/>
    </row>
    <row r="45" spans="1:26" ht="25" x14ac:dyDescent="0.25">
      <c r="A45" s="72" t="s">
        <v>93</v>
      </c>
      <c r="B45" s="48" t="s">
        <v>102</v>
      </c>
      <c r="C45" s="54"/>
      <c r="D45" s="55"/>
      <c r="E45" s="127"/>
      <c r="F45" s="123"/>
      <c r="G45" s="55"/>
      <c r="H45" s="56"/>
      <c r="I45" s="52" t="str">
        <f t="shared" si="27"/>
        <v>error</v>
      </c>
      <c r="J45" s="52"/>
      <c r="K45" s="1">
        <f t="shared" si="28"/>
        <v>0</v>
      </c>
      <c r="L45" s="1">
        <f t="shared" si="29"/>
        <v>0</v>
      </c>
      <c r="M45" s="1">
        <f t="shared" si="30"/>
        <v>0</v>
      </c>
      <c r="N45" s="1">
        <f t="shared" si="31"/>
        <v>0</v>
      </c>
      <c r="O45" s="1">
        <f t="shared" si="32"/>
        <v>0</v>
      </c>
      <c r="P45" s="1">
        <f t="shared" si="33"/>
        <v>0</v>
      </c>
      <c r="Q45" s="1">
        <f t="shared" ref="Q45:Q53" si="34">10*K45+5*L45+M45</f>
        <v>0</v>
      </c>
      <c r="R45" s="1">
        <f t="shared" ref="R45:R53" si="35">10*N45+5*O45</f>
        <v>0</v>
      </c>
      <c r="S45" s="81"/>
      <c r="T45" s="81"/>
      <c r="U45" s="81"/>
      <c r="V45" s="81"/>
      <c r="W45" s="81"/>
      <c r="X45" s="81"/>
      <c r="Y45" s="81"/>
      <c r="Z45" s="81"/>
    </row>
    <row r="46" spans="1:26" ht="15" customHeight="1" x14ac:dyDescent="0.25">
      <c r="A46" s="72" t="s">
        <v>94</v>
      </c>
      <c r="B46" s="48" t="s">
        <v>103</v>
      </c>
      <c r="C46" s="54"/>
      <c r="D46" s="55"/>
      <c r="E46" s="127"/>
      <c r="F46" s="123"/>
      <c r="G46" s="55"/>
      <c r="H46" s="56"/>
      <c r="I46" s="52" t="str">
        <f t="shared" si="27"/>
        <v>error</v>
      </c>
      <c r="J46" s="52"/>
      <c r="K46" s="1">
        <f t="shared" si="28"/>
        <v>0</v>
      </c>
      <c r="L46" s="1">
        <f t="shared" si="29"/>
        <v>0</v>
      </c>
      <c r="M46" s="1">
        <f t="shared" si="30"/>
        <v>0</v>
      </c>
      <c r="N46" s="1">
        <f t="shared" si="31"/>
        <v>0</v>
      </c>
      <c r="O46" s="1">
        <f t="shared" si="32"/>
        <v>0</v>
      </c>
      <c r="P46" s="1">
        <f t="shared" si="33"/>
        <v>0</v>
      </c>
      <c r="Q46" s="1">
        <f t="shared" si="34"/>
        <v>0</v>
      </c>
      <c r="R46" s="1">
        <f t="shared" si="35"/>
        <v>0</v>
      </c>
      <c r="S46" s="81"/>
      <c r="T46" s="81"/>
      <c r="U46" s="81"/>
      <c r="V46" s="81"/>
      <c r="W46" s="81"/>
      <c r="X46" s="81"/>
      <c r="Y46" s="81"/>
      <c r="Z46" s="81"/>
    </row>
    <row r="47" spans="1:26" ht="25" x14ac:dyDescent="0.25">
      <c r="A47" s="72" t="s">
        <v>95</v>
      </c>
      <c r="B47" s="48" t="s">
        <v>107</v>
      </c>
      <c r="C47" s="54"/>
      <c r="D47" s="55"/>
      <c r="E47" s="127"/>
      <c r="F47" s="123"/>
      <c r="G47" s="55"/>
      <c r="H47" s="56"/>
      <c r="I47" s="52" t="str">
        <f t="shared" si="27"/>
        <v>error</v>
      </c>
      <c r="J47" s="52"/>
      <c r="K47" s="1">
        <f t="shared" si="28"/>
        <v>0</v>
      </c>
      <c r="L47" s="1">
        <f t="shared" si="29"/>
        <v>0</v>
      </c>
      <c r="M47" s="1">
        <f t="shared" si="30"/>
        <v>0</v>
      </c>
      <c r="N47" s="1">
        <f t="shared" si="31"/>
        <v>0</v>
      </c>
      <c r="O47" s="1">
        <f t="shared" si="32"/>
        <v>0</v>
      </c>
      <c r="P47" s="1">
        <f t="shared" si="33"/>
        <v>0</v>
      </c>
      <c r="Q47" s="1">
        <f t="shared" si="34"/>
        <v>0</v>
      </c>
      <c r="R47" s="1">
        <f t="shared" si="35"/>
        <v>0</v>
      </c>
      <c r="S47" s="81"/>
      <c r="T47" s="81"/>
      <c r="U47" s="81"/>
      <c r="V47" s="81"/>
      <c r="W47" s="81"/>
      <c r="X47" s="81"/>
      <c r="Y47" s="81"/>
      <c r="Z47" s="81"/>
    </row>
    <row r="48" spans="1:26" x14ac:dyDescent="0.25">
      <c r="A48" s="72" t="s">
        <v>96</v>
      </c>
      <c r="B48" s="48" t="s">
        <v>105</v>
      </c>
      <c r="C48" s="54"/>
      <c r="D48" s="55"/>
      <c r="E48" s="127"/>
      <c r="F48" s="123"/>
      <c r="G48" s="55"/>
      <c r="H48" s="56"/>
      <c r="I48" s="52" t="str">
        <f t="shared" si="27"/>
        <v>error</v>
      </c>
      <c r="J48" s="52"/>
      <c r="K48" s="1">
        <f t="shared" si="28"/>
        <v>0</v>
      </c>
      <c r="L48" s="1">
        <f t="shared" si="29"/>
        <v>0</v>
      </c>
      <c r="M48" s="1">
        <f t="shared" si="30"/>
        <v>0</v>
      </c>
      <c r="N48" s="1">
        <f t="shared" si="31"/>
        <v>0</v>
      </c>
      <c r="O48" s="1">
        <f t="shared" si="32"/>
        <v>0</v>
      </c>
      <c r="P48" s="1">
        <f t="shared" si="33"/>
        <v>0</v>
      </c>
      <c r="Q48" s="1">
        <f t="shared" si="34"/>
        <v>0</v>
      </c>
      <c r="R48" s="1">
        <f t="shared" si="35"/>
        <v>0</v>
      </c>
      <c r="S48" s="81"/>
      <c r="T48" s="81"/>
      <c r="U48" s="81"/>
      <c r="V48" s="81"/>
      <c r="W48" s="81"/>
      <c r="X48" s="81"/>
      <c r="Y48" s="81"/>
      <c r="Z48" s="81"/>
    </row>
    <row r="49" spans="1:26" x14ac:dyDescent="0.25">
      <c r="A49" s="72" t="s">
        <v>97</v>
      </c>
      <c r="B49" s="48" t="s">
        <v>106</v>
      </c>
      <c r="C49" s="54"/>
      <c r="D49" s="55"/>
      <c r="E49" s="127"/>
      <c r="F49" s="123"/>
      <c r="G49" s="55"/>
      <c r="H49" s="56"/>
      <c r="I49" s="52"/>
      <c r="J49" s="52"/>
      <c r="K49" s="1">
        <f t="shared" ref="K49:P50" si="36">+IF(AND((ISBLANK($B49)=FALSE),(C49="y")),1,0)</f>
        <v>0</v>
      </c>
      <c r="L49" s="1">
        <f t="shared" si="36"/>
        <v>0</v>
      </c>
      <c r="M49" s="1">
        <f t="shared" si="36"/>
        <v>0</v>
      </c>
      <c r="N49" s="1">
        <f t="shared" si="36"/>
        <v>0</v>
      </c>
      <c r="O49" s="1">
        <f t="shared" si="36"/>
        <v>0</v>
      </c>
      <c r="P49" s="1">
        <f t="shared" si="36"/>
        <v>0</v>
      </c>
      <c r="Q49" s="1">
        <f>10*K49+5*L49+M49</f>
        <v>0</v>
      </c>
      <c r="R49" s="1">
        <f>10*N49+5*O49</f>
        <v>0</v>
      </c>
      <c r="S49" s="81"/>
      <c r="T49" s="81"/>
      <c r="U49" s="81"/>
      <c r="V49" s="81"/>
      <c r="W49" s="81"/>
      <c r="X49" s="81"/>
      <c r="Y49" s="81"/>
      <c r="Z49" s="81"/>
    </row>
    <row r="50" spans="1:26" ht="25" x14ac:dyDescent="0.25">
      <c r="A50" s="72" t="s">
        <v>98</v>
      </c>
      <c r="B50" s="48" t="s">
        <v>104</v>
      </c>
      <c r="C50" s="54"/>
      <c r="D50" s="55"/>
      <c r="E50" s="127"/>
      <c r="F50" s="123"/>
      <c r="G50" s="55"/>
      <c r="H50" s="56"/>
      <c r="I50" s="52"/>
      <c r="J50" s="52"/>
      <c r="K50" s="1">
        <f t="shared" si="36"/>
        <v>0</v>
      </c>
      <c r="L50" s="1">
        <f t="shared" si="36"/>
        <v>0</v>
      </c>
      <c r="M50" s="1">
        <f t="shared" si="36"/>
        <v>0</v>
      </c>
      <c r="N50" s="1">
        <f t="shared" si="36"/>
        <v>0</v>
      </c>
      <c r="O50" s="1">
        <f t="shared" si="36"/>
        <v>0</v>
      </c>
      <c r="P50" s="1">
        <f t="shared" si="36"/>
        <v>0</v>
      </c>
      <c r="Q50" s="1">
        <f>10*K50+5*L50+M50</f>
        <v>0</v>
      </c>
      <c r="R50" s="1">
        <f>10*N50+5*O50</f>
        <v>0</v>
      </c>
      <c r="S50" s="81"/>
      <c r="T50" s="81"/>
      <c r="U50" s="81"/>
      <c r="V50" s="81"/>
      <c r="W50" s="81"/>
      <c r="X50" s="81"/>
      <c r="Y50" s="81"/>
      <c r="Z50" s="81"/>
    </row>
    <row r="51" spans="1:26" x14ac:dyDescent="0.25">
      <c r="A51" s="72" t="s">
        <v>99</v>
      </c>
      <c r="B51" s="48" t="s">
        <v>19</v>
      </c>
      <c r="C51" s="54"/>
      <c r="D51" s="55"/>
      <c r="E51" s="127"/>
      <c r="F51" s="123"/>
      <c r="G51" s="55"/>
      <c r="H51" s="56"/>
      <c r="I51" s="52" t="str">
        <f t="shared" si="27"/>
        <v>error</v>
      </c>
      <c r="J51" s="52"/>
      <c r="K51" s="1">
        <f t="shared" si="28"/>
        <v>0</v>
      </c>
      <c r="L51" s="1">
        <f t="shared" si="29"/>
        <v>0</v>
      </c>
      <c r="M51" s="1">
        <f t="shared" si="30"/>
        <v>0</v>
      </c>
      <c r="N51" s="1">
        <f t="shared" si="31"/>
        <v>0</v>
      </c>
      <c r="O51" s="1">
        <f t="shared" si="32"/>
        <v>0</v>
      </c>
      <c r="P51" s="1">
        <f t="shared" si="33"/>
        <v>0</v>
      </c>
      <c r="Q51" s="1">
        <f t="shared" si="34"/>
        <v>0</v>
      </c>
      <c r="R51" s="1">
        <f t="shared" si="35"/>
        <v>0</v>
      </c>
      <c r="S51" s="81"/>
      <c r="T51" s="81"/>
      <c r="U51" s="81"/>
      <c r="V51" s="81"/>
      <c r="W51" s="81"/>
      <c r="X51" s="81"/>
      <c r="Y51" s="81"/>
      <c r="Z51" s="81"/>
    </row>
    <row r="52" spans="1:26" x14ac:dyDescent="0.25">
      <c r="A52" s="72" t="s">
        <v>130</v>
      </c>
      <c r="B52" s="48" t="s">
        <v>20</v>
      </c>
      <c r="C52" s="54"/>
      <c r="D52" s="55"/>
      <c r="E52" s="127"/>
      <c r="F52" s="123"/>
      <c r="G52" s="55"/>
      <c r="H52" s="56"/>
      <c r="I52" s="52" t="str">
        <f t="shared" si="27"/>
        <v>error</v>
      </c>
      <c r="J52" s="52"/>
      <c r="K52" s="1">
        <f t="shared" si="28"/>
        <v>0</v>
      </c>
      <c r="L52" s="1">
        <f t="shared" si="29"/>
        <v>0</v>
      </c>
      <c r="M52" s="1">
        <f t="shared" si="30"/>
        <v>0</v>
      </c>
      <c r="N52" s="1">
        <f t="shared" si="31"/>
        <v>0</v>
      </c>
      <c r="O52" s="1">
        <f t="shared" si="32"/>
        <v>0</v>
      </c>
      <c r="P52" s="1">
        <f t="shared" si="33"/>
        <v>0</v>
      </c>
      <c r="Q52" s="1">
        <f t="shared" si="34"/>
        <v>0</v>
      </c>
      <c r="R52" s="1">
        <f t="shared" si="35"/>
        <v>0</v>
      </c>
      <c r="S52" s="81"/>
      <c r="T52" s="81"/>
      <c r="U52" s="81"/>
      <c r="V52" s="81"/>
      <c r="W52" s="81"/>
      <c r="X52" s="81"/>
      <c r="Y52" s="81"/>
      <c r="Z52" s="81"/>
    </row>
    <row r="53" spans="1:26" ht="13" thickBot="1" x14ac:dyDescent="0.3">
      <c r="A53" s="52"/>
      <c r="B53" s="48"/>
      <c r="C53" s="61"/>
      <c r="D53" s="62"/>
      <c r="E53" s="129"/>
      <c r="F53" s="125"/>
      <c r="G53" s="62"/>
      <c r="H53" s="63"/>
      <c r="I53" s="52" t="str">
        <f t="shared" si="27"/>
        <v xml:space="preserve">       </v>
      </c>
      <c r="J53" s="52"/>
      <c r="K53" s="1">
        <f t="shared" si="28"/>
        <v>0</v>
      </c>
      <c r="L53" s="1">
        <f t="shared" si="29"/>
        <v>0</v>
      </c>
      <c r="M53" s="1">
        <f t="shared" si="30"/>
        <v>0</v>
      </c>
      <c r="N53" s="1">
        <f t="shared" si="31"/>
        <v>0</v>
      </c>
      <c r="O53" s="1">
        <f t="shared" si="32"/>
        <v>0</v>
      </c>
      <c r="P53" s="1">
        <f t="shared" si="33"/>
        <v>0</v>
      </c>
      <c r="Q53" s="1">
        <f t="shared" si="34"/>
        <v>0</v>
      </c>
      <c r="R53" s="1">
        <f t="shared" si="35"/>
        <v>0</v>
      </c>
      <c r="S53" s="81"/>
      <c r="T53" s="81"/>
      <c r="U53" s="81"/>
      <c r="V53" s="81"/>
      <c r="W53" s="81"/>
      <c r="X53" s="81"/>
      <c r="Y53" s="81"/>
      <c r="Z53" s="81"/>
    </row>
    <row r="54" spans="1:26" ht="14" thickTop="1" thickBot="1" x14ac:dyDescent="0.3">
      <c r="A54" s="44" t="s">
        <v>22</v>
      </c>
      <c r="B54" s="45"/>
      <c r="C54" s="64"/>
      <c r="D54" s="64"/>
      <c r="E54" s="64"/>
      <c r="F54" s="64"/>
      <c r="G54" s="64"/>
      <c r="H54" s="64"/>
      <c r="I54" s="144" t="str">
        <f>IF(COUNTIF($I55:$I57,"error")=0,SUM(Q55:Q57)/SUM($K55:$P57),"error")</f>
        <v>error</v>
      </c>
      <c r="J54" s="145" t="str">
        <f>IF(COUNTIF($I55:$I57,"error")=0,SUM(R55:R57)/SUM($K55:$P57),"error")</f>
        <v>error</v>
      </c>
      <c r="S54" s="85"/>
      <c r="T54" s="85"/>
      <c r="U54" s="85"/>
      <c r="V54" s="85"/>
      <c r="W54" s="85"/>
      <c r="X54" s="85"/>
      <c r="Y54" s="85"/>
      <c r="Z54" s="85"/>
    </row>
    <row r="55" spans="1:26" ht="25.5" thickTop="1" x14ac:dyDescent="0.25">
      <c r="A55" s="72" t="s">
        <v>100</v>
      </c>
      <c r="B55" s="60" t="s">
        <v>127</v>
      </c>
      <c r="C55" s="67"/>
      <c r="D55" s="68"/>
      <c r="E55" s="130"/>
      <c r="F55" s="131"/>
      <c r="G55" s="68"/>
      <c r="H55" s="69"/>
      <c r="I55" s="52" t="str">
        <f>+IF(OR((SUM(K55:P55)=1),(ISBLANK(B55)=TRUE)),"       ","error")</f>
        <v>error</v>
      </c>
      <c r="J55" s="52"/>
      <c r="K55" s="1">
        <f t="shared" ref="K55:P57" si="37">+IF(AND((ISBLANK($B55)=FALSE),(C55="y")),1,0)</f>
        <v>0</v>
      </c>
      <c r="L55" s="1">
        <f t="shared" si="37"/>
        <v>0</v>
      </c>
      <c r="M55" s="1">
        <f t="shared" si="37"/>
        <v>0</v>
      </c>
      <c r="N55" s="1">
        <f t="shared" si="37"/>
        <v>0</v>
      </c>
      <c r="O55" s="1">
        <f t="shared" si="37"/>
        <v>0</v>
      </c>
      <c r="P55" s="1">
        <f t="shared" si="37"/>
        <v>0</v>
      </c>
      <c r="Q55" s="1">
        <f>10*K55+5*L55+M55</f>
        <v>0</v>
      </c>
      <c r="R55" s="1">
        <f>10*N55+5*O55</f>
        <v>0</v>
      </c>
      <c r="S55" s="81"/>
      <c r="T55" s="81"/>
      <c r="U55" s="81"/>
      <c r="V55" s="81"/>
      <c r="W55" s="81"/>
      <c r="X55" s="81"/>
      <c r="Y55" s="81"/>
      <c r="Z55" s="81"/>
    </row>
    <row r="56" spans="1:26" ht="25" x14ac:dyDescent="0.25">
      <c r="A56" s="47" t="s">
        <v>101</v>
      </c>
      <c r="B56" s="60" t="s">
        <v>108</v>
      </c>
      <c r="C56" s="54"/>
      <c r="D56" s="55"/>
      <c r="E56" s="127"/>
      <c r="F56" s="123"/>
      <c r="G56" s="55"/>
      <c r="H56" s="56"/>
      <c r="I56" s="52" t="str">
        <f>+IF(OR((SUM(K56:P56)=1),(ISBLANK(B56)=TRUE)),"       ","error")</f>
        <v>error</v>
      </c>
      <c r="J56" s="52"/>
      <c r="K56" s="1">
        <f t="shared" si="37"/>
        <v>0</v>
      </c>
      <c r="L56" s="1">
        <f t="shared" si="37"/>
        <v>0</v>
      </c>
      <c r="M56" s="1">
        <f t="shared" si="37"/>
        <v>0</v>
      </c>
      <c r="N56" s="1">
        <f t="shared" si="37"/>
        <v>0</v>
      </c>
      <c r="O56" s="1">
        <f t="shared" si="37"/>
        <v>0</v>
      </c>
      <c r="P56" s="1">
        <f t="shared" si="37"/>
        <v>0</v>
      </c>
      <c r="Q56" s="1">
        <f>10*K56+5*L56+M56</f>
        <v>0</v>
      </c>
      <c r="R56" s="1">
        <f>10*N56+5*O56</f>
        <v>0</v>
      </c>
      <c r="S56" s="81"/>
      <c r="T56" s="81"/>
      <c r="U56" s="81"/>
      <c r="V56" s="81"/>
      <c r="W56" s="81"/>
      <c r="X56" s="81"/>
      <c r="Y56" s="81"/>
      <c r="Z56" s="81"/>
    </row>
    <row r="57" spans="1:26" ht="13" thickBot="1" x14ac:dyDescent="0.3">
      <c r="A57" s="47"/>
      <c r="B57" s="48"/>
      <c r="C57" s="61"/>
      <c r="D57" s="62"/>
      <c r="E57" s="129"/>
      <c r="F57" s="125"/>
      <c r="G57" s="62"/>
      <c r="H57" s="63"/>
      <c r="I57" s="52" t="str">
        <f>+IF(OR((SUM(K57:P57)=1),(ISBLANK(B57)=TRUE)),"       ","error")</f>
        <v xml:space="preserve">       </v>
      </c>
      <c r="J57" s="52"/>
      <c r="K57" s="1">
        <f t="shared" si="37"/>
        <v>0</v>
      </c>
      <c r="L57" s="1">
        <f t="shared" si="37"/>
        <v>0</v>
      </c>
      <c r="M57" s="1">
        <f t="shared" si="37"/>
        <v>0</v>
      </c>
      <c r="N57" s="1">
        <f t="shared" si="37"/>
        <v>0</v>
      </c>
      <c r="O57" s="1">
        <f t="shared" si="37"/>
        <v>0</v>
      </c>
      <c r="P57" s="1">
        <f t="shared" si="37"/>
        <v>0</v>
      </c>
      <c r="Q57" s="1">
        <f>10*K57+5*L57+M57</f>
        <v>0</v>
      </c>
      <c r="R57" s="1">
        <f>10*N57+5*O57</f>
        <v>0</v>
      </c>
      <c r="S57" s="81"/>
      <c r="T57" s="81"/>
      <c r="U57" s="81"/>
      <c r="V57" s="81"/>
      <c r="W57" s="81"/>
      <c r="X57" s="81"/>
      <c r="Y57" s="81"/>
      <c r="Z57" s="81"/>
    </row>
    <row r="58" spans="1:26" ht="14" thickTop="1" thickBot="1" x14ac:dyDescent="0.3">
      <c r="A58" s="94" t="s">
        <v>210</v>
      </c>
      <c r="B58" s="146"/>
      <c r="C58" s="147"/>
      <c r="D58" s="147"/>
      <c r="E58" s="147"/>
      <c r="F58" s="147"/>
      <c r="G58" s="147"/>
      <c r="H58" s="147"/>
      <c r="I58" s="158" t="e">
        <f>AVERAGE(I59:I131)</f>
        <v>#DIV/0!</v>
      </c>
      <c r="J58" s="159" t="e">
        <f>AVERAGE(J59:J131)</f>
        <v>#DIV/0!</v>
      </c>
      <c r="S58" s="148"/>
      <c r="T58" s="148"/>
      <c r="U58" s="148"/>
      <c r="V58" s="148"/>
      <c r="W58" s="148"/>
      <c r="X58" s="148"/>
      <c r="Y58" s="148"/>
      <c r="Z58" s="148"/>
    </row>
    <row r="59" spans="1:26" ht="14" thickTop="1" thickBot="1" x14ac:dyDescent="0.3">
      <c r="A59" s="44" t="s">
        <v>50</v>
      </c>
      <c r="B59" s="45"/>
      <c r="C59" s="77"/>
      <c r="D59" s="77"/>
      <c r="E59" s="77"/>
      <c r="F59" s="77"/>
      <c r="G59" s="77"/>
      <c r="H59" s="77"/>
      <c r="I59" s="144" t="str">
        <f>IF(COUNTIF($I60:$I66,"error")=0,SUM(Q60:Q66)/SUM($K60:$P66),"error")</f>
        <v>error</v>
      </c>
      <c r="J59" s="145" t="str">
        <f>IF(COUNTIF($I60:$I66,"error")=0,SUM(R60:R66)/SUM($K60:$P66),"error")</f>
        <v>error</v>
      </c>
      <c r="S59" s="85"/>
      <c r="T59" s="85"/>
      <c r="U59" s="85"/>
      <c r="V59" s="85"/>
      <c r="W59" s="85"/>
      <c r="X59" s="85"/>
      <c r="Y59" s="85"/>
      <c r="Z59" s="85"/>
    </row>
    <row r="60" spans="1:26" ht="25.5" thickTop="1" x14ac:dyDescent="0.25">
      <c r="A60" s="46" t="s">
        <v>138</v>
      </c>
      <c r="B60" s="48" t="s">
        <v>202</v>
      </c>
      <c r="C60" s="67"/>
      <c r="D60" s="68"/>
      <c r="E60" s="130"/>
      <c r="F60" s="131"/>
      <c r="G60" s="68"/>
      <c r="H60" s="69"/>
      <c r="I60" s="52" t="str">
        <f t="shared" ref="I60:I66" si="38">+IF(OR((SUM(K60:P60)=1),(ISBLANK(B60)=TRUE)),"       ","error")</f>
        <v>error</v>
      </c>
      <c r="J60" s="52"/>
      <c r="K60" s="1">
        <f t="shared" ref="K60:K66" si="39">+IF(AND((ISBLANK($B60)=FALSE),(C60="y")),1,0)</f>
        <v>0</v>
      </c>
      <c r="L60" s="1">
        <f t="shared" ref="L60:L66" si="40">+IF(AND((ISBLANK($B60)=FALSE),(D60="y")),1,0)</f>
        <v>0</v>
      </c>
      <c r="M60" s="1">
        <f t="shared" ref="M60:M66" si="41">+IF(AND((ISBLANK($B60)=FALSE),(E60="y")),1,0)</f>
        <v>0</v>
      </c>
      <c r="N60" s="1">
        <f t="shared" ref="N60:N66" si="42">+IF(AND((ISBLANK($B60)=FALSE),(F60="y")),1,0)</f>
        <v>0</v>
      </c>
      <c r="O60" s="1">
        <f t="shared" ref="O60:O66" si="43">+IF(AND((ISBLANK($B60)=FALSE),(G60="y")),1,0)</f>
        <v>0</v>
      </c>
      <c r="P60" s="1">
        <f t="shared" ref="P60:P66" si="44">+IF(AND((ISBLANK($B60)=FALSE),(H60="y")),1,0)</f>
        <v>0</v>
      </c>
      <c r="Q60" s="1">
        <f t="shared" ref="Q60:Q66" si="45">10*K60+5*L60+M60</f>
        <v>0</v>
      </c>
      <c r="R60" s="1">
        <f t="shared" ref="R60:R66" si="46">10*N60+5*O60</f>
        <v>0</v>
      </c>
      <c r="S60" s="81"/>
      <c r="T60" s="81"/>
      <c r="U60" s="81"/>
      <c r="V60" s="81"/>
      <c r="W60" s="81"/>
      <c r="X60" s="81"/>
      <c r="Y60" s="81"/>
      <c r="Z60" s="81"/>
    </row>
    <row r="61" spans="1:26" ht="25" x14ac:dyDescent="0.25">
      <c r="A61" s="52" t="s">
        <v>139</v>
      </c>
      <c r="B61" s="48" t="s">
        <v>208</v>
      </c>
      <c r="C61" s="54"/>
      <c r="D61" s="55"/>
      <c r="E61" s="127"/>
      <c r="F61" s="123"/>
      <c r="G61" s="55"/>
      <c r="H61" s="56"/>
      <c r="I61" s="52" t="str">
        <f t="shared" si="38"/>
        <v>error</v>
      </c>
      <c r="J61" s="52"/>
      <c r="K61" s="1">
        <f t="shared" si="39"/>
        <v>0</v>
      </c>
      <c r="L61" s="1">
        <f t="shared" si="40"/>
        <v>0</v>
      </c>
      <c r="M61" s="1">
        <f t="shared" si="41"/>
        <v>0</v>
      </c>
      <c r="N61" s="1">
        <f t="shared" si="42"/>
        <v>0</v>
      </c>
      <c r="O61" s="1">
        <f t="shared" si="43"/>
        <v>0</v>
      </c>
      <c r="P61" s="1">
        <f t="shared" si="44"/>
        <v>0</v>
      </c>
      <c r="Q61" s="1">
        <f t="shared" si="45"/>
        <v>0</v>
      </c>
      <c r="R61" s="1">
        <f t="shared" si="46"/>
        <v>0</v>
      </c>
      <c r="S61" s="81"/>
      <c r="T61" s="81"/>
      <c r="U61" s="81"/>
      <c r="V61" s="81"/>
      <c r="W61" s="81"/>
      <c r="X61" s="81"/>
      <c r="Y61" s="81"/>
      <c r="Z61" s="81"/>
    </row>
    <row r="62" spans="1:26" ht="25" x14ac:dyDescent="0.25">
      <c r="A62" s="52" t="s">
        <v>140</v>
      </c>
      <c r="B62" s="48" t="s">
        <v>203</v>
      </c>
      <c r="C62" s="54"/>
      <c r="D62" s="55"/>
      <c r="E62" s="127"/>
      <c r="F62" s="123"/>
      <c r="G62" s="55"/>
      <c r="H62" s="56"/>
      <c r="I62" s="52" t="str">
        <f t="shared" si="38"/>
        <v>error</v>
      </c>
      <c r="J62" s="52"/>
      <c r="K62" s="1">
        <f t="shared" si="39"/>
        <v>0</v>
      </c>
      <c r="L62" s="1">
        <f t="shared" si="40"/>
        <v>0</v>
      </c>
      <c r="M62" s="1">
        <f t="shared" si="41"/>
        <v>0</v>
      </c>
      <c r="N62" s="1">
        <f t="shared" si="42"/>
        <v>0</v>
      </c>
      <c r="O62" s="1">
        <f t="shared" si="43"/>
        <v>0</v>
      </c>
      <c r="P62" s="1">
        <f t="shared" si="44"/>
        <v>0</v>
      </c>
      <c r="Q62" s="1">
        <f t="shared" si="45"/>
        <v>0</v>
      </c>
      <c r="R62" s="1">
        <f t="shared" si="46"/>
        <v>0</v>
      </c>
      <c r="S62" s="81"/>
      <c r="T62" s="81"/>
      <c r="U62" s="81"/>
      <c r="V62" s="81"/>
      <c r="W62" s="81"/>
      <c r="X62" s="81"/>
      <c r="Y62" s="81"/>
      <c r="Z62" s="81"/>
    </row>
    <row r="63" spans="1:26" ht="25" x14ac:dyDescent="0.25">
      <c r="A63" s="52" t="s">
        <v>141</v>
      </c>
      <c r="B63" s="48" t="s">
        <v>204</v>
      </c>
      <c r="C63" s="54"/>
      <c r="D63" s="55"/>
      <c r="E63" s="127"/>
      <c r="F63" s="123"/>
      <c r="G63" s="55"/>
      <c r="H63" s="56"/>
      <c r="I63" s="52" t="str">
        <f t="shared" si="38"/>
        <v>error</v>
      </c>
      <c r="J63" s="52"/>
      <c r="K63" s="1">
        <f t="shared" si="39"/>
        <v>0</v>
      </c>
      <c r="L63" s="1">
        <f t="shared" si="40"/>
        <v>0</v>
      </c>
      <c r="M63" s="1">
        <f t="shared" si="41"/>
        <v>0</v>
      </c>
      <c r="N63" s="1">
        <f t="shared" si="42"/>
        <v>0</v>
      </c>
      <c r="O63" s="1">
        <f t="shared" si="43"/>
        <v>0</v>
      </c>
      <c r="P63" s="1">
        <f t="shared" si="44"/>
        <v>0</v>
      </c>
      <c r="Q63" s="1">
        <f t="shared" si="45"/>
        <v>0</v>
      </c>
      <c r="R63" s="1">
        <f t="shared" si="46"/>
        <v>0</v>
      </c>
      <c r="S63" s="81"/>
      <c r="T63" s="81"/>
      <c r="U63" s="81"/>
      <c r="V63" s="81"/>
      <c r="W63" s="81"/>
      <c r="X63" s="81"/>
      <c r="Y63" s="81"/>
      <c r="Z63" s="81"/>
    </row>
    <row r="64" spans="1:26" ht="25" x14ac:dyDescent="0.25">
      <c r="A64" s="52" t="s">
        <v>142</v>
      </c>
      <c r="B64" s="48" t="s">
        <v>205</v>
      </c>
      <c r="C64" s="54"/>
      <c r="D64" s="55"/>
      <c r="E64" s="127"/>
      <c r="F64" s="123"/>
      <c r="G64" s="55"/>
      <c r="H64" s="56"/>
      <c r="I64" s="52" t="str">
        <f t="shared" si="38"/>
        <v>error</v>
      </c>
      <c r="J64" s="52"/>
      <c r="K64" s="1">
        <f t="shared" si="39"/>
        <v>0</v>
      </c>
      <c r="L64" s="1">
        <f t="shared" si="40"/>
        <v>0</v>
      </c>
      <c r="M64" s="1">
        <f t="shared" si="41"/>
        <v>0</v>
      </c>
      <c r="N64" s="1">
        <f t="shared" si="42"/>
        <v>0</v>
      </c>
      <c r="O64" s="1">
        <f t="shared" si="43"/>
        <v>0</v>
      </c>
      <c r="P64" s="1">
        <f t="shared" si="44"/>
        <v>0</v>
      </c>
      <c r="Q64" s="1">
        <f t="shared" si="45"/>
        <v>0</v>
      </c>
      <c r="R64" s="1">
        <f t="shared" si="46"/>
        <v>0</v>
      </c>
      <c r="S64" s="81"/>
      <c r="T64" s="81"/>
      <c r="U64" s="81"/>
      <c r="V64" s="81"/>
      <c r="W64" s="81"/>
      <c r="X64" s="81"/>
      <c r="Y64" s="81"/>
      <c r="Z64" s="81"/>
    </row>
    <row r="65" spans="1:26" ht="25" x14ac:dyDescent="0.25">
      <c r="A65" s="52" t="s">
        <v>207</v>
      </c>
      <c r="B65" s="48" t="s">
        <v>206</v>
      </c>
      <c r="C65" s="78"/>
      <c r="D65" s="79"/>
      <c r="E65" s="135"/>
      <c r="F65" s="134"/>
      <c r="G65" s="79"/>
      <c r="H65" s="80"/>
      <c r="I65" s="52" t="str">
        <f t="shared" si="38"/>
        <v>error</v>
      </c>
      <c r="J65" s="52"/>
      <c r="K65" s="1">
        <f t="shared" ref="K65:P65" si="47">+IF(AND((ISBLANK($B65)=FALSE),(C65="y")),1,0)</f>
        <v>0</v>
      </c>
      <c r="L65" s="1">
        <f t="shared" si="47"/>
        <v>0</v>
      </c>
      <c r="M65" s="1">
        <f t="shared" si="47"/>
        <v>0</v>
      </c>
      <c r="N65" s="1">
        <f t="shared" si="47"/>
        <v>0</v>
      </c>
      <c r="O65" s="1">
        <f t="shared" si="47"/>
        <v>0</v>
      </c>
      <c r="P65" s="1">
        <f t="shared" si="47"/>
        <v>0</v>
      </c>
      <c r="Q65" s="1">
        <f>10*K65+5*L65+M65</f>
        <v>0</v>
      </c>
      <c r="R65" s="1">
        <f>10*N65+5*O65</f>
        <v>0</v>
      </c>
      <c r="S65" s="81"/>
      <c r="T65" s="81"/>
      <c r="U65" s="81"/>
      <c r="V65" s="81"/>
      <c r="W65" s="81"/>
      <c r="X65" s="81"/>
      <c r="Y65" s="81"/>
      <c r="Z65" s="81"/>
    </row>
    <row r="66" spans="1:26" ht="13" thickBot="1" x14ac:dyDescent="0.3">
      <c r="A66" s="52"/>
      <c r="B66" s="48"/>
      <c r="C66" s="61"/>
      <c r="D66" s="62"/>
      <c r="E66" s="129"/>
      <c r="F66" s="125"/>
      <c r="G66" s="62"/>
      <c r="H66" s="63"/>
      <c r="I66" s="52" t="str">
        <f t="shared" si="38"/>
        <v xml:space="preserve">       </v>
      </c>
      <c r="J66" s="52"/>
      <c r="K66" s="1">
        <f t="shared" si="39"/>
        <v>0</v>
      </c>
      <c r="L66" s="1">
        <f t="shared" si="40"/>
        <v>0</v>
      </c>
      <c r="M66" s="1">
        <f t="shared" si="41"/>
        <v>0</v>
      </c>
      <c r="N66" s="1">
        <f t="shared" si="42"/>
        <v>0</v>
      </c>
      <c r="O66" s="1">
        <f t="shared" si="43"/>
        <v>0</v>
      </c>
      <c r="P66" s="1">
        <f t="shared" si="44"/>
        <v>0</v>
      </c>
      <c r="Q66" s="1">
        <f t="shared" si="45"/>
        <v>0</v>
      </c>
      <c r="R66" s="1">
        <f t="shared" si="46"/>
        <v>0</v>
      </c>
      <c r="S66" s="81"/>
      <c r="T66" s="81"/>
      <c r="U66" s="81"/>
      <c r="V66" s="81"/>
      <c r="W66" s="81"/>
      <c r="X66" s="81"/>
      <c r="Y66" s="81"/>
      <c r="Z66" s="81"/>
    </row>
    <row r="67" spans="1:26" ht="14" thickTop="1" thickBot="1" x14ac:dyDescent="0.3">
      <c r="A67" s="44" t="s">
        <v>51</v>
      </c>
      <c r="B67" s="45"/>
      <c r="C67" s="64"/>
      <c r="D67" s="64"/>
      <c r="E67" s="64"/>
      <c r="F67" s="64"/>
      <c r="G67" s="64"/>
      <c r="H67" s="64"/>
      <c r="I67" s="144" t="str">
        <f>IF(COUNTIF($I68:$I75,"error")=0,SUM(Q68:Q75)/SUM($K68:$P75),"error")</f>
        <v>error</v>
      </c>
      <c r="J67" s="145" t="str">
        <f>IF(COUNTIF($I68:$I75,"error")=0,SUM(R68:R75)/SUM($K68:$P75),"error")</f>
        <v>error</v>
      </c>
      <c r="S67" s="85"/>
      <c r="T67" s="85"/>
      <c r="U67" s="85"/>
      <c r="V67" s="85"/>
      <c r="W67" s="85"/>
      <c r="X67" s="85"/>
      <c r="Y67" s="85"/>
      <c r="Z67" s="85"/>
    </row>
    <row r="68" spans="1:26" ht="25.5" thickTop="1" x14ac:dyDescent="0.25">
      <c r="A68" s="46" t="s">
        <v>143</v>
      </c>
      <c r="B68" s="48" t="s">
        <v>209</v>
      </c>
      <c r="C68" s="67"/>
      <c r="D68" s="68"/>
      <c r="E68" s="130"/>
      <c r="F68" s="131"/>
      <c r="G68" s="68"/>
      <c r="H68" s="69"/>
      <c r="I68" s="52" t="str">
        <f t="shared" ref="I68:I75" si="48">+IF(OR((SUM(K68:P68)=1),(ISBLANK(B68)=TRUE)),"       ","error")</f>
        <v>error</v>
      </c>
      <c r="J68" s="52"/>
      <c r="K68" s="1">
        <f t="shared" ref="K68:K74" si="49">+IF(AND((ISBLANK($B68)=FALSE),(C68="y")),1,0)</f>
        <v>0</v>
      </c>
      <c r="L68" s="1">
        <f t="shared" ref="L68:L74" si="50">+IF(AND((ISBLANK($B68)=FALSE),(D68="y")),1,0)</f>
        <v>0</v>
      </c>
      <c r="M68" s="1">
        <f t="shared" ref="M68:M74" si="51">+IF(AND((ISBLANK($B68)=FALSE),(E68="y")),1,0)</f>
        <v>0</v>
      </c>
      <c r="N68" s="1">
        <f t="shared" ref="N68:N74" si="52">+IF(AND((ISBLANK($B68)=FALSE),(F68="y")),1,0)</f>
        <v>0</v>
      </c>
      <c r="O68" s="1">
        <f t="shared" ref="O68:O74" si="53">+IF(AND((ISBLANK($B68)=FALSE),(G68="y")),1,0)</f>
        <v>0</v>
      </c>
      <c r="P68" s="1">
        <f t="shared" ref="P68:P74" si="54">+IF(AND((ISBLANK($B68)=FALSE),(H68="y")),1,0)</f>
        <v>0</v>
      </c>
      <c r="Q68" s="1">
        <f>10*K68+5*L68+M68</f>
        <v>0</v>
      </c>
      <c r="R68" s="1">
        <f>10*N68+5*O68</f>
        <v>0</v>
      </c>
      <c r="S68" s="81"/>
      <c r="T68" s="81"/>
      <c r="U68" s="81"/>
      <c r="V68" s="81"/>
      <c r="W68" s="81"/>
      <c r="X68" s="81"/>
      <c r="Y68" s="81"/>
      <c r="Z68" s="81"/>
    </row>
    <row r="69" spans="1:26" ht="37.5" x14ac:dyDescent="0.25">
      <c r="A69" s="81" t="s">
        <v>144</v>
      </c>
      <c r="B69" s="48" t="s">
        <v>227</v>
      </c>
      <c r="C69" s="54"/>
      <c r="D69" s="55"/>
      <c r="E69" s="127"/>
      <c r="F69" s="123"/>
      <c r="G69" s="55"/>
      <c r="H69" s="56"/>
      <c r="I69" s="52" t="str">
        <f t="shared" si="48"/>
        <v>error</v>
      </c>
      <c r="J69" s="52"/>
      <c r="K69" s="1">
        <f t="shared" si="49"/>
        <v>0</v>
      </c>
      <c r="L69" s="1">
        <f t="shared" si="50"/>
        <v>0</v>
      </c>
      <c r="M69" s="1">
        <f t="shared" si="51"/>
        <v>0</v>
      </c>
      <c r="N69" s="1">
        <f t="shared" si="52"/>
        <v>0</v>
      </c>
      <c r="O69" s="1">
        <f t="shared" si="53"/>
        <v>0</v>
      </c>
      <c r="P69" s="1">
        <f t="shared" si="54"/>
        <v>0</v>
      </c>
      <c r="Q69" s="1">
        <f t="shared" ref="Q69:Q74" si="55">10*K69+5*L69+M69</f>
        <v>0</v>
      </c>
      <c r="R69" s="1">
        <f t="shared" ref="R69:R74" si="56">10*N69+5*O69</f>
        <v>0</v>
      </c>
      <c r="S69" s="81"/>
      <c r="T69" s="81"/>
      <c r="U69" s="81"/>
      <c r="V69" s="81"/>
      <c r="W69" s="81"/>
      <c r="X69" s="81"/>
      <c r="Y69" s="81"/>
      <c r="Z69" s="81"/>
    </row>
    <row r="70" spans="1:26" x14ac:dyDescent="0.25">
      <c r="A70" s="81" t="s">
        <v>145</v>
      </c>
      <c r="B70" s="48" t="s">
        <v>299</v>
      </c>
      <c r="C70" s="54"/>
      <c r="D70" s="55"/>
      <c r="E70" s="127"/>
      <c r="F70" s="123"/>
      <c r="G70" s="55"/>
      <c r="H70" s="56"/>
      <c r="I70" s="52" t="str">
        <f t="shared" si="48"/>
        <v>error</v>
      </c>
      <c r="J70" s="52"/>
      <c r="K70" s="1">
        <f t="shared" si="49"/>
        <v>0</v>
      </c>
      <c r="L70" s="1">
        <f t="shared" si="50"/>
        <v>0</v>
      </c>
      <c r="M70" s="1">
        <f t="shared" si="51"/>
        <v>0</v>
      </c>
      <c r="N70" s="1">
        <f t="shared" si="52"/>
        <v>0</v>
      </c>
      <c r="O70" s="1">
        <f t="shared" si="53"/>
        <v>0</v>
      </c>
      <c r="P70" s="1">
        <f t="shared" si="54"/>
        <v>0</v>
      </c>
      <c r="Q70" s="1">
        <f t="shared" si="55"/>
        <v>0</v>
      </c>
      <c r="R70" s="1">
        <f t="shared" si="56"/>
        <v>0</v>
      </c>
      <c r="S70" s="81"/>
      <c r="T70" s="81"/>
      <c r="U70" s="81"/>
      <c r="V70" s="81"/>
      <c r="W70" s="81"/>
      <c r="X70" s="81"/>
      <c r="Y70" s="81"/>
      <c r="Z70" s="81"/>
    </row>
    <row r="71" spans="1:26" ht="37.5" x14ac:dyDescent="0.25">
      <c r="A71" s="81" t="s">
        <v>146</v>
      </c>
      <c r="B71" s="48" t="s">
        <v>228</v>
      </c>
      <c r="C71" s="54"/>
      <c r="D71" s="55"/>
      <c r="E71" s="127"/>
      <c r="F71" s="123"/>
      <c r="G71" s="55"/>
      <c r="H71" s="56"/>
      <c r="I71" s="52" t="str">
        <f t="shared" si="48"/>
        <v>error</v>
      </c>
      <c r="J71" s="52"/>
      <c r="K71" s="1">
        <f t="shared" si="49"/>
        <v>0</v>
      </c>
      <c r="L71" s="1">
        <f t="shared" si="50"/>
        <v>0</v>
      </c>
      <c r="M71" s="1">
        <f t="shared" si="51"/>
        <v>0</v>
      </c>
      <c r="N71" s="1">
        <f t="shared" si="52"/>
        <v>0</v>
      </c>
      <c r="O71" s="1">
        <f t="shared" si="53"/>
        <v>0</v>
      </c>
      <c r="P71" s="1">
        <f t="shared" si="54"/>
        <v>0</v>
      </c>
      <c r="Q71" s="1">
        <f t="shared" si="55"/>
        <v>0</v>
      </c>
      <c r="R71" s="1">
        <f t="shared" si="56"/>
        <v>0</v>
      </c>
      <c r="S71" s="81"/>
      <c r="T71" s="81"/>
      <c r="U71" s="81"/>
      <c r="V71" s="81"/>
      <c r="W71" s="81"/>
      <c r="X71" s="81"/>
      <c r="Y71" s="81"/>
      <c r="Z71" s="81"/>
    </row>
    <row r="72" spans="1:26" ht="25" x14ac:dyDescent="0.25">
      <c r="A72" s="81" t="s">
        <v>147</v>
      </c>
      <c r="B72" s="48" t="s">
        <v>213</v>
      </c>
      <c r="C72" s="54"/>
      <c r="D72" s="55"/>
      <c r="E72" s="127"/>
      <c r="F72" s="123"/>
      <c r="G72" s="55"/>
      <c r="H72" s="56"/>
      <c r="I72" s="52" t="str">
        <f t="shared" si="48"/>
        <v>error</v>
      </c>
      <c r="J72" s="52"/>
      <c r="K72" s="1">
        <f t="shared" si="49"/>
        <v>0</v>
      </c>
      <c r="L72" s="1">
        <f t="shared" si="50"/>
        <v>0</v>
      </c>
      <c r="M72" s="1">
        <f t="shared" si="51"/>
        <v>0</v>
      </c>
      <c r="N72" s="1">
        <f t="shared" si="52"/>
        <v>0</v>
      </c>
      <c r="O72" s="1">
        <f t="shared" si="53"/>
        <v>0</v>
      </c>
      <c r="P72" s="1">
        <f t="shared" si="54"/>
        <v>0</v>
      </c>
      <c r="Q72" s="1">
        <f t="shared" si="55"/>
        <v>0</v>
      </c>
      <c r="R72" s="1">
        <f t="shared" si="56"/>
        <v>0</v>
      </c>
      <c r="S72" s="81"/>
      <c r="T72" s="81"/>
      <c r="U72" s="81"/>
      <c r="V72" s="81"/>
      <c r="W72" s="81"/>
      <c r="X72" s="81"/>
      <c r="Y72" s="81"/>
      <c r="Z72" s="81"/>
    </row>
    <row r="73" spans="1:26" x14ac:dyDescent="0.25">
      <c r="A73" s="81" t="s">
        <v>148</v>
      </c>
      <c r="B73" s="48" t="s">
        <v>218</v>
      </c>
      <c r="C73" s="54"/>
      <c r="D73" s="55"/>
      <c r="E73" s="127"/>
      <c r="F73" s="123"/>
      <c r="G73" s="55"/>
      <c r="H73" s="56"/>
      <c r="I73" s="52" t="str">
        <f t="shared" si="48"/>
        <v>error</v>
      </c>
      <c r="J73" s="52"/>
      <c r="K73" s="1">
        <f t="shared" si="49"/>
        <v>0</v>
      </c>
      <c r="L73" s="1">
        <f t="shared" si="50"/>
        <v>0</v>
      </c>
      <c r="M73" s="1">
        <f t="shared" si="51"/>
        <v>0</v>
      </c>
      <c r="N73" s="1">
        <f t="shared" si="52"/>
        <v>0</v>
      </c>
      <c r="O73" s="1">
        <f t="shared" si="53"/>
        <v>0</v>
      </c>
      <c r="P73" s="1">
        <f t="shared" si="54"/>
        <v>0</v>
      </c>
      <c r="Q73" s="1">
        <f t="shared" si="55"/>
        <v>0</v>
      </c>
      <c r="R73" s="1">
        <f t="shared" si="56"/>
        <v>0</v>
      </c>
      <c r="S73" s="81"/>
      <c r="T73" s="81"/>
      <c r="U73" s="81"/>
      <c r="V73" s="81"/>
      <c r="W73" s="81"/>
      <c r="X73" s="81"/>
      <c r="Y73" s="81"/>
      <c r="Z73" s="81"/>
    </row>
    <row r="74" spans="1:26" x14ac:dyDescent="0.25">
      <c r="A74" s="81" t="s">
        <v>149</v>
      </c>
      <c r="B74" s="48" t="s">
        <v>219</v>
      </c>
      <c r="C74" s="54"/>
      <c r="D74" s="55"/>
      <c r="E74" s="127"/>
      <c r="F74" s="123"/>
      <c r="G74" s="55"/>
      <c r="H74" s="56"/>
      <c r="I74" s="52" t="str">
        <f t="shared" si="48"/>
        <v>error</v>
      </c>
      <c r="J74" s="52"/>
      <c r="K74" s="1">
        <f t="shared" si="49"/>
        <v>0</v>
      </c>
      <c r="L74" s="1">
        <f t="shared" si="50"/>
        <v>0</v>
      </c>
      <c r="M74" s="1">
        <f t="shared" si="51"/>
        <v>0</v>
      </c>
      <c r="N74" s="1">
        <f t="shared" si="52"/>
        <v>0</v>
      </c>
      <c r="O74" s="1">
        <f t="shared" si="53"/>
        <v>0</v>
      </c>
      <c r="P74" s="1">
        <f t="shared" si="54"/>
        <v>0</v>
      </c>
      <c r="Q74" s="1">
        <f t="shared" si="55"/>
        <v>0</v>
      </c>
      <c r="R74" s="1">
        <f t="shared" si="56"/>
        <v>0</v>
      </c>
      <c r="S74" s="81"/>
      <c r="T74" s="81"/>
      <c r="U74" s="81"/>
      <c r="V74" s="81"/>
      <c r="W74" s="81"/>
      <c r="X74" s="81"/>
      <c r="Y74" s="81"/>
      <c r="Z74" s="81"/>
    </row>
    <row r="75" spans="1:26" ht="13" thickBot="1" x14ac:dyDescent="0.3">
      <c r="A75" s="52"/>
      <c r="B75" s="48"/>
      <c r="C75" s="61"/>
      <c r="D75" s="62"/>
      <c r="E75" s="129"/>
      <c r="F75" s="125"/>
      <c r="G75" s="62"/>
      <c r="H75" s="63"/>
      <c r="I75" s="52" t="str">
        <f t="shared" si="48"/>
        <v xml:space="preserve">       </v>
      </c>
      <c r="J75" s="52"/>
      <c r="K75" s="1">
        <f t="shared" ref="K75:P75" si="57">+IF(AND((ISBLANK($B75)=FALSE),(C75="y")),1,0)</f>
        <v>0</v>
      </c>
      <c r="L75" s="1">
        <f t="shared" si="57"/>
        <v>0</v>
      </c>
      <c r="M75" s="1">
        <f t="shared" si="57"/>
        <v>0</v>
      </c>
      <c r="N75" s="1">
        <f t="shared" si="57"/>
        <v>0</v>
      </c>
      <c r="O75" s="1">
        <f t="shared" si="57"/>
        <v>0</v>
      </c>
      <c r="P75" s="1">
        <f t="shared" si="57"/>
        <v>0</v>
      </c>
      <c r="Q75" s="1">
        <f>10*K75+5*L75+M75</f>
        <v>0</v>
      </c>
      <c r="R75" s="1">
        <f>10*N75+5*O75</f>
        <v>0</v>
      </c>
      <c r="S75" s="81"/>
      <c r="T75" s="81"/>
      <c r="U75" s="81"/>
      <c r="V75" s="81"/>
      <c r="W75" s="81"/>
      <c r="X75" s="81"/>
      <c r="Y75" s="81"/>
      <c r="Z75" s="81"/>
    </row>
    <row r="76" spans="1:26" ht="14" thickTop="1" thickBot="1" x14ac:dyDescent="0.3">
      <c r="A76" s="44" t="s">
        <v>52</v>
      </c>
      <c r="B76" s="45"/>
      <c r="C76" s="64"/>
      <c r="D76" s="64"/>
      <c r="E76" s="64"/>
      <c r="F76" s="64"/>
      <c r="G76" s="64"/>
      <c r="H76" s="64"/>
      <c r="I76" s="144" t="str">
        <f>IF(COUNTIF($I77:$I80,"error")=0,SUM(Q77:Q80)/SUM($K77:$P80),"error")</f>
        <v>error</v>
      </c>
      <c r="J76" s="145" t="str">
        <f>IF(COUNTIF($I77:$I80,"error")=0,SUM(R77:R80)/SUM($K77:$P80),"error")</f>
        <v>error</v>
      </c>
      <c r="S76" s="85"/>
      <c r="T76" s="85"/>
      <c r="U76" s="85"/>
      <c r="V76" s="85"/>
      <c r="W76" s="85"/>
      <c r="X76" s="85"/>
      <c r="Y76" s="85"/>
      <c r="Z76" s="85"/>
    </row>
    <row r="77" spans="1:26" ht="13" thickTop="1" x14ac:dyDescent="0.25">
      <c r="A77" s="52" t="s">
        <v>150</v>
      </c>
      <c r="B77" s="66" t="s">
        <v>211</v>
      </c>
      <c r="C77" s="67"/>
      <c r="D77" s="68"/>
      <c r="E77" s="130"/>
      <c r="F77" s="131"/>
      <c r="G77" s="68"/>
      <c r="H77" s="69"/>
      <c r="I77" s="52" t="str">
        <f>+IF(OR((SUM(K77:P77)=1),(ISBLANK(B77)=TRUE)),"       ","error")</f>
        <v>error</v>
      </c>
      <c r="J77" s="52"/>
      <c r="K77" s="1">
        <f t="shared" ref="K77:P80" si="58">+IF(AND((ISBLANK($B77)=FALSE),(C77="y")),1,0)</f>
        <v>0</v>
      </c>
      <c r="L77" s="1">
        <f t="shared" si="58"/>
        <v>0</v>
      </c>
      <c r="M77" s="1">
        <f t="shared" si="58"/>
        <v>0</v>
      </c>
      <c r="N77" s="1">
        <f t="shared" si="58"/>
        <v>0</v>
      </c>
      <c r="O77" s="1">
        <f t="shared" si="58"/>
        <v>0</v>
      </c>
      <c r="P77" s="1">
        <f t="shared" si="58"/>
        <v>0</v>
      </c>
      <c r="Q77" s="1">
        <f>10*K77+5*L77+M77</f>
        <v>0</v>
      </c>
      <c r="R77" s="1">
        <f>10*N77+5*O77</f>
        <v>0</v>
      </c>
      <c r="S77" s="81"/>
      <c r="T77" s="81"/>
      <c r="U77" s="81"/>
      <c r="V77" s="81"/>
      <c r="W77" s="81"/>
      <c r="X77" s="81"/>
      <c r="Y77" s="81"/>
      <c r="Z77" s="81"/>
    </row>
    <row r="78" spans="1:26" x14ac:dyDescent="0.25">
      <c r="A78" s="52" t="s">
        <v>151</v>
      </c>
      <c r="B78" s="66" t="s">
        <v>212</v>
      </c>
      <c r="C78" s="54"/>
      <c r="D78" s="55"/>
      <c r="E78" s="127"/>
      <c r="F78" s="123"/>
      <c r="G78" s="55"/>
      <c r="H78" s="56"/>
      <c r="I78" s="52" t="str">
        <f>+IF(OR((SUM(K78:P78)=1),(ISBLANK(B78)=TRUE)),"       ","error")</f>
        <v>error</v>
      </c>
      <c r="J78" s="52"/>
      <c r="K78" s="1">
        <f t="shared" si="58"/>
        <v>0</v>
      </c>
      <c r="L78" s="1">
        <f t="shared" si="58"/>
        <v>0</v>
      </c>
      <c r="M78" s="1">
        <f t="shared" si="58"/>
        <v>0</v>
      </c>
      <c r="N78" s="1">
        <f t="shared" si="58"/>
        <v>0</v>
      </c>
      <c r="O78" s="1">
        <f t="shared" si="58"/>
        <v>0</v>
      </c>
      <c r="P78" s="1">
        <f t="shared" si="58"/>
        <v>0</v>
      </c>
      <c r="Q78" s="1">
        <f>10*K78+5*L78+M78</f>
        <v>0</v>
      </c>
      <c r="R78" s="1">
        <f>10*N78+5*O78</f>
        <v>0</v>
      </c>
      <c r="S78" s="81"/>
      <c r="T78" s="81"/>
      <c r="U78" s="81"/>
      <c r="V78" s="81"/>
      <c r="W78" s="81"/>
      <c r="X78" s="81"/>
      <c r="Y78" s="81"/>
      <c r="Z78" s="81"/>
    </row>
    <row r="79" spans="1:26" x14ac:dyDescent="0.25">
      <c r="A79" s="52" t="s">
        <v>152</v>
      </c>
      <c r="B79" s="60" t="s">
        <v>53</v>
      </c>
      <c r="C79" s="54"/>
      <c r="D79" s="55"/>
      <c r="E79" s="127"/>
      <c r="F79" s="123"/>
      <c r="G79" s="55"/>
      <c r="H79" s="56"/>
      <c r="I79" s="52" t="str">
        <f>+IF(OR((SUM(K79:P79)=1),(ISBLANK(B79)=TRUE)),"       ","error")</f>
        <v>error</v>
      </c>
      <c r="J79" s="52"/>
      <c r="K79" s="1">
        <f t="shared" si="58"/>
        <v>0</v>
      </c>
      <c r="L79" s="1">
        <f t="shared" si="58"/>
        <v>0</v>
      </c>
      <c r="M79" s="1">
        <f t="shared" si="58"/>
        <v>0</v>
      </c>
      <c r="N79" s="1">
        <f t="shared" si="58"/>
        <v>0</v>
      </c>
      <c r="O79" s="1">
        <f t="shared" si="58"/>
        <v>0</v>
      </c>
      <c r="P79" s="1">
        <f t="shared" si="58"/>
        <v>0</v>
      </c>
      <c r="Q79" s="1">
        <f>10*K79+5*L79+M79</f>
        <v>0</v>
      </c>
      <c r="R79" s="1">
        <f>10*N79+5*O79</f>
        <v>0</v>
      </c>
      <c r="S79" s="81"/>
      <c r="T79" s="81"/>
      <c r="U79" s="81"/>
      <c r="V79" s="81"/>
      <c r="W79" s="81"/>
      <c r="X79" s="81"/>
      <c r="Y79" s="81"/>
      <c r="Z79" s="81"/>
    </row>
    <row r="80" spans="1:26" ht="13" thickBot="1" x14ac:dyDescent="0.3">
      <c r="A80" s="52"/>
      <c r="B80" s="66"/>
      <c r="C80" s="61"/>
      <c r="D80" s="62"/>
      <c r="E80" s="129"/>
      <c r="F80" s="125"/>
      <c r="G80" s="62"/>
      <c r="H80" s="63"/>
      <c r="I80" s="52" t="str">
        <f>+IF(OR((SUM(K80:P80)=1),(ISBLANK(B80)=TRUE)),"       ","error")</f>
        <v xml:space="preserve">       </v>
      </c>
      <c r="J80" s="52"/>
      <c r="K80" s="1">
        <f t="shared" si="58"/>
        <v>0</v>
      </c>
      <c r="L80" s="1">
        <f t="shared" si="58"/>
        <v>0</v>
      </c>
      <c r="M80" s="1">
        <f t="shared" si="58"/>
        <v>0</v>
      </c>
      <c r="N80" s="1">
        <f t="shared" si="58"/>
        <v>0</v>
      </c>
      <c r="O80" s="1">
        <f t="shared" si="58"/>
        <v>0</v>
      </c>
      <c r="P80" s="1">
        <f t="shared" si="58"/>
        <v>0</v>
      </c>
      <c r="Q80" s="1">
        <f>10*K80+5*L80+M80</f>
        <v>0</v>
      </c>
      <c r="R80" s="1">
        <f>10*N80+5*O80</f>
        <v>0</v>
      </c>
      <c r="S80" s="81"/>
      <c r="T80" s="81"/>
      <c r="U80" s="81"/>
      <c r="V80" s="81"/>
      <c r="W80" s="81"/>
      <c r="X80" s="81"/>
      <c r="Y80" s="81"/>
      <c r="Z80" s="81"/>
    </row>
    <row r="81" spans="1:26" ht="14" thickTop="1" thickBot="1" x14ac:dyDescent="0.3">
      <c r="A81" s="44" t="s">
        <v>24</v>
      </c>
      <c r="B81" s="45"/>
      <c r="C81" s="64"/>
      <c r="D81" s="64"/>
      <c r="E81" s="64"/>
      <c r="F81" s="64"/>
      <c r="G81" s="64"/>
      <c r="H81" s="64"/>
      <c r="I81" s="144" t="str">
        <f>IF(COUNTIF($I82:$I87,"error")=0,SUM(Q82:Q87)/SUM($K82:$P87),"error")</f>
        <v>error</v>
      </c>
      <c r="J81" s="145" t="str">
        <f>IF(COUNTIF($I82:$I87,"error")=0,SUM(R82:R87)/SUM($K82:$P87),"error")</f>
        <v>error</v>
      </c>
      <c r="S81" s="85"/>
      <c r="T81" s="85"/>
      <c r="U81" s="85"/>
      <c r="V81" s="85"/>
      <c r="W81" s="85"/>
      <c r="X81" s="85"/>
      <c r="Y81" s="85"/>
      <c r="Z81" s="85"/>
    </row>
    <row r="82" spans="1:26" ht="25.5" thickTop="1" x14ac:dyDescent="0.25">
      <c r="A82" s="46" t="s">
        <v>153</v>
      </c>
      <c r="B82" s="48" t="s">
        <v>300</v>
      </c>
      <c r="C82" s="67"/>
      <c r="D82" s="68"/>
      <c r="E82" s="130"/>
      <c r="F82" s="131"/>
      <c r="G82" s="68"/>
      <c r="H82" s="69"/>
      <c r="I82" s="52" t="str">
        <f t="shared" ref="I82:I87" si="59">+IF(OR((SUM(K82:P82)=1),(ISBLANK(B82)=TRUE)),"       ","error")</f>
        <v>error</v>
      </c>
      <c r="J82" s="52"/>
      <c r="K82" s="1">
        <f t="shared" ref="K82:K87" si="60">+IF(AND((ISBLANK($B82)=FALSE),(C82="y")),1,0)</f>
        <v>0</v>
      </c>
      <c r="L82" s="1">
        <f t="shared" ref="L82:L87" si="61">+IF(AND((ISBLANK($B82)=FALSE),(D82="y")),1,0)</f>
        <v>0</v>
      </c>
      <c r="M82" s="1">
        <f t="shared" ref="M82:M87" si="62">+IF(AND((ISBLANK($B82)=FALSE),(E82="y")),1,0)</f>
        <v>0</v>
      </c>
      <c r="N82" s="1">
        <f t="shared" ref="N82:N87" si="63">+IF(AND((ISBLANK($B82)=FALSE),(F82="y")),1,0)</f>
        <v>0</v>
      </c>
      <c r="O82" s="1">
        <f t="shared" ref="O82:O87" si="64">+IF(AND((ISBLANK($B82)=FALSE),(G82="y")),1,0)</f>
        <v>0</v>
      </c>
      <c r="P82" s="1">
        <f t="shared" ref="P82:P87" si="65">+IF(AND((ISBLANK($B82)=FALSE),(H82="y")),1,0)</f>
        <v>0</v>
      </c>
      <c r="Q82" s="1">
        <f t="shared" ref="Q82:Q87" si="66">10*K82+5*L82+M82</f>
        <v>0</v>
      </c>
      <c r="R82" s="1">
        <f t="shared" ref="R82:R87" si="67">10*N82+5*O82</f>
        <v>0</v>
      </c>
      <c r="S82" s="81"/>
      <c r="T82" s="81"/>
      <c r="U82" s="81"/>
      <c r="V82" s="81"/>
      <c r="W82" s="81"/>
      <c r="X82" s="81"/>
      <c r="Y82" s="81"/>
      <c r="Z82" s="81"/>
    </row>
    <row r="83" spans="1:26" ht="37.5" x14ac:dyDescent="0.25">
      <c r="A83" s="52" t="s">
        <v>154</v>
      </c>
      <c r="B83" s="48" t="s">
        <v>311</v>
      </c>
      <c r="C83" s="54"/>
      <c r="D83" s="55"/>
      <c r="E83" s="127"/>
      <c r="F83" s="123"/>
      <c r="G83" s="55"/>
      <c r="H83" s="56"/>
      <c r="I83" s="52" t="str">
        <f t="shared" si="59"/>
        <v>error</v>
      </c>
      <c r="J83" s="52"/>
      <c r="K83" s="1">
        <f t="shared" si="60"/>
        <v>0</v>
      </c>
      <c r="L83" s="1">
        <f t="shared" si="61"/>
        <v>0</v>
      </c>
      <c r="M83" s="1">
        <f t="shared" si="62"/>
        <v>0</v>
      </c>
      <c r="N83" s="1">
        <f t="shared" si="63"/>
        <v>0</v>
      </c>
      <c r="O83" s="1">
        <f t="shared" si="64"/>
        <v>0</v>
      </c>
      <c r="P83" s="1">
        <f t="shared" si="65"/>
        <v>0</v>
      </c>
      <c r="Q83" s="1">
        <f t="shared" si="66"/>
        <v>0</v>
      </c>
      <c r="R83" s="1">
        <f t="shared" si="67"/>
        <v>0</v>
      </c>
      <c r="S83" s="81"/>
      <c r="T83" s="81"/>
      <c r="U83" s="81"/>
      <c r="V83" s="81"/>
      <c r="W83" s="81"/>
      <c r="X83" s="81"/>
      <c r="Y83" s="81"/>
      <c r="Z83" s="81"/>
    </row>
    <row r="84" spans="1:26" ht="25" x14ac:dyDescent="0.25">
      <c r="A84" s="52" t="s">
        <v>155</v>
      </c>
      <c r="B84" s="48" t="s">
        <v>229</v>
      </c>
      <c r="C84" s="54"/>
      <c r="D84" s="55"/>
      <c r="E84" s="127"/>
      <c r="F84" s="123"/>
      <c r="G84" s="55"/>
      <c r="H84" s="56"/>
      <c r="I84" s="52" t="str">
        <f t="shared" si="59"/>
        <v>error</v>
      </c>
      <c r="J84" s="52"/>
      <c r="K84" s="1">
        <f t="shared" si="60"/>
        <v>0</v>
      </c>
      <c r="L84" s="1">
        <f t="shared" si="61"/>
        <v>0</v>
      </c>
      <c r="M84" s="1">
        <f t="shared" si="62"/>
        <v>0</v>
      </c>
      <c r="N84" s="1">
        <f t="shared" si="63"/>
        <v>0</v>
      </c>
      <c r="O84" s="1">
        <f t="shared" si="64"/>
        <v>0</v>
      </c>
      <c r="P84" s="1">
        <f t="shared" si="65"/>
        <v>0</v>
      </c>
      <c r="Q84" s="1">
        <f t="shared" si="66"/>
        <v>0</v>
      </c>
      <c r="R84" s="1">
        <f t="shared" si="67"/>
        <v>0</v>
      </c>
      <c r="S84" s="81"/>
      <c r="T84" s="81"/>
      <c r="U84" s="81"/>
      <c r="V84" s="81"/>
      <c r="W84" s="81"/>
      <c r="X84" s="81"/>
      <c r="Y84" s="81"/>
      <c r="Z84" s="81"/>
    </row>
    <row r="85" spans="1:26" ht="25" x14ac:dyDescent="0.25">
      <c r="A85" s="52" t="s">
        <v>156</v>
      </c>
      <c r="B85" s="48" t="s">
        <v>220</v>
      </c>
      <c r="C85" s="54"/>
      <c r="D85" s="55"/>
      <c r="E85" s="127"/>
      <c r="F85" s="123"/>
      <c r="G85" s="55"/>
      <c r="H85" s="56"/>
      <c r="I85" s="52" t="str">
        <f t="shared" si="59"/>
        <v>error</v>
      </c>
      <c r="J85" s="52"/>
      <c r="K85" s="1">
        <f t="shared" si="60"/>
        <v>0</v>
      </c>
      <c r="L85" s="1">
        <f t="shared" si="61"/>
        <v>0</v>
      </c>
      <c r="M85" s="1">
        <f t="shared" si="62"/>
        <v>0</v>
      </c>
      <c r="N85" s="1">
        <f t="shared" si="63"/>
        <v>0</v>
      </c>
      <c r="O85" s="1">
        <f t="shared" si="64"/>
        <v>0</v>
      </c>
      <c r="P85" s="1">
        <f t="shared" si="65"/>
        <v>0</v>
      </c>
      <c r="Q85" s="1">
        <f t="shared" si="66"/>
        <v>0</v>
      </c>
      <c r="R85" s="1">
        <f t="shared" si="67"/>
        <v>0</v>
      </c>
      <c r="S85" s="81"/>
      <c r="T85" s="81"/>
      <c r="U85" s="81"/>
      <c r="V85" s="81"/>
      <c r="W85" s="81"/>
      <c r="X85" s="81"/>
      <c r="Y85" s="81"/>
      <c r="Z85" s="81"/>
    </row>
    <row r="86" spans="1:26" ht="25" x14ac:dyDescent="0.25">
      <c r="A86" s="52" t="s">
        <v>157</v>
      </c>
      <c r="B86" s="48" t="s">
        <v>221</v>
      </c>
      <c r="C86" s="54"/>
      <c r="D86" s="55"/>
      <c r="E86" s="127"/>
      <c r="F86" s="123"/>
      <c r="G86" s="55"/>
      <c r="H86" s="56"/>
      <c r="I86" s="52" t="str">
        <f t="shared" si="59"/>
        <v>error</v>
      </c>
      <c r="J86" s="52"/>
      <c r="K86" s="1">
        <f t="shared" si="60"/>
        <v>0</v>
      </c>
      <c r="L86" s="1">
        <f t="shared" si="61"/>
        <v>0</v>
      </c>
      <c r="M86" s="1">
        <f t="shared" si="62"/>
        <v>0</v>
      </c>
      <c r="N86" s="1">
        <f t="shared" si="63"/>
        <v>0</v>
      </c>
      <c r="O86" s="1">
        <f t="shared" si="64"/>
        <v>0</v>
      </c>
      <c r="P86" s="1">
        <f t="shared" si="65"/>
        <v>0</v>
      </c>
      <c r="Q86" s="1">
        <f t="shared" si="66"/>
        <v>0</v>
      </c>
      <c r="R86" s="1">
        <f t="shared" si="67"/>
        <v>0</v>
      </c>
      <c r="S86" s="81"/>
      <c r="T86" s="81"/>
      <c r="U86" s="81"/>
      <c r="V86" s="81"/>
      <c r="W86" s="81"/>
      <c r="X86" s="81"/>
      <c r="Y86" s="81"/>
      <c r="Z86" s="81"/>
    </row>
    <row r="87" spans="1:26" ht="13" thickBot="1" x14ac:dyDescent="0.3">
      <c r="A87" s="52"/>
      <c r="B87" s="48"/>
      <c r="C87" s="61"/>
      <c r="D87" s="62"/>
      <c r="E87" s="129"/>
      <c r="F87" s="125"/>
      <c r="G87" s="62"/>
      <c r="H87" s="63"/>
      <c r="I87" s="52" t="str">
        <f t="shared" si="59"/>
        <v xml:space="preserve">       </v>
      </c>
      <c r="J87" s="52"/>
      <c r="K87" s="1">
        <f t="shared" si="60"/>
        <v>0</v>
      </c>
      <c r="L87" s="1">
        <f t="shared" si="61"/>
        <v>0</v>
      </c>
      <c r="M87" s="1">
        <f t="shared" si="62"/>
        <v>0</v>
      </c>
      <c r="N87" s="1">
        <f t="shared" si="63"/>
        <v>0</v>
      </c>
      <c r="O87" s="1">
        <f t="shared" si="64"/>
        <v>0</v>
      </c>
      <c r="P87" s="1">
        <f t="shared" si="65"/>
        <v>0</v>
      </c>
      <c r="Q87" s="1">
        <f t="shared" si="66"/>
        <v>0</v>
      </c>
      <c r="R87" s="1">
        <f t="shared" si="67"/>
        <v>0</v>
      </c>
      <c r="S87" s="81"/>
      <c r="T87" s="81"/>
      <c r="U87" s="81"/>
      <c r="V87" s="81"/>
      <c r="W87" s="81"/>
      <c r="X87" s="81"/>
      <c r="Y87" s="81"/>
      <c r="Z87" s="81"/>
    </row>
    <row r="88" spans="1:26" ht="14" thickTop="1" thickBot="1" x14ac:dyDescent="0.3">
      <c r="A88" s="44" t="s">
        <v>25</v>
      </c>
      <c r="B88" s="45"/>
      <c r="C88" s="64"/>
      <c r="D88" s="64"/>
      <c r="E88" s="64"/>
      <c r="F88" s="64"/>
      <c r="G88" s="64"/>
      <c r="H88" s="64"/>
      <c r="I88" s="144" t="str">
        <f>IF(COUNTIF($I89:$I95,"error")=0,SUM(Q89:Q95)/SUM($K89:$P95),"error")</f>
        <v>error</v>
      </c>
      <c r="J88" s="145" t="str">
        <f>IF(COUNTIF($I89:$I95,"error")=0,SUM(R89:R95)/SUM($K89:$P95),"error")</f>
        <v>error</v>
      </c>
      <c r="S88" s="85"/>
      <c r="T88" s="85"/>
      <c r="U88" s="85"/>
      <c r="V88" s="85"/>
      <c r="W88" s="85"/>
      <c r="X88" s="85"/>
      <c r="Y88" s="85"/>
      <c r="Z88" s="85"/>
    </row>
    <row r="89" spans="1:26" ht="25.5" thickTop="1" x14ac:dyDescent="0.25">
      <c r="A89" s="46" t="s">
        <v>158</v>
      </c>
      <c r="B89" s="48" t="s">
        <v>26</v>
      </c>
      <c r="C89" s="67"/>
      <c r="D89" s="68"/>
      <c r="E89" s="130"/>
      <c r="F89" s="131"/>
      <c r="G89" s="68"/>
      <c r="H89" s="69"/>
      <c r="I89" s="52" t="str">
        <f t="shared" ref="I89:I95" si="68">+IF(OR((SUM(K89:P89)=1),(ISBLANK(B89)=TRUE)),"       ","error")</f>
        <v>error</v>
      </c>
      <c r="J89" s="52"/>
      <c r="K89" s="1">
        <f t="shared" ref="K89:K95" si="69">+IF(AND((ISBLANK($B89)=FALSE),(C89="y")),1,0)</f>
        <v>0</v>
      </c>
      <c r="L89" s="1">
        <f t="shared" ref="L89:L95" si="70">+IF(AND((ISBLANK($B89)=FALSE),(D89="y")),1,0)</f>
        <v>0</v>
      </c>
      <c r="M89" s="1">
        <f t="shared" ref="M89:M95" si="71">+IF(AND((ISBLANK($B89)=FALSE),(E89="y")),1,0)</f>
        <v>0</v>
      </c>
      <c r="N89" s="1">
        <f t="shared" ref="N89:N95" si="72">+IF(AND((ISBLANK($B89)=FALSE),(F89="y")),1,0)</f>
        <v>0</v>
      </c>
      <c r="O89" s="1">
        <f t="shared" ref="O89:O95" si="73">+IF(AND((ISBLANK($B89)=FALSE),(G89="y")),1,0)</f>
        <v>0</v>
      </c>
      <c r="P89" s="1">
        <f t="shared" ref="P89:P95" si="74">+IF(AND((ISBLANK($B89)=FALSE),(H89="y")),1,0)</f>
        <v>0</v>
      </c>
      <c r="Q89" s="1">
        <f>10*K89+5*L89+M89</f>
        <v>0</v>
      </c>
      <c r="R89" s="1">
        <f>10*N89+5*O89</f>
        <v>0</v>
      </c>
      <c r="S89" s="81"/>
      <c r="T89" s="81"/>
      <c r="U89" s="81"/>
      <c r="V89" s="81"/>
      <c r="W89" s="81"/>
      <c r="X89" s="81"/>
      <c r="Y89" s="81"/>
      <c r="Z89" s="81"/>
    </row>
    <row r="90" spans="1:26" ht="25" x14ac:dyDescent="0.25">
      <c r="A90" s="52" t="s">
        <v>159</v>
      </c>
      <c r="B90" s="48" t="s">
        <v>27</v>
      </c>
      <c r="C90" s="54"/>
      <c r="D90" s="55"/>
      <c r="E90" s="127"/>
      <c r="F90" s="123"/>
      <c r="G90" s="55"/>
      <c r="H90" s="56"/>
      <c r="I90" s="52" t="str">
        <f t="shared" si="68"/>
        <v>error</v>
      </c>
      <c r="J90" s="52"/>
      <c r="K90" s="1">
        <f t="shared" si="69"/>
        <v>0</v>
      </c>
      <c r="L90" s="1">
        <f t="shared" si="70"/>
        <v>0</v>
      </c>
      <c r="M90" s="1">
        <f t="shared" si="71"/>
        <v>0</v>
      </c>
      <c r="N90" s="1">
        <f t="shared" si="72"/>
        <v>0</v>
      </c>
      <c r="O90" s="1">
        <f t="shared" si="73"/>
        <v>0</v>
      </c>
      <c r="P90" s="1">
        <f t="shared" si="74"/>
        <v>0</v>
      </c>
      <c r="Q90" s="1">
        <f t="shared" ref="Q90:Q95" si="75">10*K90+5*L90+M90</f>
        <v>0</v>
      </c>
      <c r="R90" s="1">
        <f t="shared" ref="R90:R95" si="76">10*N90+5*O90</f>
        <v>0</v>
      </c>
      <c r="S90" s="81"/>
      <c r="T90" s="81"/>
      <c r="U90" s="81"/>
      <c r="V90" s="81"/>
      <c r="W90" s="81"/>
      <c r="X90" s="81"/>
      <c r="Y90" s="81"/>
      <c r="Z90" s="81"/>
    </row>
    <row r="91" spans="1:26" x14ac:dyDescent="0.25">
      <c r="A91" s="52" t="s">
        <v>160</v>
      </c>
      <c r="B91" s="66" t="s">
        <v>28</v>
      </c>
      <c r="C91" s="54"/>
      <c r="D91" s="55"/>
      <c r="E91" s="127"/>
      <c r="F91" s="123"/>
      <c r="G91" s="55"/>
      <c r="H91" s="56"/>
      <c r="I91" s="52" t="str">
        <f t="shared" si="68"/>
        <v>error</v>
      </c>
      <c r="J91" s="52"/>
      <c r="K91" s="1">
        <f t="shared" si="69"/>
        <v>0</v>
      </c>
      <c r="L91" s="1">
        <f t="shared" si="70"/>
        <v>0</v>
      </c>
      <c r="M91" s="1">
        <f t="shared" si="71"/>
        <v>0</v>
      </c>
      <c r="N91" s="1">
        <f t="shared" si="72"/>
        <v>0</v>
      </c>
      <c r="O91" s="1">
        <f t="shared" si="73"/>
        <v>0</v>
      </c>
      <c r="P91" s="1">
        <f t="shared" si="74"/>
        <v>0</v>
      </c>
      <c r="Q91" s="1">
        <f t="shared" si="75"/>
        <v>0</v>
      </c>
      <c r="R91" s="1">
        <f t="shared" si="76"/>
        <v>0</v>
      </c>
      <c r="S91" s="81"/>
      <c r="T91" s="81"/>
      <c r="U91" s="81"/>
      <c r="V91" s="81"/>
      <c r="W91" s="81"/>
      <c r="X91" s="81"/>
      <c r="Y91" s="81"/>
      <c r="Z91" s="81"/>
    </row>
    <row r="92" spans="1:26" x14ac:dyDescent="0.25">
      <c r="A92" s="52" t="s">
        <v>161</v>
      </c>
      <c r="B92" s="66" t="s">
        <v>29</v>
      </c>
      <c r="C92" s="54"/>
      <c r="D92" s="55"/>
      <c r="E92" s="127"/>
      <c r="F92" s="123"/>
      <c r="G92" s="55"/>
      <c r="H92" s="56"/>
      <c r="I92" s="52" t="str">
        <f t="shared" si="68"/>
        <v>error</v>
      </c>
      <c r="J92" s="52"/>
      <c r="K92" s="1">
        <f t="shared" si="69"/>
        <v>0</v>
      </c>
      <c r="L92" s="1">
        <f t="shared" si="70"/>
        <v>0</v>
      </c>
      <c r="M92" s="1">
        <f t="shared" si="71"/>
        <v>0</v>
      </c>
      <c r="N92" s="1">
        <f t="shared" si="72"/>
        <v>0</v>
      </c>
      <c r="O92" s="1">
        <f t="shared" si="73"/>
        <v>0</v>
      </c>
      <c r="P92" s="1">
        <f t="shared" si="74"/>
        <v>0</v>
      </c>
      <c r="Q92" s="1">
        <f t="shared" si="75"/>
        <v>0</v>
      </c>
      <c r="R92" s="1">
        <f t="shared" si="76"/>
        <v>0</v>
      </c>
      <c r="S92" s="81"/>
      <c r="T92" s="81"/>
      <c r="U92" s="81"/>
      <c r="V92" s="81"/>
      <c r="W92" s="81"/>
      <c r="X92" s="81"/>
      <c r="Y92" s="81"/>
      <c r="Z92" s="81"/>
    </row>
    <row r="93" spans="1:26" ht="25" x14ac:dyDescent="0.25">
      <c r="A93" s="52" t="s">
        <v>162</v>
      </c>
      <c r="B93" s="48" t="s">
        <v>30</v>
      </c>
      <c r="C93" s="54"/>
      <c r="D93" s="55"/>
      <c r="E93" s="127"/>
      <c r="F93" s="123"/>
      <c r="G93" s="55"/>
      <c r="H93" s="56"/>
      <c r="I93" s="52" t="str">
        <f t="shared" si="68"/>
        <v>error</v>
      </c>
      <c r="J93" s="52"/>
      <c r="K93" s="1">
        <f t="shared" si="69"/>
        <v>0</v>
      </c>
      <c r="L93" s="1">
        <f t="shared" si="70"/>
        <v>0</v>
      </c>
      <c r="M93" s="1">
        <f t="shared" si="71"/>
        <v>0</v>
      </c>
      <c r="N93" s="1">
        <f t="shared" si="72"/>
        <v>0</v>
      </c>
      <c r="O93" s="1">
        <f t="shared" si="73"/>
        <v>0</v>
      </c>
      <c r="P93" s="1">
        <f t="shared" si="74"/>
        <v>0</v>
      </c>
      <c r="Q93" s="1">
        <f t="shared" si="75"/>
        <v>0</v>
      </c>
      <c r="R93" s="1">
        <f t="shared" si="76"/>
        <v>0</v>
      </c>
      <c r="S93" s="81"/>
      <c r="T93" s="81"/>
      <c r="U93" s="81"/>
      <c r="V93" s="81"/>
      <c r="W93" s="81"/>
      <c r="X93" s="81"/>
      <c r="Y93" s="81"/>
      <c r="Z93" s="81"/>
    </row>
    <row r="94" spans="1:26" ht="25" x14ac:dyDescent="0.25">
      <c r="A94" s="52" t="s">
        <v>163</v>
      </c>
      <c r="B94" s="48" t="s">
        <v>31</v>
      </c>
      <c r="C94" s="54"/>
      <c r="D94" s="55"/>
      <c r="E94" s="127"/>
      <c r="F94" s="123"/>
      <c r="G94" s="55"/>
      <c r="H94" s="56"/>
      <c r="I94" s="52" t="str">
        <f t="shared" si="68"/>
        <v>error</v>
      </c>
      <c r="J94" s="52"/>
      <c r="K94" s="1">
        <f t="shared" si="69"/>
        <v>0</v>
      </c>
      <c r="L94" s="1">
        <f t="shared" si="70"/>
        <v>0</v>
      </c>
      <c r="M94" s="1">
        <f t="shared" si="71"/>
        <v>0</v>
      </c>
      <c r="N94" s="1">
        <f t="shared" si="72"/>
        <v>0</v>
      </c>
      <c r="O94" s="1">
        <f t="shared" si="73"/>
        <v>0</v>
      </c>
      <c r="P94" s="1">
        <f t="shared" si="74"/>
        <v>0</v>
      </c>
      <c r="Q94" s="1">
        <f t="shared" si="75"/>
        <v>0</v>
      </c>
      <c r="R94" s="1">
        <f t="shared" si="76"/>
        <v>0</v>
      </c>
      <c r="S94" s="81"/>
      <c r="T94" s="81"/>
      <c r="U94" s="81"/>
      <c r="V94" s="81"/>
      <c r="W94" s="81"/>
      <c r="X94" s="81"/>
      <c r="Y94" s="81"/>
      <c r="Z94" s="81"/>
    </row>
    <row r="95" spans="1:26" ht="13" thickBot="1" x14ac:dyDescent="0.3">
      <c r="A95" s="52"/>
      <c r="B95" s="66"/>
      <c r="C95" s="61"/>
      <c r="D95" s="62"/>
      <c r="E95" s="129"/>
      <c r="F95" s="125"/>
      <c r="G95" s="62"/>
      <c r="H95" s="63"/>
      <c r="I95" s="52" t="str">
        <f t="shared" si="68"/>
        <v xml:space="preserve">       </v>
      </c>
      <c r="J95" s="52"/>
      <c r="K95" s="1">
        <f t="shared" si="69"/>
        <v>0</v>
      </c>
      <c r="L95" s="1">
        <f t="shared" si="70"/>
        <v>0</v>
      </c>
      <c r="M95" s="1">
        <f t="shared" si="71"/>
        <v>0</v>
      </c>
      <c r="N95" s="1">
        <f t="shared" si="72"/>
        <v>0</v>
      </c>
      <c r="O95" s="1">
        <f t="shared" si="73"/>
        <v>0</v>
      </c>
      <c r="P95" s="1">
        <f t="shared" si="74"/>
        <v>0</v>
      </c>
      <c r="Q95" s="1">
        <f t="shared" si="75"/>
        <v>0</v>
      </c>
      <c r="R95" s="1">
        <f t="shared" si="76"/>
        <v>0</v>
      </c>
      <c r="S95" s="81"/>
      <c r="T95" s="81"/>
      <c r="U95" s="81"/>
      <c r="V95" s="81"/>
      <c r="W95" s="81"/>
      <c r="X95" s="81"/>
      <c r="Y95" s="81"/>
      <c r="Z95" s="81"/>
    </row>
    <row r="96" spans="1:26" ht="14" thickTop="1" thickBot="1" x14ac:dyDescent="0.3">
      <c r="A96" s="44" t="s">
        <v>32</v>
      </c>
      <c r="B96" s="45"/>
      <c r="C96" s="64"/>
      <c r="D96" s="64"/>
      <c r="E96" s="64"/>
      <c r="F96" s="64"/>
      <c r="G96" s="64"/>
      <c r="H96" s="64"/>
      <c r="I96" s="144" t="str">
        <f>IF(COUNTIF($I97:$I103,"error")=0,SUM(Q97:Q103)/SUM($K97:$P103),"error")</f>
        <v>error</v>
      </c>
      <c r="J96" s="145" t="str">
        <f>IF(COUNTIF($I97:$I103,"error")=0,SUM(R97:R103)/SUM($K97:$P103),"error")</f>
        <v>error</v>
      </c>
      <c r="S96" s="85"/>
      <c r="T96" s="85"/>
      <c r="U96" s="85"/>
      <c r="V96" s="85"/>
      <c r="W96" s="85"/>
      <c r="X96" s="85"/>
      <c r="Y96" s="85"/>
      <c r="Z96" s="85"/>
    </row>
    <row r="97" spans="1:26" ht="25.5" thickTop="1" x14ac:dyDescent="0.25">
      <c r="A97" s="46" t="s">
        <v>164</v>
      </c>
      <c r="B97" s="48" t="s">
        <v>312</v>
      </c>
      <c r="C97" s="67"/>
      <c r="D97" s="68"/>
      <c r="E97" s="130"/>
      <c r="F97" s="131"/>
      <c r="G97" s="68"/>
      <c r="H97" s="69"/>
      <c r="I97" s="52" t="str">
        <f t="shared" ref="I97:I103" si="77">+IF(OR((SUM(K97:P97)=1),(ISBLANK(B97)=TRUE)),"       ","error")</f>
        <v>error</v>
      </c>
      <c r="J97" s="52"/>
      <c r="K97" s="1">
        <f t="shared" ref="K97:K103" si="78">+IF(AND((ISBLANK($B97)=FALSE),(C97="y")),1,0)</f>
        <v>0</v>
      </c>
      <c r="L97" s="1">
        <f t="shared" ref="L97:L103" si="79">+IF(AND((ISBLANK($B97)=FALSE),(D97="y")),1,0)</f>
        <v>0</v>
      </c>
      <c r="M97" s="1">
        <f t="shared" ref="M97:M103" si="80">+IF(AND((ISBLANK($B97)=FALSE),(E97="y")),1,0)</f>
        <v>0</v>
      </c>
      <c r="N97" s="1">
        <f t="shared" ref="N97:N103" si="81">+IF(AND((ISBLANK($B97)=FALSE),(F97="y")),1,0)</f>
        <v>0</v>
      </c>
      <c r="O97" s="1">
        <f t="shared" ref="O97:O103" si="82">+IF(AND((ISBLANK($B97)=FALSE),(G97="y")),1,0)</f>
        <v>0</v>
      </c>
      <c r="P97" s="1">
        <f t="shared" ref="P97:P103" si="83">+IF(AND((ISBLANK($B97)=FALSE),(H97="y")),1,0)</f>
        <v>0</v>
      </c>
      <c r="Q97" s="1">
        <f>10*K97+5*L97+M97</f>
        <v>0</v>
      </c>
      <c r="R97" s="1">
        <f>10*N97+5*O97</f>
        <v>0</v>
      </c>
      <c r="S97" s="81"/>
      <c r="T97" s="81"/>
      <c r="U97" s="81"/>
      <c r="V97" s="81"/>
      <c r="W97" s="81"/>
      <c r="X97" s="81"/>
      <c r="Y97" s="81"/>
      <c r="Z97" s="81"/>
    </row>
    <row r="98" spans="1:26" ht="37.5" x14ac:dyDescent="0.25">
      <c r="A98" s="52" t="s">
        <v>165</v>
      </c>
      <c r="B98" s="48" t="s">
        <v>222</v>
      </c>
      <c r="C98" s="54"/>
      <c r="D98" s="55"/>
      <c r="E98" s="127"/>
      <c r="F98" s="123"/>
      <c r="G98" s="55"/>
      <c r="H98" s="56"/>
      <c r="I98" s="52" t="str">
        <f t="shared" si="77"/>
        <v>error</v>
      </c>
      <c r="J98" s="52"/>
      <c r="K98" s="1">
        <f t="shared" si="78"/>
        <v>0</v>
      </c>
      <c r="L98" s="1">
        <f t="shared" si="79"/>
        <v>0</v>
      </c>
      <c r="M98" s="1">
        <f t="shared" si="80"/>
        <v>0</v>
      </c>
      <c r="N98" s="1">
        <f t="shared" si="81"/>
        <v>0</v>
      </c>
      <c r="O98" s="1">
        <f t="shared" si="82"/>
        <v>0</v>
      </c>
      <c r="P98" s="1">
        <f t="shared" si="83"/>
        <v>0</v>
      </c>
      <c r="Q98" s="1">
        <f t="shared" ref="Q98:Q103" si="84">10*K98+5*L98+M98</f>
        <v>0</v>
      </c>
      <c r="R98" s="1">
        <f t="shared" ref="R98:R103" si="85">10*N98+5*O98</f>
        <v>0</v>
      </c>
      <c r="S98" s="81"/>
      <c r="T98" s="81"/>
      <c r="U98" s="81"/>
      <c r="V98" s="81"/>
      <c r="W98" s="81"/>
      <c r="X98" s="81"/>
      <c r="Y98" s="81"/>
      <c r="Z98" s="81"/>
    </row>
    <row r="99" spans="1:26" ht="25" x14ac:dyDescent="0.25">
      <c r="A99" s="52" t="s">
        <v>166</v>
      </c>
      <c r="B99" s="48" t="s">
        <v>233</v>
      </c>
      <c r="C99" s="54"/>
      <c r="D99" s="55"/>
      <c r="E99" s="127"/>
      <c r="F99" s="123"/>
      <c r="G99" s="55"/>
      <c r="H99" s="56"/>
      <c r="I99" s="52" t="str">
        <f t="shared" si="77"/>
        <v>error</v>
      </c>
      <c r="J99" s="52"/>
      <c r="K99" s="1">
        <f t="shared" si="78"/>
        <v>0</v>
      </c>
      <c r="L99" s="1">
        <f t="shared" si="79"/>
        <v>0</v>
      </c>
      <c r="M99" s="1">
        <f t="shared" si="80"/>
        <v>0</v>
      </c>
      <c r="N99" s="1">
        <f t="shared" si="81"/>
        <v>0</v>
      </c>
      <c r="O99" s="1">
        <f t="shared" si="82"/>
        <v>0</v>
      </c>
      <c r="P99" s="1">
        <f t="shared" si="83"/>
        <v>0</v>
      </c>
      <c r="Q99" s="1">
        <f t="shared" si="84"/>
        <v>0</v>
      </c>
      <c r="R99" s="1">
        <f t="shared" si="85"/>
        <v>0</v>
      </c>
      <c r="S99" s="81"/>
      <c r="T99" s="81"/>
      <c r="U99" s="81"/>
      <c r="V99" s="81"/>
      <c r="W99" s="81"/>
      <c r="X99" s="81"/>
      <c r="Y99" s="81"/>
      <c r="Z99" s="81"/>
    </row>
    <row r="100" spans="1:26" ht="25" x14ac:dyDescent="0.25">
      <c r="A100" s="52" t="s">
        <v>167</v>
      </c>
      <c r="B100" s="48" t="s">
        <v>223</v>
      </c>
      <c r="C100" s="54"/>
      <c r="D100" s="55"/>
      <c r="E100" s="127"/>
      <c r="F100" s="123"/>
      <c r="G100" s="55"/>
      <c r="H100" s="56"/>
      <c r="I100" s="52" t="str">
        <f t="shared" si="77"/>
        <v>error</v>
      </c>
      <c r="J100" s="52"/>
      <c r="K100" s="1">
        <f t="shared" si="78"/>
        <v>0</v>
      </c>
      <c r="L100" s="1">
        <f t="shared" si="79"/>
        <v>0</v>
      </c>
      <c r="M100" s="1">
        <f t="shared" si="80"/>
        <v>0</v>
      </c>
      <c r="N100" s="1">
        <f t="shared" si="81"/>
        <v>0</v>
      </c>
      <c r="O100" s="1">
        <f t="shared" si="82"/>
        <v>0</v>
      </c>
      <c r="P100" s="1">
        <f t="shared" si="83"/>
        <v>0</v>
      </c>
      <c r="Q100" s="1">
        <f t="shared" si="84"/>
        <v>0</v>
      </c>
      <c r="R100" s="1">
        <f t="shared" si="85"/>
        <v>0</v>
      </c>
      <c r="S100" s="81"/>
      <c r="T100" s="81"/>
      <c r="U100" s="81"/>
      <c r="V100" s="81"/>
      <c r="W100" s="81"/>
      <c r="X100" s="81"/>
      <c r="Y100" s="81"/>
      <c r="Z100" s="81"/>
    </row>
    <row r="101" spans="1:26" ht="37.5" x14ac:dyDescent="0.25">
      <c r="A101" s="52" t="s">
        <v>168</v>
      </c>
      <c r="B101" s="48" t="s">
        <v>313</v>
      </c>
      <c r="C101" s="54"/>
      <c r="D101" s="55"/>
      <c r="E101" s="127"/>
      <c r="F101" s="123"/>
      <c r="G101" s="55"/>
      <c r="H101" s="56"/>
      <c r="I101" s="52" t="str">
        <f t="shared" si="77"/>
        <v>error</v>
      </c>
      <c r="J101" s="52"/>
      <c r="K101" s="1">
        <f t="shared" si="78"/>
        <v>0</v>
      </c>
      <c r="L101" s="1">
        <f t="shared" si="79"/>
        <v>0</v>
      </c>
      <c r="M101" s="1">
        <f t="shared" si="80"/>
        <v>0</v>
      </c>
      <c r="N101" s="1">
        <f t="shared" si="81"/>
        <v>0</v>
      </c>
      <c r="O101" s="1">
        <f t="shared" si="82"/>
        <v>0</v>
      </c>
      <c r="P101" s="1">
        <f t="shared" si="83"/>
        <v>0</v>
      </c>
      <c r="Q101" s="1">
        <f t="shared" si="84"/>
        <v>0</v>
      </c>
      <c r="R101" s="1">
        <f t="shared" si="85"/>
        <v>0</v>
      </c>
      <c r="S101" s="81"/>
      <c r="T101" s="81"/>
      <c r="U101" s="81"/>
      <c r="V101" s="81"/>
      <c r="W101" s="81"/>
      <c r="X101" s="81"/>
      <c r="Y101" s="81"/>
      <c r="Z101" s="81"/>
    </row>
    <row r="102" spans="1:26" ht="25" x14ac:dyDescent="0.25">
      <c r="A102" s="52" t="s">
        <v>169</v>
      </c>
      <c r="B102" s="48" t="s">
        <v>234</v>
      </c>
      <c r="C102" s="54"/>
      <c r="D102" s="55"/>
      <c r="E102" s="127"/>
      <c r="F102" s="123"/>
      <c r="G102" s="55"/>
      <c r="H102" s="56"/>
      <c r="I102" s="52" t="str">
        <f t="shared" si="77"/>
        <v>error</v>
      </c>
      <c r="J102" s="52"/>
      <c r="K102" s="1">
        <f t="shared" si="78"/>
        <v>0</v>
      </c>
      <c r="L102" s="1">
        <f t="shared" si="79"/>
        <v>0</v>
      </c>
      <c r="M102" s="1">
        <f t="shared" si="80"/>
        <v>0</v>
      </c>
      <c r="N102" s="1">
        <f t="shared" si="81"/>
        <v>0</v>
      </c>
      <c r="O102" s="1">
        <f t="shared" si="82"/>
        <v>0</v>
      </c>
      <c r="P102" s="1">
        <f t="shared" si="83"/>
        <v>0</v>
      </c>
      <c r="Q102" s="1">
        <f t="shared" si="84"/>
        <v>0</v>
      </c>
      <c r="R102" s="1">
        <f t="shared" si="85"/>
        <v>0</v>
      </c>
      <c r="S102" s="81"/>
      <c r="T102" s="81"/>
      <c r="U102" s="81"/>
      <c r="V102" s="81"/>
      <c r="W102" s="81"/>
      <c r="X102" s="81"/>
      <c r="Y102" s="81"/>
      <c r="Z102" s="81"/>
    </row>
    <row r="103" spans="1:26" ht="13" thickBot="1" x14ac:dyDescent="0.3">
      <c r="A103" s="52"/>
      <c r="B103" s="48"/>
      <c r="C103" s="61"/>
      <c r="D103" s="62"/>
      <c r="E103" s="129"/>
      <c r="F103" s="125"/>
      <c r="G103" s="62"/>
      <c r="H103" s="63"/>
      <c r="I103" s="52" t="str">
        <f t="shared" si="77"/>
        <v xml:space="preserve">       </v>
      </c>
      <c r="J103" s="52"/>
      <c r="K103" s="1">
        <f t="shared" si="78"/>
        <v>0</v>
      </c>
      <c r="L103" s="1">
        <f t="shared" si="79"/>
        <v>0</v>
      </c>
      <c r="M103" s="1">
        <f t="shared" si="80"/>
        <v>0</v>
      </c>
      <c r="N103" s="1">
        <f t="shared" si="81"/>
        <v>0</v>
      </c>
      <c r="O103" s="1">
        <f t="shared" si="82"/>
        <v>0</v>
      </c>
      <c r="P103" s="1">
        <f t="shared" si="83"/>
        <v>0</v>
      </c>
      <c r="Q103" s="1">
        <f t="shared" si="84"/>
        <v>0</v>
      </c>
      <c r="R103" s="1">
        <f t="shared" si="85"/>
        <v>0</v>
      </c>
      <c r="S103" s="81"/>
      <c r="T103" s="81"/>
      <c r="U103" s="81"/>
      <c r="V103" s="81"/>
      <c r="W103" s="81"/>
      <c r="X103" s="81"/>
      <c r="Y103" s="81"/>
      <c r="Z103" s="81"/>
    </row>
    <row r="104" spans="1:26" ht="14" thickTop="1" thickBot="1" x14ac:dyDescent="0.3">
      <c r="A104" s="44" t="s">
        <v>34</v>
      </c>
      <c r="B104" s="45"/>
      <c r="C104" s="64"/>
      <c r="D104" s="64"/>
      <c r="E104" s="64"/>
      <c r="F104" s="64"/>
      <c r="G104" s="64"/>
      <c r="H104" s="64"/>
      <c r="I104" s="144" t="str">
        <f>IF(COUNTIF($I105:$I109,"error")=0,SUM(Q105:Q109)/SUM($K105:$P109),"error")</f>
        <v>error</v>
      </c>
      <c r="J104" s="145" t="str">
        <f>IF(COUNTIF($I105:$I109,"error")=0,SUM(R105:R109)/SUM($K105:$P109),"error")</f>
        <v>error</v>
      </c>
      <c r="S104" s="85"/>
      <c r="T104" s="85"/>
      <c r="U104" s="85">
        <f>COUNT(Q105:Q109)</f>
        <v>5</v>
      </c>
      <c r="V104" s="85"/>
      <c r="W104" s="85"/>
      <c r="X104" s="85"/>
      <c r="Y104" s="85"/>
      <c r="Z104" s="85"/>
    </row>
    <row r="105" spans="1:26" ht="13" thickTop="1" x14ac:dyDescent="0.25">
      <c r="A105" s="46" t="s">
        <v>170</v>
      </c>
      <c r="B105" s="66" t="s">
        <v>35</v>
      </c>
      <c r="C105" s="67"/>
      <c r="D105" s="68"/>
      <c r="E105" s="130"/>
      <c r="F105" s="131"/>
      <c r="G105" s="68"/>
      <c r="H105" s="69"/>
      <c r="I105" s="52" t="str">
        <f>+IF(OR((SUM(K105:P105)=1),(ISBLANK(B105)=TRUE)),"       ","error")</f>
        <v>error</v>
      </c>
      <c r="J105" s="52"/>
      <c r="K105" s="1">
        <f t="shared" ref="K105:P109" si="86">+IF(AND((ISBLANK($B105)=FALSE),(C105="y")),1,0)</f>
        <v>0</v>
      </c>
      <c r="L105" s="1">
        <f t="shared" si="86"/>
        <v>0</v>
      </c>
      <c r="M105" s="1">
        <f t="shared" si="86"/>
        <v>0</v>
      </c>
      <c r="N105" s="1">
        <f t="shared" si="86"/>
        <v>0</v>
      </c>
      <c r="O105" s="1">
        <f t="shared" si="86"/>
        <v>0</v>
      </c>
      <c r="P105" s="1">
        <f t="shared" si="86"/>
        <v>0</v>
      </c>
      <c r="Q105" s="1">
        <f>10*K105+5*L105+M105</f>
        <v>0</v>
      </c>
      <c r="R105" s="1">
        <f>10*N105+5*O105</f>
        <v>0</v>
      </c>
      <c r="S105" s="81"/>
      <c r="T105" s="81"/>
      <c r="U105" s="81"/>
      <c r="V105" s="81"/>
      <c r="W105" s="81"/>
      <c r="X105" s="81"/>
      <c r="Y105" s="81"/>
      <c r="Z105" s="81"/>
    </row>
    <row r="106" spans="1:26" x14ac:dyDescent="0.25">
      <c r="A106" s="52" t="s">
        <v>171</v>
      </c>
      <c r="B106" s="66" t="s">
        <v>36</v>
      </c>
      <c r="C106" s="54"/>
      <c r="D106" s="55"/>
      <c r="E106" s="127"/>
      <c r="F106" s="123"/>
      <c r="G106" s="55"/>
      <c r="H106" s="56"/>
      <c r="I106" s="52" t="str">
        <f>+IF(OR((SUM(K106:P106)=1),(ISBLANK(B106)=TRUE)),"       ","error")</f>
        <v>error</v>
      </c>
      <c r="J106" s="52"/>
      <c r="K106" s="1">
        <f t="shared" si="86"/>
        <v>0</v>
      </c>
      <c r="L106" s="1">
        <f t="shared" si="86"/>
        <v>0</v>
      </c>
      <c r="M106" s="1">
        <f t="shared" si="86"/>
        <v>0</v>
      </c>
      <c r="N106" s="1">
        <f t="shared" si="86"/>
        <v>0</v>
      </c>
      <c r="O106" s="1">
        <f t="shared" si="86"/>
        <v>0</v>
      </c>
      <c r="P106" s="1">
        <f t="shared" si="86"/>
        <v>0</v>
      </c>
      <c r="Q106" s="1">
        <f>10*K106+5*L106+M106</f>
        <v>0</v>
      </c>
      <c r="R106" s="1">
        <f>10*N106+5*O106</f>
        <v>0</v>
      </c>
      <c r="S106" s="81"/>
      <c r="T106" s="81"/>
      <c r="U106" s="81"/>
      <c r="V106" s="81"/>
      <c r="W106" s="81"/>
      <c r="X106" s="81"/>
      <c r="Y106" s="81"/>
      <c r="Z106" s="81"/>
    </row>
    <row r="107" spans="1:26" x14ac:dyDescent="0.25">
      <c r="A107" s="52" t="s">
        <v>172</v>
      </c>
      <c r="B107" s="66" t="s">
        <v>37</v>
      </c>
      <c r="C107" s="54"/>
      <c r="D107" s="55"/>
      <c r="E107" s="127"/>
      <c r="F107" s="123"/>
      <c r="G107" s="55"/>
      <c r="H107" s="56"/>
      <c r="I107" s="52" t="str">
        <f>+IF(OR((SUM(K107:P107)=1),(ISBLANK(B107)=TRUE)),"       ","error")</f>
        <v>error</v>
      </c>
      <c r="J107" s="52"/>
      <c r="K107" s="1">
        <f t="shared" si="86"/>
        <v>0</v>
      </c>
      <c r="L107" s="1">
        <f t="shared" si="86"/>
        <v>0</v>
      </c>
      <c r="M107" s="1">
        <f t="shared" si="86"/>
        <v>0</v>
      </c>
      <c r="N107" s="1">
        <f t="shared" si="86"/>
        <v>0</v>
      </c>
      <c r="O107" s="1">
        <f t="shared" si="86"/>
        <v>0</v>
      </c>
      <c r="P107" s="1">
        <f t="shared" si="86"/>
        <v>0</v>
      </c>
      <c r="Q107" s="1">
        <f>10*K107+5*L107+M107</f>
        <v>0</v>
      </c>
      <c r="R107" s="1">
        <f>10*N107+5*O107</f>
        <v>0</v>
      </c>
      <c r="S107" s="81"/>
      <c r="T107" s="81"/>
      <c r="U107" s="81"/>
      <c r="V107" s="81"/>
      <c r="W107" s="81"/>
      <c r="X107" s="81"/>
      <c r="Y107" s="81"/>
      <c r="Z107" s="81"/>
    </row>
    <row r="108" spans="1:26" x14ac:dyDescent="0.25">
      <c r="A108" s="52" t="s">
        <v>173</v>
      </c>
      <c r="B108" s="66" t="s">
        <v>38</v>
      </c>
      <c r="C108" s="54"/>
      <c r="D108" s="55"/>
      <c r="E108" s="127"/>
      <c r="F108" s="123"/>
      <c r="G108" s="55"/>
      <c r="H108" s="56"/>
      <c r="I108" s="52" t="str">
        <f>+IF(OR((SUM(K108:P108)=1),(ISBLANK(B108)=TRUE)),"       ","error")</f>
        <v>error</v>
      </c>
      <c r="J108" s="52"/>
      <c r="K108" s="1">
        <f t="shared" si="86"/>
        <v>0</v>
      </c>
      <c r="L108" s="1">
        <f t="shared" si="86"/>
        <v>0</v>
      </c>
      <c r="M108" s="1">
        <f t="shared" si="86"/>
        <v>0</v>
      </c>
      <c r="N108" s="1">
        <f t="shared" si="86"/>
        <v>0</v>
      </c>
      <c r="O108" s="1">
        <f t="shared" si="86"/>
        <v>0</v>
      </c>
      <c r="P108" s="1">
        <f t="shared" si="86"/>
        <v>0</v>
      </c>
      <c r="Q108" s="1">
        <f>10*K108+5*L108+M108</f>
        <v>0</v>
      </c>
      <c r="R108" s="1">
        <f>10*N108+5*O108</f>
        <v>0</v>
      </c>
      <c r="S108" s="81"/>
      <c r="T108" s="81"/>
      <c r="U108" s="81"/>
      <c r="V108" s="81"/>
      <c r="W108" s="81"/>
      <c r="X108" s="81"/>
      <c r="Y108" s="81"/>
      <c r="Z108" s="81"/>
    </row>
    <row r="109" spans="1:26" ht="13" thickBot="1" x14ac:dyDescent="0.3">
      <c r="A109" s="52"/>
      <c r="B109" s="66"/>
      <c r="C109" s="61"/>
      <c r="D109" s="62"/>
      <c r="E109" s="129"/>
      <c r="F109" s="125"/>
      <c r="G109" s="62"/>
      <c r="H109" s="63"/>
      <c r="I109" s="52" t="str">
        <f>+IF(OR((SUM(K109:P109)=1),(ISBLANK(B109)=TRUE)),"       ","error")</f>
        <v xml:space="preserve">       </v>
      </c>
      <c r="J109" s="52"/>
      <c r="K109" s="1">
        <f t="shared" si="86"/>
        <v>0</v>
      </c>
      <c r="L109" s="1">
        <f t="shared" si="86"/>
        <v>0</v>
      </c>
      <c r="M109" s="1">
        <f t="shared" si="86"/>
        <v>0</v>
      </c>
      <c r="N109" s="1">
        <f t="shared" si="86"/>
        <v>0</v>
      </c>
      <c r="O109" s="1">
        <f t="shared" si="86"/>
        <v>0</v>
      </c>
      <c r="P109" s="1">
        <f t="shared" si="86"/>
        <v>0</v>
      </c>
      <c r="Q109" s="1">
        <f>10*K109+5*L109+M109</f>
        <v>0</v>
      </c>
      <c r="R109" s="1">
        <f>10*N109+5*O109</f>
        <v>0</v>
      </c>
      <c r="S109" s="81"/>
      <c r="T109" s="81"/>
      <c r="U109" s="81"/>
      <c r="V109" s="81"/>
      <c r="W109" s="81"/>
      <c r="X109" s="81"/>
      <c r="Y109" s="81"/>
      <c r="Z109" s="81"/>
    </row>
    <row r="110" spans="1:26" ht="14" thickTop="1" thickBot="1" x14ac:dyDescent="0.3">
      <c r="A110" s="44" t="s">
        <v>39</v>
      </c>
      <c r="B110" s="45"/>
      <c r="C110" s="64"/>
      <c r="D110" s="64"/>
      <c r="E110" s="64"/>
      <c r="F110" s="64"/>
      <c r="G110" s="64"/>
      <c r="H110" s="64"/>
      <c r="I110" s="144" t="str">
        <f>IF(COUNTIF($I111:$I115,"error")=0,SUM(Q111:Q115)/SUM($K111:$P115),"error")</f>
        <v>error</v>
      </c>
      <c r="J110" s="145" t="str">
        <f>IF(COUNTIF($I111:$I115,"error")=0,SUM(R111:R115)/SUM($K111:$P115),"error")</f>
        <v>error</v>
      </c>
      <c r="S110" s="85"/>
      <c r="T110" s="85"/>
      <c r="U110" s="85"/>
      <c r="V110" s="85"/>
      <c r="W110" s="85"/>
      <c r="X110" s="85"/>
      <c r="Y110" s="85"/>
      <c r="Z110" s="85"/>
    </row>
    <row r="111" spans="1:26" ht="13" thickTop="1" x14ac:dyDescent="0.25">
      <c r="A111" s="46" t="s">
        <v>174</v>
      </c>
      <c r="B111" s="66" t="s">
        <v>40</v>
      </c>
      <c r="C111" s="67"/>
      <c r="D111" s="68"/>
      <c r="E111" s="130"/>
      <c r="F111" s="131"/>
      <c r="G111" s="68"/>
      <c r="H111" s="69"/>
      <c r="I111" s="52" t="str">
        <f>+IF(OR((SUM(K111:P111)=1),(ISBLANK(B111)=TRUE)),"       ","error")</f>
        <v>error</v>
      </c>
      <c r="J111" s="52"/>
      <c r="K111" s="1">
        <f t="shared" ref="K111:P115" si="87">+IF(AND((ISBLANK($B111)=FALSE),(C111="y")),1,0)</f>
        <v>0</v>
      </c>
      <c r="L111" s="1">
        <f t="shared" si="87"/>
        <v>0</v>
      </c>
      <c r="M111" s="1">
        <f t="shared" si="87"/>
        <v>0</v>
      </c>
      <c r="N111" s="1">
        <f t="shared" si="87"/>
        <v>0</v>
      </c>
      <c r="O111" s="1">
        <f t="shared" si="87"/>
        <v>0</v>
      </c>
      <c r="P111" s="1">
        <f t="shared" si="87"/>
        <v>0</v>
      </c>
      <c r="Q111" s="1">
        <f>10*K111+5*L111+M111</f>
        <v>0</v>
      </c>
      <c r="R111" s="1">
        <f>10*N111+5*O111</f>
        <v>0</v>
      </c>
      <c r="S111" s="81"/>
      <c r="T111" s="81"/>
      <c r="U111" s="81"/>
      <c r="V111" s="81"/>
      <c r="W111" s="81"/>
      <c r="X111" s="81"/>
      <c r="Y111" s="81"/>
      <c r="Z111" s="81"/>
    </row>
    <row r="112" spans="1:26" x14ac:dyDescent="0.25">
      <c r="A112" s="52" t="s">
        <v>175</v>
      </c>
      <c r="B112" s="66" t="s">
        <v>41</v>
      </c>
      <c r="C112" s="54"/>
      <c r="D112" s="55"/>
      <c r="E112" s="127"/>
      <c r="F112" s="123"/>
      <c r="G112" s="55"/>
      <c r="H112" s="56"/>
      <c r="I112" s="52" t="str">
        <f>+IF(OR((SUM(K112:P112)=1),(ISBLANK(B112)=TRUE)),"       ","error")</f>
        <v>error</v>
      </c>
      <c r="J112" s="52"/>
      <c r="K112" s="1">
        <f t="shared" si="87"/>
        <v>0</v>
      </c>
      <c r="L112" s="1">
        <f t="shared" si="87"/>
        <v>0</v>
      </c>
      <c r="M112" s="1">
        <f t="shared" si="87"/>
        <v>0</v>
      </c>
      <c r="N112" s="1">
        <f t="shared" si="87"/>
        <v>0</v>
      </c>
      <c r="O112" s="1">
        <f t="shared" si="87"/>
        <v>0</v>
      </c>
      <c r="P112" s="1">
        <f t="shared" si="87"/>
        <v>0</v>
      </c>
      <c r="Q112" s="1">
        <f>10*K112+5*L112+M112</f>
        <v>0</v>
      </c>
      <c r="R112" s="1">
        <f>10*N112+5*O112</f>
        <v>0</v>
      </c>
      <c r="S112" s="81"/>
      <c r="T112" s="81"/>
      <c r="U112" s="81"/>
      <c r="V112" s="81"/>
      <c r="W112" s="81"/>
      <c r="X112" s="81"/>
      <c r="Y112" s="81"/>
      <c r="Z112" s="81"/>
    </row>
    <row r="113" spans="1:26" x14ac:dyDescent="0.25">
      <c r="A113" s="52" t="s">
        <v>176</v>
      </c>
      <c r="B113" s="66" t="s">
        <v>33</v>
      </c>
      <c r="C113" s="54"/>
      <c r="D113" s="55"/>
      <c r="E113" s="127"/>
      <c r="F113" s="123"/>
      <c r="G113" s="55"/>
      <c r="H113" s="56"/>
      <c r="I113" s="52" t="str">
        <f>+IF(OR((SUM(K113:P113)=1),(ISBLANK(B113)=TRUE)),"       ","error")</f>
        <v>error</v>
      </c>
      <c r="J113" s="52"/>
      <c r="K113" s="1">
        <f t="shared" si="87"/>
        <v>0</v>
      </c>
      <c r="L113" s="1">
        <f t="shared" si="87"/>
        <v>0</v>
      </c>
      <c r="M113" s="1">
        <f t="shared" si="87"/>
        <v>0</v>
      </c>
      <c r="N113" s="1">
        <f t="shared" si="87"/>
        <v>0</v>
      </c>
      <c r="O113" s="1">
        <f t="shared" si="87"/>
        <v>0</v>
      </c>
      <c r="P113" s="1">
        <f t="shared" si="87"/>
        <v>0</v>
      </c>
      <c r="Q113" s="1">
        <f>10*K113+5*L113+M113</f>
        <v>0</v>
      </c>
      <c r="R113" s="1">
        <f>10*N113+5*O113</f>
        <v>0</v>
      </c>
      <c r="S113" s="81"/>
      <c r="T113" s="81"/>
      <c r="U113" s="81"/>
      <c r="V113" s="81"/>
      <c r="W113" s="81"/>
      <c r="X113" s="81"/>
      <c r="Y113" s="81"/>
      <c r="Z113" s="81"/>
    </row>
    <row r="114" spans="1:26" x14ac:dyDescent="0.25">
      <c r="A114" s="52" t="s">
        <v>177</v>
      </c>
      <c r="B114" s="66" t="s">
        <v>42</v>
      </c>
      <c r="C114" s="54"/>
      <c r="D114" s="55"/>
      <c r="E114" s="127"/>
      <c r="F114" s="123"/>
      <c r="G114" s="55"/>
      <c r="H114" s="56"/>
      <c r="I114" s="52" t="str">
        <f>+IF(OR((SUM(K114:P114)=1),(ISBLANK(B114)=TRUE)),"       ","error")</f>
        <v>error</v>
      </c>
      <c r="J114" s="52"/>
      <c r="K114" s="1">
        <f t="shared" si="87"/>
        <v>0</v>
      </c>
      <c r="L114" s="1">
        <f t="shared" si="87"/>
        <v>0</v>
      </c>
      <c r="M114" s="1">
        <f t="shared" si="87"/>
        <v>0</v>
      </c>
      <c r="N114" s="1">
        <f t="shared" si="87"/>
        <v>0</v>
      </c>
      <c r="O114" s="1">
        <f t="shared" si="87"/>
        <v>0</v>
      </c>
      <c r="P114" s="1">
        <f t="shared" si="87"/>
        <v>0</v>
      </c>
      <c r="Q114" s="1">
        <f>10*K114+5*L114+M114</f>
        <v>0</v>
      </c>
      <c r="R114" s="1">
        <f>10*N114+5*O114</f>
        <v>0</v>
      </c>
      <c r="S114" s="81"/>
      <c r="T114" s="81"/>
      <c r="U114" s="81"/>
      <c r="V114" s="81"/>
      <c r="W114" s="81"/>
      <c r="X114" s="81"/>
      <c r="Y114" s="81"/>
      <c r="Z114" s="81"/>
    </row>
    <row r="115" spans="1:26" ht="13" thickBot="1" x14ac:dyDescent="0.3">
      <c r="A115" s="52"/>
      <c r="B115" s="66"/>
      <c r="C115" s="61"/>
      <c r="D115" s="62"/>
      <c r="E115" s="129"/>
      <c r="F115" s="125"/>
      <c r="G115" s="62"/>
      <c r="H115" s="63"/>
      <c r="I115" s="52" t="str">
        <f>+IF(OR((SUM(K115:P115)=1),(ISBLANK(B115)=TRUE)),"       ","error")</f>
        <v xml:space="preserve">       </v>
      </c>
      <c r="J115" s="52"/>
      <c r="K115" s="1">
        <f t="shared" si="87"/>
        <v>0</v>
      </c>
      <c r="L115" s="1">
        <f t="shared" si="87"/>
        <v>0</v>
      </c>
      <c r="M115" s="1">
        <f t="shared" si="87"/>
        <v>0</v>
      </c>
      <c r="N115" s="1">
        <f t="shared" si="87"/>
        <v>0</v>
      </c>
      <c r="O115" s="1">
        <f t="shared" si="87"/>
        <v>0</v>
      </c>
      <c r="P115" s="1">
        <f t="shared" si="87"/>
        <v>0</v>
      </c>
      <c r="Q115" s="1">
        <f>10*K115+5*L115+M115</f>
        <v>0</v>
      </c>
      <c r="R115" s="1">
        <f>10*N115+5*O115</f>
        <v>0</v>
      </c>
      <c r="S115" s="81"/>
      <c r="T115" s="81"/>
      <c r="U115" s="81"/>
      <c r="V115" s="81"/>
      <c r="W115" s="81"/>
      <c r="X115" s="81"/>
      <c r="Y115" s="81"/>
      <c r="Z115" s="81"/>
    </row>
    <row r="116" spans="1:26" ht="14" thickTop="1" thickBot="1" x14ac:dyDescent="0.3">
      <c r="A116" s="44" t="s">
        <v>43</v>
      </c>
      <c r="B116" s="45"/>
      <c r="C116" s="64"/>
      <c r="D116" s="64"/>
      <c r="E116" s="64"/>
      <c r="F116" s="64"/>
      <c r="G116" s="64"/>
      <c r="H116" s="64"/>
      <c r="I116" s="144" t="str">
        <f>IF(COUNTIF($I117:$I120,"error")=0,SUM(Q117:Q120)/SUM($K117:$P120),"error")</f>
        <v>error</v>
      </c>
      <c r="J116" s="145" t="str">
        <f>IF(COUNTIF($I117:$I120,"error")=0,SUM(R117:R120)/SUM($K117:$P120),"error")</f>
        <v>error</v>
      </c>
      <c r="S116" s="85"/>
      <c r="T116" s="85"/>
      <c r="U116" s="85"/>
      <c r="V116" s="85"/>
      <c r="W116" s="85"/>
      <c r="X116" s="85"/>
      <c r="Y116" s="85"/>
      <c r="Z116" s="85"/>
    </row>
    <row r="117" spans="1:26" ht="13" thickTop="1" x14ac:dyDescent="0.25">
      <c r="A117" s="46" t="s">
        <v>178</v>
      </c>
      <c r="B117" s="66" t="s">
        <v>44</v>
      </c>
      <c r="C117" s="67"/>
      <c r="D117" s="68"/>
      <c r="E117" s="130"/>
      <c r="F117" s="131"/>
      <c r="G117" s="68"/>
      <c r="H117" s="69"/>
      <c r="I117" s="52" t="str">
        <f>+IF(OR((SUM(K117:P117)=1),(ISBLANK(B117)=TRUE)),"       ","error")</f>
        <v>error</v>
      </c>
      <c r="J117" s="52"/>
      <c r="K117" s="1">
        <f t="shared" ref="K117:P120" si="88">+IF(AND((ISBLANK($B117)=FALSE),(C117="y")),1,0)</f>
        <v>0</v>
      </c>
      <c r="L117" s="1">
        <f t="shared" si="88"/>
        <v>0</v>
      </c>
      <c r="M117" s="1">
        <f t="shared" si="88"/>
        <v>0</v>
      </c>
      <c r="N117" s="1">
        <f t="shared" si="88"/>
        <v>0</v>
      </c>
      <c r="O117" s="1">
        <f t="shared" si="88"/>
        <v>0</v>
      </c>
      <c r="P117" s="1">
        <f t="shared" si="88"/>
        <v>0</v>
      </c>
      <c r="Q117" s="1">
        <f>10*K117+5*L117+M117</f>
        <v>0</v>
      </c>
      <c r="R117" s="1">
        <f>10*N117+5*O117</f>
        <v>0</v>
      </c>
      <c r="S117" s="81"/>
      <c r="T117" s="81"/>
      <c r="U117" s="81"/>
      <c r="V117" s="81"/>
      <c r="W117" s="81"/>
      <c r="X117" s="81"/>
      <c r="Y117" s="81"/>
      <c r="Z117" s="81"/>
    </row>
    <row r="118" spans="1:26" x14ac:dyDescent="0.25">
      <c r="A118" s="52" t="s">
        <v>179</v>
      </c>
      <c r="B118" s="66" t="s">
        <v>42</v>
      </c>
      <c r="C118" s="54"/>
      <c r="D118" s="55"/>
      <c r="E118" s="127"/>
      <c r="F118" s="123"/>
      <c r="G118" s="55"/>
      <c r="H118" s="56"/>
      <c r="I118" s="52" t="str">
        <f>+IF(OR((SUM(K118:P118)=1),(ISBLANK(B118)=TRUE)),"       ","error")</f>
        <v>error</v>
      </c>
      <c r="J118" s="52"/>
      <c r="K118" s="1">
        <f t="shared" si="88"/>
        <v>0</v>
      </c>
      <c r="L118" s="1">
        <f t="shared" si="88"/>
        <v>0</v>
      </c>
      <c r="M118" s="1">
        <f t="shared" si="88"/>
        <v>0</v>
      </c>
      <c r="N118" s="1">
        <f t="shared" si="88"/>
        <v>0</v>
      </c>
      <c r="O118" s="1">
        <f t="shared" si="88"/>
        <v>0</v>
      </c>
      <c r="P118" s="1">
        <f t="shared" si="88"/>
        <v>0</v>
      </c>
      <c r="Q118" s="1">
        <f>10*K118+5*L118+M118</f>
        <v>0</v>
      </c>
      <c r="R118" s="1">
        <f>10*N118+5*O118</f>
        <v>0</v>
      </c>
      <c r="S118" s="81"/>
      <c r="T118" s="81"/>
      <c r="U118" s="81"/>
      <c r="V118" s="81"/>
      <c r="W118" s="81"/>
      <c r="X118" s="81"/>
      <c r="Y118" s="81"/>
      <c r="Z118" s="81"/>
    </row>
    <row r="119" spans="1:26" x14ac:dyDescent="0.25">
      <c r="A119" s="52" t="s">
        <v>180</v>
      </c>
      <c r="B119" s="66" t="s">
        <v>45</v>
      </c>
      <c r="C119" s="54"/>
      <c r="D119" s="55"/>
      <c r="E119" s="127"/>
      <c r="F119" s="123"/>
      <c r="G119" s="55"/>
      <c r="H119" s="56"/>
      <c r="I119" s="52" t="str">
        <f>+IF(OR((SUM(K119:P119)=1),(ISBLANK(B119)=TRUE)),"       ","error")</f>
        <v>error</v>
      </c>
      <c r="J119" s="52"/>
      <c r="K119" s="1">
        <f t="shared" si="88"/>
        <v>0</v>
      </c>
      <c r="L119" s="1">
        <f t="shared" si="88"/>
        <v>0</v>
      </c>
      <c r="M119" s="1">
        <f t="shared" si="88"/>
        <v>0</v>
      </c>
      <c r="N119" s="1">
        <f t="shared" si="88"/>
        <v>0</v>
      </c>
      <c r="O119" s="1">
        <f t="shared" si="88"/>
        <v>0</v>
      </c>
      <c r="P119" s="1">
        <f t="shared" si="88"/>
        <v>0</v>
      </c>
      <c r="Q119" s="1">
        <f>10*K119+5*L119+M119</f>
        <v>0</v>
      </c>
      <c r="R119" s="1">
        <f>10*N119+5*O119</f>
        <v>0</v>
      </c>
      <c r="S119" s="81"/>
      <c r="T119" s="81"/>
      <c r="U119" s="81"/>
      <c r="V119" s="81"/>
      <c r="W119" s="81"/>
      <c r="X119" s="81"/>
      <c r="Y119" s="81"/>
      <c r="Z119" s="81"/>
    </row>
    <row r="120" spans="1:26" ht="13" thickBot="1" x14ac:dyDescent="0.3">
      <c r="A120" s="52"/>
      <c r="B120" s="66"/>
      <c r="C120" s="61"/>
      <c r="D120" s="62"/>
      <c r="E120" s="129"/>
      <c r="F120" s="125"/>
      <c r="G120" s="62"/>
      <c r="H120" s="63"/>
      <c r="I120" s="52" t="str">
        <f>+IF(OR((SUM(K120:P120)=1),(ISBLANK(B120)=TRUE)),"       ","error")</f>
        <v xml:space="preserve">       </v>
      </c>
      <c r="J120" s="52"/>
      <c r="K120" s="1">
        <f t="shared" si="88"/>
        <v>0</v>
      </c>
      <c r="L120" s="1">
        <f t="shared" si="88"/>
        <v>0</v>
      </c>
      <c r="M120" s="1">
        <f t="shared" si="88"/>
        <v>0</v>
      </c>
      <c r="N120" s="1">
        <f t="shared" si="88"/>
        <v>0</v>
      </c>
      <c r="O120" s="1">
        <f t="shared" si="88"/>
        <v>0</v>
      </c>
      <c r="P120" s="1">
        <f t="shared" si="88"/>
        <v>0</v>
      </c>
      <c r="Q120" s="1">
        <f>10*K120+5*L120+M120</f>
        <v>0</v>
      </c>
      <c r="R120" s="1">
        <f>10*N120+5*O120</f>
        <v>0</v>
      </c>
      <c r="S120" s="81"/>
      <c r="T120" s="81"/>
      <c r="U120" s="81"/>
      <c r="V120" s="81"/>
      <c r="W120" s="81"/>
      <c r="X120" s="81"/>
      <c r="Y120" s="81"/>
      <c r="Z120" s="81"/>
    </row>
    <row r="121" spans="1:26" ht="14" thickTop="1" thickBot="1" x14ac:dyDescent="0.3">
      <c r="A121" s="44" t="s">
        <v>46</v>
      </c>
      <c r="B121" s="45"/>
      <c r="C121" s="64"/>
      <c r="D121" s="64"/>
      <c r="E121" s="64"/>
      <c r="F121" s="64"/>
      <c r="G121" s="64"/>
      <c r="H121" s="64"/>
      <c r="I121" s="144" t="str">
        <f>IF(COUNTIF($I122:$I123,"error")=0,SUM(Q122:Q123)/SUM($K122:$P123),"error")</f>
        <v>error</v>
      </c>
      <c r="J121" s="145" t="str">
        <f>IF(COUNTIF($I122:$I123,"error")=0,SUM(R122:R123)/SUM($K122:$P123),"error")</f>
        <v>error</v>
      </c>
      <c r="S121" s="86"/>
      <c r="T121" s="86"/>
      <c r="U121" s="86"/>
      <c r="V121" s="86"/>
      <c r="W121" s="86"/>
      <c r="X121" s="86"/>
      <c r="Y121" s="86"/>
      <c r="Z121" s="86"/>
    </row>
    <row r="122" spans="1:26" ht="25.5" thickTop="1" x14ac:dyDescent="0.25">
      <c r="A122" s="46" t="s">
        <v>181</v>
      </c>
      <c r="B122" s="48" t="s">
        <v>48</v>
      </c>
      <c r="C122" s="67"/>
      <c r="D122" s="68"/>
      <c r="E122" s="130"/>
      <c r="F122" s="131"/>
      <c r="G122" s="68"/>
      <c r="H122" s="69"/>
      <c r="I122" s="52" t="str">
        <f>+IF(OR((SUM(K122:P122)=1),(ISBLANK(B122)=TRUE)),"       ","error")</f>
        <v>error</v>
      </c>
      <c r="J122" s="52"/>
      <c r="K122" s="1">
        <f t="shared" ref="K122:P123" si="89">+IF(AND((ISBLANK($B122)=FALSE),(C122="y")),1,0)</f>
        <v>0</v>
      </c>
      <c r="L122" s="1">
        <f t="shared" si="89"/>
        <v>0</v>
      </c>
      <c r="M122" s="1">
        <f t="shared" si="89"/>
        <v>0</v>
      </c>
      <c r="N122" s="1">
        <f t="shared" si="89"/>
        <v>0</v>
      </c>
      <c r="O122" s="1">
        <f t="shared" si="89"/>
        <v>0</v>
      </c>
      <c r="P122" s="1">
        <f t="shared" si="89"/>
        <v>0</v>
      </c>
      <c r="Q122" s="1">
        <f>10*K122+5*L122+M122</f>
        <v>0</v>
      </c>
      <c r="R122" s="1">
        <f>10*N122+5*O122</f>
        <v>0</v>
      </c>
      <c r="S122" s="81"/>
      <c r="T122" s="81"/>
      <c r="U122" s="81"/>
      <c r="V122" s="81"/>
      <c r="W122" s="81"/>
      <c r="X122" s="81"/>
      <c r="Y122" s="81"/>
      <c r="Z122" s="81"/>
    </row>
    <row r="123" spans="1:26" ht="13" thickBot="1" x14ac:dyDescent="0.3">
      <c r="A123" s="52"/>
      <c r="B123" s="66"/>
      <c r="C123" s="61"/>
      <c r="D123" s="62"/>
      <c r="E123" s="129"/>
      <c r="F123" s="125"/>
      <c r="G123" s="62"/>
      <c r="H123" s="63"/>
      <c r="I123" s="52" t="str">
        <f>+IF(OR((SUM(K123:P123)=1),(ISBLANK(B123)=TRUE)),"       ","error")</f>
        <v xml:space="preserve">       </v>
      </c>
      <c r="J123" s="52"/>
      <c r="K123" s="1">
        <f t="shared" si="89"/>
        <v>0</v>
      </c>
      <c r="L123" s="1">
        <f t="shared" si="89"/>
        <v>0</v>
      </c>
      <c r="M123" s="1">
        <f t="shared" si="89"/>
        <v>0</v>
      </c>
      <c r="N123" s="1">
        <f t="shared" si="89"/>
        <v>0</v>
      </c>
      <c r="O123" s="1">
        <f t="shared" si="89"/>
        <v>0</v>
      </c>
      <c r="P123" s="1">
        <f t="shared" si="89"/>
        <v>0</v>
      </c>
      <c r="Q123" s="1">
        <f>10*K123+5*L123+M123</f>
        <v>0</v>
      </c>
      <c r="R123" s="1">
        <f>10*N123+5*O123</f>
        <v>0</v>
      </c>
      <c r="S123" s="81"/>
      <c r="T123" s="81"/>
      <c r="U123" s="81"/>
      <c r="V123" s="81"/>
      <c r="W123" s="81"/>
      <c r="X123" s="81"/>
      <c r="Y123" s="81"/>
      <c r="Z123" s="81"/>
    </row>
    <row r="124" spans="1:26" ht="14" thickTop="1" thickBot="1" x14ac:dyDescent="0.3">
      <c r="A124" s="44" t="s">
        <v>47</v>
      </c>
      <c r="B124" s="45"/>
      <c r="C124" s="64"/>
      <c r="D124" s="64"/>
      <c r="E124" s="64"/>
      <c r="F124" s="64"/>
      <c r="G124" s="64"/>
      <c r="H124" s="64"/>
      <c r="I124" s="144" t="str">
        <f>IF(COUNTIF($I125:$I131,"error")=0,SUM(Q125:Q131)/SUM($K125:$P131),"error")</f>
        <v>error</v>
      </c>
      <c r="J124" s="145" t="str">
        <f>IF(COUNTIF($I125:$I131,"error")=0,SUM(R125:R131)/SUM($K125:$P131),"error")</f>
        <v>error</v>
      </c>
      <c r="S124" s="85"/>
      <c r="T124" s="85"/>
      <c r="U124" s="85"/>
      <c r="V124" s="85"/>
      <c r="W124" s="85"/>
      <c r="X124" s="85"/>
      <c r="Y124" s="85"/>
      <c r="Z124" s="85"/>
    </row>
    <row r="125" spans="1:26" ht="13" thickTop="1" x14ac:dyDescent="0.25">
      <c r="A125" s="46" t="s">
        <v>182</v>
      </c>
      <c r="B125" s="66" t="s">
        <v>225</v>
      </c>
      <c r="C125" s="67"/>
      <c r="D125" s="68"/>
      <c r="E125" s="130"/>
      <c r="F125" s="131"/>
      <c r="G125" s="68"/>
      <c r="H125" s="69"/>
      <c r="I125" s="52" t="str">
        <f t="shared" ref="I125:I131" si="90">+IF(OR((SUM(K125:P125)=1),(ISBLANK(B125)=TRUE)),"       ","error")</f>
        <v>error</v>
      </c>
      <c r="J125" s="52"/>
      <c r="K125" s="1">
        <f t="shared" ref="K125:K131" si="91">+IF(AND((ISBLANK($B125)=FALSE),(C125="y")),1,0)</f>
        <v>0</v>
      </c>
      <c r="L125" s="1">
        <f t="shared" ref="L125:L131" si="92">+IF(AND((ISBLANK($B125)=FALSE),(D125="y")),1,0)</f>
        <v>0</v>
      </c>
      <c r="M125" s="1">
        <f t="shared" ref="M125:M131" si="93">+IF(AND((ISBLANK($B125)=FALSE),(E125="y")),1,0)</f>
        <v>0</v>
      </c>
      <c r="N125" s="1">
        <f t="shared" ref="N125:N131" si="94">+IF(AND((ISBLANK($B125)=FALSE),(F125="y")),1,0)</f>
        <v>0</v>
      </c>
      <c r="O125" s="1">
        <f t="shared" ref="O125:O131" si="95">+IF(AND((ISBLANK($B125)=FALSE),(G125="y")),1,0)</f>
        <v>0</v>
      </c>
      <c r="P125" s="1">
        <f t="shared" ref="P125:P131" si="96">+IF(AND((ISBLANK($B125)=FALSE),(H125="y")),1,0)</f>
        <v>0</v>
      </c>
      <c r="Q125" s="1">
        <f t="shared" ref="Q125:Q131" si="97">10*K125+5*L125+M125</f>
        <v>0</v>
      </c>
      <c r="R125" s="1">
        <f t="shared" ref="R125:R131" si="98">10*N125+5*O125</f>
        <v>0</v>
      </c>
      <c r="S125" s="81"/>
      <c r="T125" s="81"/>
      <c r="U125" s="81"/>
      <c r="V125" s="81"/>
      <c r="W125" s="81"/>
      <c r="X125" s="81"/>
      <c r="Y125" s="81"/>
      <c r="Z125" s="81"/>
    </row>
    <row r="126" spans="1:26" ht="25" x14ac:dyDescent="0.25">
      <c r="A126" s="52" t="s">
        <v>183</v>
      </c>
      <c r="B126" s="48" t="s">
        <v>70</v>
      </c>
      <c r="C126" s="54"/>
      <c r="D126" s="55"/>
      <c r="E126" s="127"/>
      <c r="F126" s="123"/>
      <c r="G126" s="55"/>
      <c r="H126" s="56"/>
      <c r="I126" s="52" t="str">
        <f t="shared" si="90"/>
        <v>error</v>
      </c>
      <c r="J126" s="52"/>
      <c r="K126" s="1">
        <f t="shared" si="91"/>
        <v>0</v>
      </c>
      <c r="L126" s="1">
        <f t="shared" si="92"/>
        <v>0</v>
      </c>
      <c r="M126" s="1">
        <f t="shared" si="93"/>
        <v>0</v>
      </c>
      <c r="N126" s="1">
        <f t="shared" si="94"/>
        <v>0</v>
      </c>
      <c r="O126" s="1">
        <f t="shared" si="95"/>
        <v>0</v>
      </c>
      <c r="P126" s="1">
        <f t="shared" si="96"/>
        <v>0</v>
      </c>
      <c r="Q126" s="1">
        <f t="shared" si="97"/>
        <v>0</v>
      </c>
      <c r="R126" s="1">
        <f t="shared" si="98"/>
        <v>0</v>
      </c>
      <c r="S126" s="81"/>
      <c r="T126" s="81"/>
      <c r="U126" s="81"/>
      <c r="V126" s="81"/>
      <c r="W126" s="81"/>
      <c r="X126" s="81"/>
      <c r="Y126" s="81"/>
      <c r="Z126" s="81"/>
    </row>
    <row r="127" spans="1:26" ht="25" x14ac:dyDescent="0.25">
      <c r="A127" s="52"/>
      <c r="B127" s="48" t="s">
        <v>224</v>
      </c>
      <c r="C127" s="54"/>
      <c r="D127" s="55"/>
      <c r="E127" s="127"/>
      <c r="F127" s="123"/>
      <c r="G127" s="55"/>
      <c r="H127" s="56"/>
      <c r="I127" s="52" t="str">
        <f t="shared" si="90"/>
        <v>error</v>
      </c>
      <c r="J127" s="52"/>
      <c r="K127" s="1">
        <f t="shared" ref="K127:P127" si="99">+IF(AND((ISBLANK($B127)=FALSE),(C127="y")),1,0)</f>
        <v>0</v>
      </c>
      <c r="L127" s="1">
        <f t="shared" si="99"/>
        <v>0</v>
      </c>
      <c r="M127" s="1">
        <f t="shared" si="99"/>
        <v>0</v>
      </c>
      <c r="N127" s="1">
        <f t="shared" si="99"/>
        <v>0</v>
      </c>
      <c r="O127" s="1">
        <f t="shared" si="99"/>
        <v>0</v>
      </c>
      <c r="P127" s="1">
        <f t="shared" si="99"/>
        <v>0</v>
      </c>
      <c r="Q127" s="1">
        <f>10*K127+5*L127+M127</f>
        <v>0</v>
      </c>
      <c r="R127" s="1">
        <f>10*N127+5*O127</f>
        <v>0</v>
      </c>
      <c r="S127" s="81"/>
      <c r="T127" s="81"/>
      <c r="U127" s="81"/>
      <c r="V127" s="81"/>
      <c r="W127" s="81"/>
      <c r="X127" s="81"/>
      <c r="Y127" s="81"/>
      <c r="Z127" s="81"/>
    </row>
    <row r="128" spans="1:26" ht="25" x14ac:dyDescent="0.25">
      <c r="A128" s="52" t="s">
        <v>184</v>
      </c>
      <c r="B128" s="48" t="s">
        <v>49</v>
      </c>
      <c r="C128" s="54"/>
      <c r="D128" s="55"/>
      <c r="E128" s="127"/>
      <c r="F128" s="123"/>
      <c r="G128" s="55"/>
      <c r="H128" s="56"/>
      <c r="I128" s="52" t="str">
        <f t="shared" si="90"/>
        <v>error</v>
      </c>
      <c r="J128" s="52"/>
      <c r="K128" s="1">
        <f t="shared" si="91"/>
        <v>0</v>
      </c>
      <c r="L128" s="1">
        <f t="shared" si="92"/>
        <v>0</v>
      </c>
      <c r="M128" s="1">
        <f t="shared" si="93"/>
        <v>0</v>
      </c>
      <c r="N128" s="1">
        <f t="shared" si="94"/>
        <v>0</v>
      </c>
      <c r="O128" s="1">
        <f t="shared" si="95"/>
        <v>0</v>
      </c>
      <c r="P128" s="1">
        <f t="shared" si="96"/>
        <v>0</v>
      </c>
      <c r="Q128" s="1">
        <f t="shared" si="97"/>
        <v>0</v>
      </c>
      <c r="R128" s="1">
        <f t="shared" si="98"/>
        <v>0</v>
      </c>
      <c r="S128" s="81"/>
      <c r="T128" s="81"/>
      <c r="U128" s="81"/>
      <c r="V128" s="81"/>
      <c r="W128" s="81"/>
      <c r="X128" s="81"/>
      <c r="Y128" s="81"/>
      <c r="Z128" s="81"/>
    </row>
    <row r="129" spans="1:26" ht="37.5" x14ac:dyDescent="0.25">
      <c r="A129" s="52" t="s">
        <v>185</v>
      </c>
      <c r="B129" s="48" t="s">
        <v>236</v>
      </c>
      <c r="C129" s="54"/>
      <c r="D129" s="55"/>
      <c r="E129" s="127"/>
      <c r="F129" s="123"/>
      <c r="G129" s="55"/>
      <c r="H129" s="56"/>
      <c r="I129" s="52" t="str">
        <f t="shared" si="90"/>
        <v>error</v>
      </c>
      <c r="J129" s="52"/>
      <c r="K129" s="1">
        <f t="shared" si="91"/>
        <v>0</v>
      </c>
      <c r="L129" s="1">
        <f t="shared" si="92"/>
        <v>0</v>
      </c>
      <c r="M129" s="1">
        <f t="shared" si="93"/>
        <v>0</v>
      </c>
      <c r="N129" s="1">
        <f t="shared" si="94"/>
        <v>0</v>
      </c>
      <c r="O129" s="1">
        <f t="shared" si="95"/>
        <v>0</v>
      </c>
      <c r="P129" s="1">
        <f t="shared" si="96"/>
        <v>0</v>
      </c>
      <c r="Q129" s="1">
        <f t="shared" si="97"/>
        <v>0</v>
      </c>
      <c r="R129" s="1">
        <f t="shared" si="98"/>
        <v>0</v>
      </c>
      <c r="S129" s="81"/>
      <c r="T129" s="81"/>
      <c r="U129" s="81"/>
      <c r="V129" s="81"/>
      <c r="W129" s="81"/>
      <c r="X129" s="81"/>
      <c r="Y129" s="81"/>
      <c r="Z129" s="81"/>
    </row>
    <row r="130" spans="1:26" ht="37.5" x14ac:dyDescent="0.25">
      <c r="A130" s="52" t="s">
        <v>186</v>
      </c>
      <c r="B130" s="48" t="s">
        <v>237</v>
      </c>
      <c r="C130" s="54"/>
      <c r="D130" s="55"/>
      <c r="E130" s="127"/>
      <c r="F130" s="123"/>
      <c r="G130" s="55"/>
      <c r="H130" s="56"/>
      <c r="I130" s="52" t="str">
        <f t="shared" si="90"/>
        <v>error</v>
      </c>
      <c r="J130" s="52"/>
      <c r="K130" s="1">
        <f t="shared" si="91"/>
        <v>0</v>
      </c>
      <c r="L130" s="1">
        <f t="shared" si="92"/>
        <v>0</v>
      </c>
      <c r="M130" s="1">
        <f t="shared" si="93"/>
        <v>0</v>
      </c>
      <c r="N130" s="1">
        <f t="shared" si="94"/>
        <v>0</v>
      </c>
      <c r="O130" s="1">
        <f t="shared" si="95"/>
        <v>0</v>
      </c>
      <c r="P130" s="1">
        <f t="shared" si="96"/>
        <v>0</v>
      </c>
      <c r="Q130" s="1">
        <f t="shared" si="97"/>
        <v>0</v>
      </c>
      <c r="R130" s="1">
        <f t="shared" si="98"/>
        <v>0</v>
      </c>
      <c r="S130" s="81"/>
      <c r="T130" s="81"/>
      <c r="U130" s="81"/>
      <c r="V130" s="81"/>
      <c r="W130" s="81"/>
      <c r="X130" s="81"/>
      <c r="Y130" s="81"/>
      <c r="Z130" s="81"/>
    </row>
    <row r="131" spans="1:26" ht="13" thickBot="1" x14ac:dyDescent="0.3">
      <c r="A131" s="52"/>
      <c r="B131" s="66"/>
      <c r="C131" s="61"/>
      <c r="D131" s="62"/>
      <c r="E131" s="129"/>
      <c r="F131" s="125"/>
      <c r="G131" s="62"/>
      <c r="H131" s="63"/>
      <c r="I131" s="52" t="str">
        <f t="shared" si="90"/>
        <v xml:space="preserve">       </v>
      </c>
      <c r="J131" s="52"/>
      <c r="K131" s="1">
        <f t="shared" si="91"/>
        <v>0</v>
      </c>
      <c r="L131" s="1">
        <f t="shared" si="92"/>
        <v>0</v>
      </c>
      <c r="M131" s="1">
        <f t="shared" si="93"/>
        <v>0</v>
      </c>
      <c r="N131" s="1">
        <f t="shared" si="94"/>
        <v>0</v>
      </c>
      <c r="O131" s="1">
        <f t="shared" si="95"/>
        <v>0</v>
      </c>
      <c r="P131" s="1">
        <f t="shared" si="96"/>
        <v>0</v>
      </c>
      <c r="Q131" s="1">
        <f t="shared" si="97"/>
        <v>0</v>
      </c>
      <c r="R131" s="1">
        <f t="shared" si="98"/>
        <v>0</v>
      </c>
      <c r="S131" s="81"/>
      <c r="T131" s="81"/>
      <c r="U131" s="81"/>
      <c r="V131" s="81"/>
      <c r="W131" s="81"/>
      <c r="X131" s="81"/>
      <c r="Y131" s="81"/>
      <c r="Z131" s="81"/>
    </row>
    <row r="132" spans="1:26" ht="14" thickTop="1" thickBot="1" x14ac:dyDescent="0.3">
      <c r="A132" s="94" t="s">
        <v>1</v>
      </c>
      <c r="B132" s="42"/>
      <c r="C132" s="76"/>
      <c r="D132" s="76"/>
      <c r="E132" s="76"/>
      <c r="F132" s="76"/>
      <c r="G132" s="76"/>
      <c r="H132" s="76"/>
      <c r="I132" s="160" t="e">
        <f>AVERAGE(I133:I154)</f>
        <v>#DIV/0!</v>
      </c>
      <c r="J132" s="161" t="e">
        <f>AVERAGE(J133:J154)</f>
        <v>#DIV/0!</v>
      </c>
      <c r="S132" s="87"/>
      <c r="T132" s="87"/>
      <c r="U132" s="87"/>
      <c r="V132" s="87"/>
      <c r="W132" s="87"/>
      <c r="X132" s="87"/>
      <c r="Y132" s="87"/>
      <c r="Z132" s="87"/>
    </row>
    <row r="133" spans="1:26" ht="14" thickTop="1" thickBot="1" x14ac:dyDescent="0.3">
      <c r="A133" s="44" t="s">
        <v>54</v>
      </c>
      <c r="B133" s="45"/>
      <c r="C133" s="77"/>
      <c r="D133" s="77"/>
      <c r="E133" s="77"/>
      <c r="F133" s="77"/>
      <c r="G133" s="77"/>
      <c r="H133" s="77"/>
      <c r="I133" s="144" t="str">
        <f>IF(COUNTIF($I134:$I139,"error")=0,SUM(Q134:Q139)/SUM($K134:$P139),"error")</f>
        <v>error</v>
      </c>
      <c r="J133" s="145" t="str">
        <f>IF(COUNTIF($I134:$I139,"error")=0,SUM(R134:R139)/SUM($K134:$P139),"error")</f>
        <v>error</v>
      </c>
      <c r="S133" s="85"/>
      <c r="T133" s="85"/>
      <c r="U133" s="85"/>
      <c r="V133" s="85"/>
      <c r="W133" s="85"/>
      <c r="X133" s="85"/>
      <c r="Y133" s="85"/>
      <c r="Z133" s="85"/>
    </row>
    <row r="134" spans="1:26" ht="13" thickTop="1" x14ac:dyDescent="0.25">
      <c r="A134" s="46" t="s">
        <v>187</v>
      </c>
      <c r="B134" s="66" t="s">
        <v>56</v>
      </c>
      <c r="C134" s="67"/>
      <c r="D134" s="68"/>
      <c r="E134" s="130"/>
      <c r="F134" s="131"/>
      <c r="G134" s="68"/>
      <c r="H134" s="69"/>
      <c r="I134" s="52" t="str">
        <f t="shared" ref="I134:I139" si="100">+IF(OR((SUM(K134:P134)=1),(ISBLANK(B134)=TRUE)),"       ","error")</f>
        <v>error</v>
      </c>
      <c r="J134" s="52"/>
      <c r="K134" s="1">
        <f t="shared" ref="K134:K139" si="101">+IF(AND((ISBLANK($B134)=FALSE),(C134="y")),1,0)</f>
        <v>0</v>
      </c>
      <c r="L134" s="1">
        <f t="shared" ref="L134:L139" si="102">+IF(AND((ISBLANK($B134)=FALSE),(D134="y")),1,0)</f>
        <v>0</v>
      </c>
      <c r="M134" s="1">
        <f t="shared" ref="M134:M139" si="103">+IF(AND((ISBLANK($B134)=FALSE),(E134="y")),1,0)</f>
        <v>0</v>
      </c>
      <c r="N134" s="1">
        <f t="shared" ref="N134:N139" si="104">+IF(AND((ISBLANK($B134)=FALSE),(F134="y")),1,0)</f>
        <v>0</v>
      </c>
      <c r="O134" s="1">
        <f t="shared" ref="O134:O139" si="105">+IF(AND((ISBLANK($B134)=FALSE),(G134="y")),1,0)</f>
        <v>0</v>
      </c>
      <c r="P134" s="1">
        <f t="shared" ref="P134:P139" si="106">+IF(AND((ISBLANK($B134)=FALSE),(H134="y")),1,0)</f>
        <v>0</v>
      </c>
      <c r="Q134" s="1">
        <f t="shared" ref="Q134:Q139" si="107">10*K134+5*L134+M134</f>
        <v>0</v>
      </c>
      <c r="R134" s="1">
        <f t="shared" ref="R134:R139" si="108">10*N134+5*O134</f>
        <v>0</v>
      </c>
      <c r="S134" s="81"/>
      <c r="T134" s="81"/>
      <c r="U134" s="81"/>
      <c r="V134" s="81"/>
      <c r="W134" s="81"/>
      <c r="X134" s="81"/>
      <c r="Y134" s="81"/>
      <c r="Z134" s="81"/>
    </row>
    <row r="135" spans="1:26" x14ac:dyDescent="0.25">
      <c r="A135" s="52" t="s">
        <v>188</v>
      </c>
      <c r="B135" s="66" t="s">
        <v>57</v>
      </c>
      <c r="C135" s="54"/>
      <c r="D135" s="55"/>
      <c r="E135" s="127"/>
      <c r="F135" s="123"/>
      <c r="G135" s="55"/>
      <c r="H135" s="56"/>
      <c r="I135" s="52" t="str">
        <f t="shared" si="100"/>
        <v>error</v>
      </c>
      <c r="J135" s="52"/>
      <c r="K135" s="1">
        <f t="shared" si="101"/>
        <v>0</v>
      </c>
      <c r="L135" s="1">
        <f t="shared" si="102"/>
        <v>0</v>
      </c>
      <c r="M135" s="1">
        <f t="shared" si="103"/>
        <v>0</v>
      </c>
      <c r="N135" s="1">
        <f t="shared" si="104"/>
        <v>0</v>
      </c>
      <c r="O135" s="1">
        <f>+IF(AND((ISBLANK($B135)=FALSE),(G135="y")),1,0)</f>
        <v>0</v>
      </c>
      <c r="P135" s="1">
        <f>+IF(AND((ISBLANK($B135)=FALSE),(H135="y")),1,0)</f>
        <v>0</v>
      </c>
      <c r="Q135" s="1">
        <f t="shared" si="107"/>
        <v>0</v>
      </c>
      <c r="R135" s="1">
        <f t="shared" si="108"/>
        <v>0</v>
      </c>
      <c r="S135" s="81"/>
      <c r="T135" s="81"/>
      <c r="U135" s="81"/>
      <c r="V135" s="81"/>
      <c r="W135" s="81"/>
      <c r="X135" s="81"/>
      <c r="Y135" s="81"/>
      <c r="Z135" s="81"/>
    </row>
    <row r="136" spans="1:26" x14ac:dyDescent="0.25">
      <c r="A136" s="52" t="s">
        <v>189</v>
      </c>
      <c r="B136" s="66" t="s">
        <v>60</v>
      </c>
      <c r="C136" s="54"/>
      <c r="D136" s="55"/>
      <c r="E136" s="127"/>
      <c r="F136" s="123"/>
      <c r="G136" s="55"/>
      <c r="H136" s="56"/>
      <c r="I136" s="52" t="str">
        <f t="shared" si="100"/>
        <v>error</v>
      </c>
      <c r="J136" s="52"/>
      <c r="K136" s="1">
        <f t="shared" si="101"/>
        <v>0</v>
      </c>
      <c r="L136" s="1">
        <f t="shared" si="102"/>
        <v>0</v>
      </c>
      <c r="M136" s="1">
        <f t="shared" si="103"/>
        <v>0</v>
      </c>
      <c r="N136" s="1">
        <f t="shared" si="104"/>
        <v>0</v>
      </c>
      <c r="O136" s="1">
        <f t="shared" si="105"/>
        <v>0</v>
      </c>
      <c r="P136" s="1">
        <f t="shared" si="106"/>
        <v>0</v>
      </c>
      <c r="Q136" s="1">
        <f t="shared" si="107"/>
        <v>0</v>
      </c>
      <c r="R136" s="1">
        <f t="shared" si="108"/>
        <v>0</v>
      </c>
      <c r="S136" s="81"/>
      <c r="T136" s="81"/>
      <c r="U136" s="81"/>
      <c r="V136" s="81"/>
      <c r="W136" s="81"/>
      <c r="X136" s="81"/>
      <c r="Y136" s="81"/>
      <c r="Z136" s="81"/>
    </row>
    <row r="137" spans="1:26" x14ac:dyDescent="0.25">
      <c r="A137" s="52" t="s">
        <v>190</v>
      </c>
      <c r="B137" s="66" t="s">
        <v>58</v>
      </c>
      <c r="C137" s="54"/>
      <c r="D137" s="55"/>
      <c r="E137" s="127"/>
      <c r="F137" s="123"/>
      <c r="G137" s="55"/>
      <c r="H137" s="56"/>
      <c r="I137" s="52" t="str">
        <f t="shared" si="100"/>
        <v>error</v>
      </c>
      <c r="J137" s="52"/>
      <c r="K137" s="1">
        <f t="shared" si="101"/>
        <v>0</v>
      </c>
      <c r="L137" s="1">
        <f t="shared" si="102"/>
        <v>0</v>
      </c>
      <c r="M137" s="1">
        <f t="shared" si="103"/>
        <v>0</v>
      </c>
      <c r="N137" s="1">
        <f t="shared" si="104"/>
        <v>0</v>
      </c>
      <c r="O137" s="1">
        <f t="shared" si="105"/>
        <v>0</v>
      </c>
      <c r="P137" s="1">
        <f t="shared" si="106"/>
        <v>0</v>
      </c>
      <c r="Q137" s="1">
        <f t="shared" si="107"/>
        <v>0</v>
      </c>
      <c r="R137" s="1">
        <f t="shared" si="108"/>
        <v>0</v>
      </c>
      <c r="S137" s="81"/>
      <c r="T137" s="81"/>
      <c r="U137" s="81"/>
      <c r="V137" s="81"/>
      <c r="W137" s="81"/>
      <c r="X137" s="81"/>
      <c r="Y137" s="81"/>
      <c r="Z137" s="81"/>
    </row>
    <row r="138" spans="1:26" x14ac:dyDescent="0.25">
      <c r="A138" s="52" t="s">
        <v>191</v>
      </c>
      <c r="B138" s="66" t="s">
        <v>59</v>
      </c>
      <c r="C138" s="54"/>
      <c r="D138" s="55"/>
      <c r="E138" s="127"/>
      <c r="F138" s="123"/>
      <c r="G138" s="55"/>
      <c r="H138" s="56"/>
      <c r="I138" s="52" t="str">
        <f t="shared" si="100"/>
        <v>error</v>
      </c>
      <c r="J138" s="52"/>
      <c r="K138" s="1">
        <f t="shared" si="101"/>
        <v>0</v>
      </c>
      <c r="L138" s="1">
        <f t="shared" si="102"/>
        <v>0</v>
      </c>
      <c r="M138" s="1">
        <f t="shared" si="103"/>
        <v>0</v>
      </c>
      <c r="N138" s="1">
        <f t="shared" si="104"/>
        <v>0</v>
      </c>
      <c r="O138" s="1">
        <f t="shared" si="105"/>
        <v>0</v>
      </c>
      <c r="P138" s="1">
        <f t="shared" si="106"/>
        <v>0</v>
      </c>
      <c r="Q138" s="1">
        <f t="shared" si="107"/>
        <v>0</v>
      </c>
      <c r="R138" s="1">
        <f t="shared" si="108"/>
        <v>0</v>
      </c>
      <c r="S138" s="81"/>
      <c r="T138" s="81"/>
      <c r="U138" s="81"/>
      <c r="V138" s="81"/>
      <c r="W138" s="81"/>
      <c r="X138" s="81"/>
      <c r="Y138" s="81"/>
      <c r="Z138" s="81"/>
    </row>
    <row r="139" spans="1:26" ht="13" thickBot="1" x14ac:dyDescent="0.3">
      <c r="A139" s="52"/>
      <c r="B139" s="66"/>
      <c r="C139" s="61"/>
      <c r="D139" s="62"/>
      <c r="E139" s="129"/>
      <c r="F139" s="125"/>
      <c r="G139" s="62"/>
      <c r="H139" s="63"/>
      <c r="I139" s="52" t="str">
        <f t="shared" si="100"/>
        <v xml:space="preserve">       </v>
      </c>
      <c r="J139" s="52"/>
      <c r="K139" s="1">
        <f t="shared" si="101"/>
        <v>0</v>
      </c>
      <c r="L139" s="1">
        <f t="shared" si="102"/>
        <v>0</v>
      </c>
      <c r="M139" s="1">
        <f t="shared" si="103"/>
        <v>0</v>
      </c>
      <c r="N139" s="1">
        <f t="shared" si="104"/>
        <v>0</v>
      </c>
      <c r="O139" s="1">
        <f t="shared" si="105"/>
        <v>0</v>
      </c>
      <c r="P139" s="1">
        <f t="shared" si="106"/>
        <v>0</v>
      </c>
      <c r="Q139" s="1">
        <f t="shared" si="107"/>
        <v>0</v>
      </c>
      <c r="R139" s="1">
        <f t="shared" si="108"/>
        <v>0</v>
      </c>
      <c r="S139" s="81"/>
      <c r="T139" s="81"/>
      <c r="U139" s="81"/>
      <c r="V139" s="81"/>
      <c r="W139" s="81"/>
      <c r="X139" s="81"/>
      <c r="Y139" s="81"/>
      <c r="Z139" s="81"/>
    </row>
    <row r="140" spans="1:26" ht="14" thickTop="1" thickBot="1" x14ac:dyDescent="0.3">
      <c r="A140" s="44" t="s">
        <v>63</v>
      </c>
      <c r="B140" s="45"/>
      <c r="C140" s="64"/>
      <c r="D140" s="64"/>
      <c r="E140" s="64"/>
      <c r="F140" s="64"/>
      <c r="G140" s="64"/>
      <c r="H140" s="64"/>
      <c r="I140" s="144" t="str">
        <f>IF(COUNTIF($I141:$I143,"error")=0,SUM(Q141:Q143)/SUM($K141:$P143),"error")</f>
        <v>error</v>
      </c>
      <c r="J140" s="145" t="str">
        <f>IF(COUNTIF($I141:$I143,"error")=0,SUM(R141:R143)/SUM($K141:$P143),"error")</f>
        <v>error</v>
      </c>
      <c r="S140" s="85"/>
      <c r="T140" s="85"/>
      <c r="U140" s="85"/>
      <c r="V140" s="85"/>
      <c r="W140" s="85"/>
      <c r="X140" s="85"/>
      <c r="Y140" s="85"/>
      <c r="Z140" s="85"/>
    </row>
    <row r="141" spans="1:26" ht="13" thickTop="1" x14ac:dyDescent="0.25">
      <c r="A141" s="46" t="s">
        <v>192</v>
      </c>
      <c r="B141" s="66" t="s">
        <v>61</v>
      </c>
      <c r="C141" s="67"/>
      <c r="D141" s="68"/>
      <c r="E141" s="130"/>
      <c r="F141" s="131"/>
      <c r="G141" s="68"/>
      <c r="H141" s="69"/>
      <c r="I141" s="52" t="str">
        <f>+IF(OR((SUM(K141:P141)=1),(ISBLANK(B141)=TRUE)),"       ","error")</f>
        <v>error</v>
      </c>
      <c r="J141" s="52"/>
      <c r="K141" s="1">
        <f t="shared" ref="K141:P143" si="109">+IF(AND((ISBLANK($B141)=FALSE),(C141="y")),1,0)</f>
        <v>0</v>
      </c>
      <c r="L141" s="1">
        <f t="shared" si="109"/>
        <v>0</v>
      </c>
      <c r="M141" s="1">
        <f t="shared" si="109"/>
        <v>0</v>
      </c>
      <c r="N141" s="1">
        <f t="shared" si="109"/>
        <v>0</v>
      </c>
      <c r="O141" s="1">
        <f t="shared" si="109"/>
        <v>0</v>
      </c>
      <c r="P141" s="1">
        <f t="shared" si="109"/>
        <v>0</v>
      </c>
      <c r="Q141" s="1">
        <f>10*K141+5*L141+M141</f>
        <v>0</v>
      </c>
      <c r="R141" s="1">
        <f>10*N141+5*O141</f>
        <v>0</v>
      </c>
      <c r="S141" s="81"/>
      <c r="T141" s="81"/>
      <c r="U141" s="81"/>
      <c r="V141" s="81"/>
      <c r="W141" s="81"/>
      <c r="X141" s="81"/>
      <c r="Y141" s="81"/>
      <c r="Z141" s="81"/>
    </row>
    <row r="142" spans="1:26" x14ac:dyDescent="0.25">
      <c r="A142" s="52" t="s">
        <v>193</v>
      </c>
      <c r="B142" s="66" t="s">
        <v>62</v>
      </c>
      <c r="C142" s="54"/>
      <c r="D142" s="55"/>
      <c r="E142" s="127"/>
      <c r="F142" s="123"/>
      <c r="G142" s="55"/>
      <c r="H142" s="56"/>
      <c r="I142" s="52" t="str">
        <f>+IF(OR((SUM(K142:P142)=1),(ISBLANK(B142)=TRUE)),"       ","error")</f>
        <v>error</v>
      </c>
      <c r="J142" s="52"/>
      <c r="K142" s="1">
        <f t="shared" si="109"/>
        <v>0</v>
      </c>
      <c r="L142" s="1">
        <f t="shared" si="109"/>
        <v>0</v>
      </c>
      <c r="M142" s="1">
        <f t="shared" si="109"/>
        <v>0</v>
      </c>
      <c r="N142" s="1">
        <f t="shared" si="109"/>
        <v>0</v>
      </c>
      <c r="O142" s="1">
        <f t="shared" si="109"/>
        <v>0</v>
      </c>
      <c r="P142" s="1">
        <f t="shared" si="109"/>
        <v>0</v>
      </c>
      <c r="Q142" s="1">
        <f>10*K142+5*L142+M142</f>
        <v>0</v>
      </c>
      <c r="R142" s="1">
        <f>10*N142+5*O142</f>
        <v>0</v>
      </c>
      <c r="S142" s="81"/>
      <c r="T142" s="81"/>
      <c r="U142" s="81"/>
      <c r="V142" s="81"/>
      <c r="W142" s="81"/>
      <c r="X142" s="81"/>
      <c r="Y142" s="81"/>
      <c r="Z142" s="81"/>
    </row>
    <row r="143" spans="1:26" ht="13.5" thickBot="1" x14ac:dyDescent="0.3">
      <c r="A143" s="71"/>
      <c r="B143" s="66"/>
      <c r="C143" s="61"/>
      <c r="D143" s="62"/>
      <c r="E143" s="129"/>
      <c r="F143" s="125"/>
      <c r="G143" s="62"/>
      <c r="H143" s="63"/>
      <c r="I143" s="52" t="str">
        <f>+IF(OR((SUM(K143:P143)=1),(ISBLANK(B143)=TRUE)),"       ","error")</f>
        <v xml:space="preserve">       </v>
      </c>
      <c r="J143" s="52"/>
      <c r="K143" s="1">
        <f t="shared" si="109"/>
        <v>0</v>
      </c>
      <c r="L143" s="1">
        <f t="shared" si="109"/>
        <v>0</v>
      </c>
      <c r="M143" s="1">
        <f t="shared" si="109"/>
        <v>0</v>
      </c>
      <c r="N143" s="1">
        <f t="shared" si="109"/>
        <v>0</v>
      </c>
      <c r="O143" s="1">
        <f t="shared" si="109"/>
        <v>0</v>
      </c>
      <c r="P143" s="1">
        <f t="shared" si="109"/>
        <v>0</v>
      </c>
      <c r="Q143" s="1">
        <f>10*K143+5*L143+M143</f>
        <v>0</v>
      </c>
      <c r="R143" s="1">
        <f>10*N143+5*O143</f>
        <v>0</v>
      </c>
      <c r="S143" s="81"/>
      <c r="T143" s="81"/>
      <c r="U143" s="81"/>
      <c r="V143" s="81"/>
      <c r="W143" s="81"/>
      <c r="X143" s="81"/>
      <c r="Y143" s="81"/>
      <c r="Z143" s="81"/>
    </row>
    <row r="144" spans="1:26" ht="14" thickTop="1" thickBot="1" x14ac:dyDescent="0.3">
      <c r="A144" s="44" t="s">
        <v>64</v>
      </c>
      <c r="B144" s="45"/>
      <c r="C144" s="64"/>
      <c r="D144" s="64"/>
      <c r="E144" s="64"/>
      <c r="F144" s="64"/>
      <c r="G144" s="64"/>
      <c r="H144" s="64"/>
      <c r="I144" s="144" t="str">
        <f>IF(COUNTIF($I145:$I147,"error")=0,SUM(Q145:Q147)/SUM($K145:$P147),"error")</f>
        <v>error</v>
      </c>
      <c r="J144" s="145" t="str">
        <f>IF(COUNTIF($I145:$I147,"error")=0,SUM(R145:R147)/SUM($K145:$P147),"error")</f>
        <v>error</v>
      </c>
      <c r="S144" s="85"/>
      <c r="T144" s="85"/>
      <c r="U144" s="85"/>
      <c r="V144" s="85"/>
      <c r="W144" s="85"/>
      <c r="X144" s="85"/>
      <c r="Y144" s="85"/>
      <c r="Z144" s="85"/>
    </row>
    <row r="145" spans="1:26" ht="13" thickTop="1" x14ac:dyDescent="0.25">
      <c r="A145" s="46" t="s">
        <v>194</v>
      </c>
      <c r="B145" s="66" t="s">
        <v>62</v>
      </c>
      <c r="C145" s="67"/>
      <c r="D145" s="68"/>
      <c r="E145" s="130"/>
      <c r="F145" s="131"/>
      <c r="G145" s="68"/>
      <c r="H145" s="69"/>
      <c r="I145" s="52" t="str">
        <f>+IF(OR((SUM(K145:P145)=1),(ISBLANK(B145)=TRUE)),"       ","error")</f>
        <v>error</v>
      </c>
      <c r="J145" s="52"/>
      <c r="K145" s="1">
        <f t="shared" ref="K145:P147" si="110">+IF(AND((ISBLANK($B145)=FALSE),(C145="y")),1,0)</f>
        <v>0</v>
      </c>
      <c r="L145" s="1">
        <f t="shared" si="110"/>
        <v>0</v>
      </c>
      <c r="M145" s="1">
        <f t="shared" si="110"/>
        <v>0</v>
      </c>
      <c r="N145" s="1">
        <f t="shared" si="110"/>
        <v>0</v>
      </c>
      <c r="O145" s="1">
        <f t="shared" si="110"/>
        <v>0</v>
      </c>
      <c r="P145" s="1">
        <f t="shared" si="110"/>
        <v>0</v>
      </c>
      <c r="Q145" s="1">
        <f>10*K145+5*L145+M145</f>
        <v>0</v>
      </c>
      <c r="R145" s="1">
        <f>10*N145+5*O145</f>
        <v>0</v>
      </c>
      <c r="S145" s="81"/>
      <c r="T145" s="81"/>
      <c r="U145" s="81"/>
      <c r="V145" s="81"/>
      <c r="W145" s="81"/>
      <c r="X145" s="81"/>
      <c r="Y145" s="81"/>
      <c r="Z145" s="81"/>
    </row>
    <row r="146" spans="1:26" x14ac:dyDescent="0.25">
      <c r="A146" s="52" t="s">
        <v>195</v>
      </c>
      <c r="B146" s="66" t="s">
        <v>61</v>
      </c>
      <c r="C146" s="54"/>
      <c r="D146" s="55"/>
      <c r="E146" s="127"/>
      <c r="F146" s="123"/>
      <c r="G146" s="55"/>
      <c r="H146" s="56"/>
      <c r="I146" s="52" t="str">
        <f>+IF(OR((SUM(K146:P146)=1),(ISBLANK(B146)=TRUE)),"       ","error")</f>
        <v>error</v>
      </c>
      <c r="J146" s="52"/>
      <c r="K146" s="1">
        <f t="shared" si="110"/>
        <v>0</v>
      </c>
      <c r="L146" s="1">
        <f t="shared" si="110"/>
        <v>0</v>
      </c>
      <c r="M146" s="1">
        <f t="shared" si="110"/>
        <v>0</v>
      </c>
      <c r="N146" s="1">
        <f t="shared" si="110"/>
        <v>0</v>
      </c>
      <c r="O146" s="1">
        <f t="shared" si="110"/>
        <v>0</v>
      </c>
      <c r="P146" s="1">
        <f t="shared" si="110"/>
        <v>0</v>
      </c>
      <c r="Q146" s="1">
        <f>10*K146+5*L146+M146</f>
        <v>0</v>
      </c>
      <c r="R146" s="1">
        <f>10*N146+5*O146</f>
        <v>0</v>
      </c>
      <c r="S146" s="81"/>
      <c r="T146" s="81"/>
      <c r="U146" s="81"/>
      <c r="V146" s="81"/>
      <c r="W146" s="81"/>
      <c r="X146" s="81"/>
      <c r="Y146" s="81"/>
      <c r="Z146" s="81"/>
    </row>
    <row r="147" spans="1:26" ht="13" thickBot="1" x14ac:dyDescent="0.3">
      <c r="A147" s="52"/>
      <c r="B147" s="66"/>
      <c r="C147" s="61"/>
      <c r="D147" s="62"/>
      <c r="E147" s="129"/>
      <c r="F147" s="125"/>
      <c r="G147" s="62"/>
      <c r="H147" s="63"/>
      <c r="I147" s="52" t="str">
        <f>+IF(OR((SUM(K147:P147)=1),(ISBLANK(B147)=TRUE)),"       ","error")</f>
        <v xml:space="preserve">       </v>
      </c>
      <c r="J147" s="52"/>
      <c r="K147" s="1">
        <f t="shared" si="110"/>
        <v>0</v>
      </c>
      <c r="L147" s="1">
        <f t="shared" si="110"/>
        <v>0</v>
      </c>
      <c r="M147" s="1">
        <f t="shared" si="110"/>
        <v>0</v>
      </c>
      <c r="N147" s="1">
        <f t="shared" si="110"/>
        <v>0</v>
      </c>
      <c r="O147" s="1">
        <f t="shared" si="110"/>
        <v>0</v>
      </c>
      <c r="P147" s="1">
        <f t="shared" si="110"/>
        <v>0</v>
      </c>
      <c r="Q147" s="1">
        <f>10*K147+5*L147+M147</f>
        <v>0</v>
      </c>
      <c r="R147" s="1">
        <f>10*N147+5*O147</f>
        <v>0</v>
      </c>
      <c r="S147" s="81"/>
      <c r="T147" s="81"/>
      <c r="U147" s="81"/>
      <c r="V147" s="81"/>
      <c r="W147" s="81"/>
      <c r="X147" s="81"/>
      <c r="Y147" s="81"/>
      <c r="Z147" s="81"/>
    </row>
    <row r="148" spans="1:26" ht="14" thickTop="1" thickBot="1" x14ac:dyDescent="0.3">
      <c r="A148" s="44" t="s">
        <v>55</v>
      </c>
      <c r="B148" s="45"/>
      <c r="C148" s="64"/>
      <c r="D148" s="64"/>
      <c r="E148" s="64"/>
      <c r="F148" s="64"/>
      <c r="G148" s="64"/>
      <c r="H148" s="64"/>
      <c r="I148" s="144" t="str">
        <f>IF(COUNTIF($I149:$I154,"error")=0,SUM(Q149:Q154)/SUM($K149:$P154),"error")</f>
        <v>error</v>
      </c>
      <c r="J148" s="145" t="str">
        <f>IF(COUNTIF($I149:$I154,"error")=0,SUM(R149:R154)/SUM($K149:$P154),"error")</f>
        <v>error</v>
      </c>
      <c r="S148" s="85"/>
      <c r="T148" s="85"/>
      <c r="U148" s="85"/>
      <c r="V148" s="85"/>
      <c r="W148" s="85"/>
      <c r="X148" s="85"/>
      <c r="Y148" s="85"/>
      <c r="Z148" s="85"/>
    </row>
    <row r="149" spans="1:26" ht="38" thickTop="1" x14ac:dyDescent="0.25">
      <c r="A149" s="52" t="s">
        <v>196</v>
      </c>
      <c r="B149" s="48" t="s">
        <v>235</v>
      </c>
      <c r="C149" s="67"/>
      <c r="D149" s="68"/>
      <c r="E149" s="130"/>
      <c r="F149" s="131"/>
      <c r="G149" s="68"/>
      <c r="H149" s="69"/>
      <c r="I149" s="52" t="str">
        <f t="shared" ref="I149:I154" si="111">+IF(OR((SUM(K149:P149)=1),(ISBLANK(B149)=TRUE)),"       ","error")</f>
        <v>error</v>
      </c>
      <c r="J149" s="52"/>
      <c r="K149" s="1">
        <f t="shared" ref="K149:K154" si="112">+IF(AND((ISBLANK($B149)=FALSE),(C149="y")),1,0)</f>
        <v>0</v>
      </c>
      <c r="L149" s="1">
        <f t="shared" ref="L149:L154" si="113">+IF(AND((ISBLANK($B149)=FALSE),(D149="y")),1,0)</f>
        <v>0</v>
      </c>
      <c r="M149" s="1">
        <f t="shared" ref="M149:M154" si="114">+IF(AND((ISBLANK($B149)=FALSE),(E149="y")),1,0)</f>
        <v>0</v>
      </c>
      <c r="N149" s="1">
        <f t="shared" ref="N149:N154" si="115">+IF(AND((ISBLANK($B149)=FALSE),(F149="y")),1,0)</f>
        <v>0</v>
      </c>
      <c r="O149" s="1">
        <f t="shared" ref="O149:O154" si="116">+IF(AND((ISBLANK($B149)=FALSE),(G149="y")),1,0)</f>
        <v>0</v>
      </c>
      <c r="P149" s="1">
        <f t="shared" ref="P149:P154" si="117">+IF(AND((ISBLANK($B149)=FALSE),(H149="y")),1,0)</f>
        <v>0</v>
      </c>
      <c r="Q149" s="1">
        <f t="shared" ref="Q149:Q154" si="118">10*K149+5*L149+M149</f>
        <v>0</v>
      </c>
      <c r="R149" s="1">
        <f t="shared" ref="R149:R154" si="119">10*N149+5*O149</f>
        <v>0</v>
      </c>
      <c r="S149" s="81"/>
      <c r="T149" s="81"/>
      <c r="U149" s="81"/>
      <c r="V149" s="81"/>
      <c r="W149" s="81"/>
      <c r="X149" s="81"/>
      <c r="Y149" s="81"/>
      <c r="Z149" s="81"/>
    </row>
    <row r="150" spans="1:26" x14ac:dyDescent="0.25">
      <c r="A150" s="52" t="s">
        <v>197</v>
      </c>
      <c r="B150" s="48" t="s">
        <v>65</v>
      </c>
      <c r="C150" s="54"/>
      <c r="D150" s="55"/>
      <c r="E150" s="127"/>
      <c r="F150" s="123"/>
      <c r="G150" s="55"/>
      <c r="H150" s="56"/>
      <c r="I150" s="52" t="str">
        <f t="shared" si="111"/>
        <v>error</v>
      </c>
      <c r="J150" s="52"/>
      <c r="K150" s="1">
        <f t="shared" si="112"/>
        <v>0</v>
      </c>
      <c r="L150" s="1">
        <f t="shared" si="113"/>
        <v>0</v>
      </c>
      <c r="M150" s="1">
        <f t="shared" si="114"/>
        <v>0</v>
      </c>
      <c r="N150" s="1">
        <f t="shared" si="115"/>
        <v>0</v>
      </c>
      <c r="O150" s="1">
        <f t="shared" si="116"/>
        <v>0</v>
      </c>
      <c r="P150" s="1">
        <f t="shared" si="117"/>
        <v>0</v>
      </c>
      <c r="Q150" s="1">
        <f t="shared" si="118"/>
        <v>0</v>
      </c>
      <c r="R150" s="1">
        <f t="shared" si="119"/>
        <v>0</v>
      </c>
      <c r="S150" s="81"/>
      <c r="T150" s="81"/>
      <c r="U150" s="81"/>
      <c r="V150" s="81"/>
      <c r="W150" s="81"/>
      <c r="X150" s="81"/>
      <c r="Y150" s="81"/>
      <c r="Z150" s="81"/>
    </row>
    <row r="151" spans="1:26" x14ac:dyDescent="0.25">
      <c r="A151" s="52" t="s">
        <v>198</v>
      </c>
      <c r="B151" s="48" t="s">
        <v>239</v>
      </c>
      <c r="C151" s="54"/>
      <c r="D151" s="55"/>
      <c r="E151" s="127"/>
      <c r="F151" s="123"/>
      <c r="G151" s="55"/>
      <c r="H151" s="56"/>
      <c r="I151" s="52" t="str">
        <f t="shared" si="111"/>
        <v>error</v>
      </c>
      <c r="J151" s="52"/>
      <c r="K151" s="1">
        <f t="shared" si="112"/>
        <v>0</v>
      </c>
      <c r="L151" s="1">
        <f t="shared" si="113"/>
        <v>0</v>
      </c>
      <c r="M151" s="1">
        <f t="shared" si="114"/>
        <v>0</v>
      </c>
      <c r="N151" s="1">
        <f t="shared" si="115"/>
        <v>0</v>
      </c>
      <c r="O151" s="1">
        <f t="shared" si="116"/>
        <v>0</v>
      </c>
      <c r="P151" s="1">
        <f t="shared" si="117"/>
        <v>0</v>
      </c>
      <c r="Q151" s="1">
        <f t="shared" si="118"/>
        <v>0</v>
      </c>
      <c r="R151" s="1">
        <f t="shared" si="119"/>
        <v>0</v>
      </c>
      <c r="S151" s="81"/>
      <c r="T151" s="81"/>
      <c r="U151" s="81"/>
      <c r="V151" s="81"/>
      <c r="W151" s="81"/>
      <c r="X151" s="81"/>
      <c r="Y151" s="81"/>
      <c r="Z151" s="81"/>
    </row>
    <row r="152" spans="1:26" x14ac:dyDescent="0.25">
      <c r="A152" s="52" t="s">
        <v>199</v>
      </c>
      <c r="B152" s="48" t="s">
        <v>238</v>
      </c>
      <c r="C152" s="54"/>
      <c r="D152" s="55"/>
      <c r="E152" s="127"/>
      <c r="F152" s="123"/>
      <c r="G152" s="55"/>
      <c r="H152" s="56"/>
      <c r="I152" s="52" t="str">
        <f t="shared" si="111"/>
        <v>error</v>
      </c>
      <c r="J152" s="52"/>
      <c r="K152" s="1">
        <f t="shared" si="112"/>
        <v>0</v>
      </c>
      <c r="L152" s="1">
        <f t="shared" si="113"/>
        <v>0</v>
      </c>
      <c r="M152" s="1">
        <f t="shared" si="114"/>
        <v>0</v>
      </c>
      <c r="N152" s="1">
        <f t="shared" si="115"/>
        <v>0</v>
      </c>
      <c r="O152" s="1">
        <f t="shared" si="116"/>
        <v>0</v>
      </c>
      <c r="P152" s="1">
        <f t="shared" si="117"/>
        <v>0</v>
      </c>
      <c r="Q152" s="1">
        <f t="shared" si="118"/>
        <v>0</v>
      </c>
      <c r="R152" s="1">
        <f t="shared" si="119"/>
        <v>0</v>
      </c>
      <c r="S152" s="81"/>
      <c r="T152" s="81"/>
      <c r="U152" s="81"/>
      <c r="V152" s="81"/>
      <c r="W152" s="81"/>
      <c r="X152" s="81"/>
      <c r="Y152" s="81"/>
      <c r="Z152" s="81"/>
    </row>
    <row r="153" spans="1:26" ht="25" x14ac:dyDescent="0.25">
      <c r="A153" s="52" t="s">
        <v>200</v>
      </c>
      <c r="B153" s="48" t="s">
        <v>66</v>
      </c>
      <c r="C153" s="54"/>
      <c r="D153" s="55"/>
      <c r="E153" s="127"/>
      <c r="F153" s="123"/>
      <c r="G153" s="55"/>
      <c r="H153" s="56"/>
      <c r="I153" s="52" t="str">
        <f t="shared" si="111"/>
        <v>error</v>
      </c>
      <c r="J153" s="52"/>
      <c r="K153" s="1">
        <f t="shared" si="112"/>
        <v>0</v>
      </c>
      <c r="L153" s="1">
        <f t="shared" si="113"/>
        <v>0</v>
      </c>
      <c r="M153" s="1">
        <f t="shared" si="114"/>
        <v>0</v>
      </c>
      <c r="N153" s="1">
        <f t="shared" si="115"/>
        <v>0</v>
      </c>
      <c r="O153" s="1">
        <f t="shared" si="116"/>
        <v>0</v>
      </c>
      <c r="P153" s="1">
        <f t="shared" si="117"/>
        <v>0</v>
      </c>
      <c r="Q153" s="1">
        <f t="shared" si="118"/>
        <v>0</v>
      </c>
      <c r="R153" s="1">
        <f t="shared" si="119"/>
        <v>0</v>
      </c>
      <c r="S153" s="81"/>
      <c r="T153" s="81"/>
      <c r="U153" s="81"/>
      <c r="V153" s="81"/>
      <c r="W153" s="81"/>
      <c r="X153" s="81"/>
      <c r="Y153" s="81"/>
      <c r="Z153" s="81"/>
    </row>
    <row r="154" spans="1:26" ht="13" thickBot="1" x14ac:dyDescent="0.3">
      <c r="A154" s="82"/>
      <c r="B154" s="83"/>
      <c r="C154" s="61"/>
      <c r="D154" s="62"/>
      <c r="E154" s="129"/>
      <c r="F154" s="125"/>
      <c r="G154" s="62"/>
      <c r="H154" s="63"/>
      <c r="I154" s="81" t="str">
        <f t="shared" si="111"/>
        <v xml:space="preserve">       </v>
      </c>
      <c r="J154" s="81"/>
      <c r="K154" s="88">
        <f t="shared" si="112"/>
        <v>0</v>
      </c>
      <c r="L154" s="88">
        <f t="shared" si="113"/>
        <v>0</v>
      </c>
      <c r="M154" s="88">
        <f t="shared" si="114"/>
        <v>0</v>
      </c>
      <c r="N154" s="88">
        <f t="shared" si="115"/>
        <v>0</v>
      </c>
      <c r="O154" s="88">
        <f t="shared" si="116"/>
        <v>0</v>
      </c>
      <c r="P154" s="88">
        <f t="shared" si="117"/>
        <v>0</v>
      </c>
      <c r="Q154" s="88">
        <f t="shared" si="118"/>
        <v>0</v>
      </c>
      <c r="R154" s="88">
        <f t="shared" si="119"/>
        <v>0</v>
      </c>
      <c r="S154" s="81"/>
      <c r="T154" s="81"/>
      <c r="U154" s="81"/>
      <c r="V154" s="81"/>
      <c r="W154" s="81"/>
      <c r="X154" s="81"/>
      <c r="Y154" s="81"/>
      <c r="Z154" s="81"/>
    </row>
    <row r="155" spans="1:26" x14ac:dyDescent="0.25">
      <c r="A155" s="52"/>
      <c r="B155" s="52"/>
      <c r="C155" s="52"/>
      <c r="D155" s="52"/>
      <c r="E155" s="52"/>
      <c r="F155" s="52"/>
      <c r="G155" s="52"/>
      <c r="H155" s="52"/>
      <c r="I155" s="81"/>
      <c r="J155" s="81"/>
      <c r="K155" s="88"/>
      <c r="L155" s="88"/>
      <c r="M155" s="88"/>
      <c r="N155" s="88"/>
      <c r="O155" s="88"/>
      <c r="P155" s="88"/>
      <c r="Q155" s="88"/>
      <c r="R155" s="88"/>
      <c r="S155" s="81"/>
      <c r="T155" s="81"/>
      <c r="U155" s="81"/>
      <c r="V155" s="81"/>
      <c r="W155" s="81"/>
      <c r="X155" s="81"/>
      <c r="Y155" s="81"/>
      <c r="Z155" s="81"/>
    </row>
    <row r="156" spans="1:26" x14ac:dyDescent="0.25">
      <c r="A156" s="103"/>
      <c r="B156" s="103"/>
      <c r="C156" s="103"/>
      <c r="D156" s="103"/>
      <c r="E156" s="103"/>
      <c r="F156" s="103"/>
      <c r="G156" s="103"/>
      <c r="H156" s="103"/>
      <c r="I156" s="103"/>
      <c r="J156" s="103"/>
      <c r="K156" s="103"/>
      <c r="L156" s="103"/>
      <c r="M156" s="103"/>
      <c r="N156" s="103"/>
      <c r="O156" s="103"/>
      <c r="P156" s="103"/>
      <c r="Q156" s="103"/>
      <c r="R156" s="103"/>
      <c r="S156" s="104"/>
      <c r="T156" s="104"/>
      <c r="U156" s="104"/>
      <c r="V156" s="104"/>
      <c r="W156" s="104"/>
      <c r="X156" s="104"/>
      <c r="Y156" s="104"/>
      <c r="Z156" s="104"/>
    </row>
    <row r="157" spans="1:26" x14ac:dyDescent="0.25">
      <c r="A157" s="103"/>
      <c r="B157" s="103"/>
      <c r="C157" s="103"/>
      <c r="D157" s="103"/>
      <c r="E157" s="103"/>
      <c r="F157" s="103"/>
      <c r="G157" s="103"/>
      <c r="H157" s="103"/>
      <c r="I157" s="105"/>
      <c r="J157" s="103"/>
      <c r="K157" s="103"/>
      <c r="L157" s="103"/>
      <c r="M157" s="103"/>
      <c r="N157" s="103"/>
      <c r="O157" s="103"/>
      <c r="P157" s="103"/>
      <c r="Q157" s="103"/>
      <c r="R157" s="103"/>
      <c r="S157" s="104"/>
      <c r="T157" s="104"/>
      <c r="U157" s="104"/>
      <c r="V157" s="104"/>
      <c r="W157" s="104"/>
      <c r="X157" s="104"/>
      <c r="Y157" s="104"/>
      <c r="Z157" s="104"/>
    </row>
    <row r="158" spans="1:26" x14ac:dyDescent="0.25">
      <c r="A158" s="103"/>
      <c r="B158" s="103"/>
      <c r="C158" s="103"/>
      <c r="D158" s="103"/>
      <c r="E158" s="103"/>
      <c r="F158" s="103">
        <f>COUNT(Q149:Q154)</f>
        <v>6</v>
      </c>
      <c r="G158" s="103"/>
      <c r="H158" s="103"/>
      <c r="I158" s="105"/>
      <c r="J158" s="105"/>
      <c r="K158" s="103"/>
      <c r="L158" s="103"/>
      <c r="M158" s="103"/>
      <c r="N158" s="103"/>
      <c r="O158" s="103"/>
      <c r="P158" s="103"/>
      <c r="Q158" s="103"/>
      <c r="R158" s="103"/>
      <c r="S158" s="106"/>
      <c r="T158" s="104"/>
      <c r="U158" s="104"/>
      <c r="V158" s="104"/>
      <c r="W158" s="104"/>
      <c r="X158" s="104"/>
      <c r="Y158" s="104"/>
      <c r="Z158" s="104"/>
    </row>
    <row r="159" spans="1:26" x14ac:dyDescent="0.25">
      <c r="A159" s="103"/>
      <c r="B159" s="103"/>
      <c r="C159" s="103"/>
      <c r="D159" s="103"/>
      <c r="E159" s="103"/>
      <c r="F159" s="103"/>
      <c r="G159" s="103"/>
      <c r="H159" s="103"/>
      <c r="I159" s="107"/>
      <c r="J159" s="107"/>
      <c r="K159" s="103"/>
      <c r="L159" s="103"/>
      <c r="M159" s="103"/>
      <c r="N159" s="103"/>
      <c r="O159" s="103"/>
      <c r="P159" s="103"/>
      <c r="Q159" s="103"/>
      <c r="R159" s="103"/>
      <c r="S159" s="108"/>
      <c r="T159" s="104"/>
      <c r="U159" s="104"/>
      <c r="V159" s="104"/>
      <c r="W159" s="104"/>
      <c r="X159" s="104"/>
      <c r="Y159" s="104"/>
      <c r="Z159" s="104"/>
    </row>
    <row r="160" spans="1:26" x14ac:dyDescent="0.25">
      <c r="A160" s="103"/>
      <c r="B160" s="103"/>
      <c r="C160" s="103"/>
      <c r="D160" s="103"/>
      <c r="E160" s="103"/>
      <c r="F160" s="103"/>
      <c r="G160" s="103"/>
      <c r="H160" s="103"/>
      <c r="I160" s="103"/>
      <c r="J160" s="103"/>
      <c r="K160" s="103"/>
      <c r="L160" s="103"/>
      <c r="M160" s="103"/>
      <c r="N160" s="103"/>
      <c r="O160" s="103"/>
      <c r="P160" s="103"/>
      <c r="Q160" s="103"/>
      <c r="R160" s="103"/>
      <c r="S160" s="104"/>
      <c r="T160" s="104"/>
      <c r="U160" s="104"/>
      <c r="V160" s="104"/>
      <c r="W160" s="104"/>
      <c r="X160" s="104"/>
      <c r="Y160" s="104"/>
      <c r="Z160" s="104"/>
    </row>
    <row r="161" spans="1:26" x14ac:dyDescent="0.25">
      <c r="A161" s="103"/>
      <c r="B161" s="103"/>
      <c r="C161" s="103"/>
      <c r="D161" s="103"/>
      <c r="E161" s="103"/>
      <c r="F161" s="103"/>
      <c r="G161" s="103"/>
      <c r="H161" s="103"/>
      <c r="I161" s="103"/>
      <c r="J161" s="103"/>
      <c r="K161" s="103"/>
      <c r="L161" s="103"/>
      <c r="M161" s="103"/>
      <c r="N161" s="103"/>
      <c r="O161" s="103"/>
      <c r="P161" s="103"/>
      <c r="Q161" s="103"/>
      <c r="R161" s="103"/>
      <c r="S161" s="104"/>
      <c r="T161" s="104"/>
      <c r="U161" s="104"/>
      <c r="V161" s="104"/>
      <c r="W161" s="104"/>
      <c r="X161" s="104"/>
      <c r="Y161" s="104"/>
      <c r="Z161" s="104"/>
    </row>
    <row r="162" spans="1:26" x14ac:dyDescent="0.25">
      <c r="A162" s="103"/>
      <c r="B162" s="103"/>
      <c r="C162" s="103"/>
      <c r="D162" s="103"/>
      <c r="E162" s="103"/>
      <c r="F162" s="103"/>
      <c r="G162" s="103"/>
      <c r="H162" s="103"/>
      <c r="I162" s="103"/>
      <c r="J162" s="103"/>
      <c r="K162" s="103"/>
      <c r="L162" s="103"/>
      <c r="M162" s="103"/>
      <c r="N162" s="103"/>
      <c r="O162" s="103"/>
      <c r="P162" s="103"/>
      <c r="Q162" s="103"/>
      <c r="R162" s="103"/>
      <c r="S162" s="104"/>
      <c r="T162" s="104"/>
      <c r="U162" s="104"/>
      <c r="V162" s="104"/>
      <c r="W162" s="104"/>
      <c r="X162" s="104"/>
      <c r="Y162" s="104"/>
      <c r="Z162" s="104"/>
    </row>
    <row r="163" spans="1:26" x14ac:dyDescent="0.25">
      <c r="A163" s="103"/>
      <c r="B163" s="103"/>
      <c r="C163" s="103"/>
      <c r="D163" s="103"/>
      <c r="E163" s="103"/>
      <c r="F163" s="103"/>
      <c r="G163" s="103"/>
      <c r="H163" s="103"/>
      <c r="I163" s="103"/>
      <c r="J163" s="103"/>
      <c r="K163" s="103"/>
      <c r="L163" s="103"/>
      <c r="M163" s="103"/>
      <c r="N163" s="103"/>
      <c r="O163" s="103"/>
      <c r="P163" s="103"/>
      <c r="Q163" s="103"/>
      <c r="R163" s="103"/>
      <c r="S163" s="104"/>
      <c r="T163" s="104"/>
      <c r="U163" s="104"/>
      <c r="V163" s="104"/>
      <c r="W163" s="104"/>
      <c r="X163" s="104"/>
      <c r="Y163" s="104"/>
      <c r="Z163" s="104"/>
    </row>
    <row r="164" spans="1:26" x14ac:dyDescent="0.25">
      <c r="A164" s="103"/>
      <c r="B164" s="103"/>
      <c r="C164" s="103"/>
      <c r="D164" s="103"/>
      <c r="E164" s="103"/>
      <c r="F164" s="103"/>
      <c r="G164" s="103"/>
      <c r="H164" s="103"/>
      <c r="I164" s="103"/>
      <c r="J164" s="103"/>
      <c r="K164" s="103"/>
      <c r="L164" s="103"/>
      <c r="M164" s="103"/>
      <c r="N164" s="103"/>
      <c r="O164" s="103"/>
      <c r="P164" s="103"/>
      <c r="Q164" s="103"/>
      <c r="R164" s="103"/>
      <c r="S164" s="104"/>
      <c r="T164" s="104"/>
      <c r="U164" s="104"/>
      <c r="V164" s="104"/>
      <c r="W164" s="104"/>
      <c r="X164" s="104"/>
      <c r="Y164" s="104"/>
      <c r="Z164" s="104"/>
    </row>
    <row r="165" spans="1:26" x14ac:dyDescent="0.25">
      <c r="A165" s="103"/>
      <c r="B165" s="103"/>
      <c r="C165" s="103"/>
      <c r="D165" s="103"/>
      <c r="E165" s="103"/>
      <c r="F165" s="103"/>
      <c r="G165" s="103"/>
      <c r="H165" s="103"/>
      <c r="I165" s="103"/>
      <c r="J165" s="103"/>
      <c r="K165" s="103"/>
      <c r="L165" s="103"/>
      <c r="M165" s="103"/>
      <c r="N165" s="103"/>
      <c r="O165" s="103"/>
      <c r="P165" s="103"/>
      <c r="Q165" s="103"/>
      <c r="R165" s="103"/>
      <c r="S165" s="104"/>
      <c r="T165" s="104"/>
      <c r="U165" s="104"/>
      <c r="V165" s="104"/>
      <c r="W165" s="104"/>
      <c r="X165" s="104"/>
      <c r="Y165" s="104"/>
      <c r="Z165" s="104"/>
    </row>
    <row r="166" spans="1:26" x14ac:dyDescent="0.25">
      <c r="A166" s="103"/>
      <c r="B166" s="103"/>
      <c r="C166" s="103"/>
      <c r="D166" s="103"/>
      <c r="E166" s="103"/>
      <c r="F166" s="103"/>
      <c r="G166" s="103"/>
      <c r="H166" s="103"/>
      <c r="I166" s="103"/>
      <c r="J166" s="103"/>
      <c r="K166" s="103"/>
      <c r="L166" s="103"/>
      <c r="M166" s="103"/>
      <c r="N166" s="103"/>
      <c r="O166" s="103"/>
      <c r="P166" s="103"/>
      <c r="Q166" s="103"/>
      <c r="R166" s="103"/>
      <c r="S166" s="104"/>
      <c r="T166" s="104"/>
      <c r="U166" s="104"/>
      <c r="V166" s="104"/>
      <c r="W166" s="104"/>
      <c r="X166" s="104"/>
      <c r="Y166" s="104"/>
      <c r="Z166" s="104"/>
    </row>
    <row r="167" spans="1:26" x14ac:dyDescent="0.25">
      <c r="A167" s="103"/>
      <c r="B167" s="103"/>
      <c r="C167" s="103"/>
      <c r="D167" s="103"/>
      <c r="E167" s="103"/>
      <c r="F167" s="103"/>
      <c r="G167" s="103"/>
      <c r="H167" s="103"/>
      <c r="I167" s="103"/>
      <c r="J167" s="103"/>
      <c r="K167" s="103"/>
      <c r="L167" s="103"/>
      <c r="M167" s="103"/>
      <c r="N167" s="103"/>
      <c r="O167" s="103"/>
      <c r="P167" s="103"/>
      <c r="Q167" s="103"/>
      <c r="R167" s="103"/>
      <c r="S167" s="104"/>
      <c r="T167" s="104"/>
      <c r="U167" s="104"/>
      <c r="V167" s="104"/>
      <c r="W167" s="104"/>
      <c r="X167" s="104"/>
      <c r="Y167" s="104"/>
      <c r="Z167" s="104"/>
    </row>
    <row r="168" spans="1:26" x14ac:dyDescent="0.25">
      <c r="A168" s="103"/>
      <c r="B168" s="103"/>
      <c r="C168" s="103"/>
      <c r="D168" s="103"/>
      <c r="E168" s="103"/>
      <c r="F168" s="103"/>
      <c r="G168" s="103"/>
      <c r="H168" s="103"/>
      <c r="I168" s="103"/>
      <c r="J168" s="103"/>
      <c r="K168" s="103"/>
      <c r="L168" s="103"/>
      <c r="M168" s="103"/>
      <c r="N168" s="103"/>
      <c r="O168" s="103"/>
      <c r="P168" s="103"/>
      <c r="Q168" s="103"/>
      <c r="R168" s="103"/>
      <c r="S168" s="104"/>
      <c r="T168" s="104"/>
      <c r="U168" s="104"/>
      <c r="V168" s="104"/>
      <c r="W168" s="104"/>
      <c r="X168" s="104"/>
      <c r="Y168" s="104"/>
      <c r="Z168" s="104"/>
    </row>
    <row r="169" spans="1:26" x14ac:dyDescent="0.25">
      <c r="A169" s="103"/>
      <c r="B169" s="103"/>
      <c r="C169" s="103"/>
      <c r="D169" s="103"/>
      <c r="E169" s="103"/>
      <c r="F169" s="103"/>
      <c r="G169" s="103"/>
      <c r="H169" s="103"/>
      <c r="I169" s="103"/>
      <c r="J169" s="103"/>
      <c r="K169" s="103"/>
      <c r="L169" s="103"/>
      <c r="M169" s="103"/>
      <c r="N169" s="103"/>
      <c r="O169" s="103"/>
      <c r="P169" s="103"/>
      <c r="Q169" s="103"/>
      <c r="R169" s="103"/>
      <c r="S169" s="104"/>
      <c r="T169" s="104"/>
      <c r="U169" s="104"/>
      <c r="V169" s="104"/>
      <c r="W169" s="104"/>
      <c r="X169" s="104"/>
      <c r="Y169" s="104"/>
      <c r="Z169" s="104"/>
    </row>
    <row r="170" spans="1:26" x14ac:dyDescent="0.25">
      <c r="A170" s="103"/>
      <c r="B170" s="103"/>
      <c r="C170" s="103"/>
      <c r="D170" s="103"/>
      <c r="E170" s="103"/>
      <c r="F170" s="103"/>
      <c r="G170" s="103"/>
      <c r="H170" s="103"/>
      <c r="I170" s="103"/>
      <c r="J170" s="103"/>
      <c r="K170" s="103"/>
      <c r="L170" s="103"/>
      <c r="M170" s="103"/>
      <c r="N170" s="103"/>
      <c r="O170" s="103"/>
      <c r="P170" s="103"/>
      <c r="Q170" s="103"/>
      <c r="R170" s="103"/>
      <c r="S170" s="104"/>
      <c r="T170" s="104"/>
      <c r="U170" s="104"/>
      <c r="V170" s="104"/>
      <c r="W170" s="104"/>
      <c r="X170" s="104"/>
      <c r="Y170" s="104"/>
      <c r="Z170" s="104"/>
    </row>
    <row r="171" spans="1:26" x14ac:dyDescent="0.25">
      <c r="A171" s="103"/>
      <c r="B171" s="103"/>
      <c r="C171" s="103"/>
      <c r="D171" s="103"/>
      <c r="E171" s="103"/>
      <c r="F171" s="103"/>
      <c r="G171" s="103"/>
      <c r="H171" s="103"/>
      <c r="I171" s="103"/>
      <c r="J171" s="103"/>
      <c r="K171" s="103"/>
      <c r="L171" s="103"/>
      <c r="M171" s="103"/>
      <c r="N171" s="103"/>
      <c r="O171" s="103"/>
      <c r="P171" s="103"/>
      <c r="Q171" s="103"/>
      <c r="R171" s="103"/>
      <c r="S171" s="104"/>
      <c r="T171" s="104"/>
      <c r="U171" s="104"/>
      <c r="V171" s="104"/>
      <c r="W171" s="104"/>
      <c r="X171" s="104"/>
      <c r="Y171" s="104"/>
      <c r="Z171" s="104"/>
    </row>
    <row r="172" spans="1:26" x14ac:dyDescent="0.25">
      <c r="A172" s="103"/>
      <c r="B172" s="103"/>
      <c r="C172" s="103"/>
      <c r="D172" s="103"/>
      <c r="E172" s="103"/>
      <c r="F172" s="103"/>
      <c r="G172" s="103"/>
      <c r="H172" s="103"/>
      <c r="I172" s="103"/>
      <c r="J172" s="103"/>
      <c r="K172" s="103"/>
      <c r="L172" s="103"/>
      <c r="M172" s="103"/>
      <c r="N172" s="103"/>
      <c r="O172" s="103"/>
      <c r="P172" s="103"/>
      <c r="Q172" s="103"/>
      <c r="R172" s="103"/>
      <c r="S172" s="104"/>
      <c r="T172" s="104"/>
      <c r="U172" s="104"/>
      <c r="V172" s="104"/>
      <c r="W172" s="104"/>
      <c r="X172" s="104"/>
      <c r="Y172" s="104"/>
      <c r="Z172" s="104"/>
    </row>
    <row r="173" spans="1:26" x14ac:dyDescent="0.25">
      <c r="A173" s="103"/>
      <c r="B173" s="103"/>
      <c r="C173" s="103"/>
      <c r="D173" s="103"/>
      <c r="E173" s="103"/>
      <c r="F173" s="103"/>
      <c r="G173" s="103"/>
      <c r="H173" s="103"/>
      <c r="I173" s="103"/>
      <c r="J173" s="103"/>
      <c r="K173" s="103"/>
      <c r="L173" s="103"/>
      <c r="M173" s="103"/>
      <c r="N173" s="103"/>
      <c r="O173" s="103"/>
      <c r="P173" s="103"/>
      <c r="Q173" s="103"/>
      <c r="R173" s="103"/>
      <c r="S173" s="104"/>
      <c r="T173" s="104"/>
      <c r="U173" s="104"/>
      <c r="V173" s="104"/>
      <c r="W173" s="104"/>
      <c r="X173" s="104"/>
      <c r="Y173" s="104"/>
      <c r="Z173" s="104"/>
    </row>
    <row r="174" spans="1:26" x14ac:dyDescent="0.25">
      <c r="A174" s="103"/>
      <c r="B174" s="103"/>
      <c r="C174" s="103"/>
      <c r="D174" s="103"/>
      <c r="E174" s="103"/>
      <c r="F174" s="103"/>
      <c r="G174" s="103"/>
      <c r="H174" s="103"/>
      <c r="I174" s="103"/>
      <c r="J174" s="103"/>
      <c r="K174" s="103"/>
      <c r="L174" s="103"/>
      <c r="M174" s="103"/>
      <c r="N174" s="103"/>
      <c r="O174" s="103"/>
      <c r="P174" s="103"/>
      <c r="Q174" s="103"/>
      <c r="R174" s="103"/>
      <c r="S174" s="104"/>
      <c r="T174" s="104"/>
      <c r="U174" s="104"/>
      <c r="V174" s="104"/>
      <c r="W174" s="104"/>
      <c r="X174" s="104"/>
      <c r="Y174" s="104"/>
      <c r="Z174" s="104"/>
    </row>
    <row r="175" spans="1:26" x14ac:dyDescent="0.25">
      <c r="A175" s="103"/>
      <c r="B175" s="103"/>
      <c r="C175" s="103"/>
      <c r="D175" s="103"/>
      <c r="E175" s="103"/>
      <c r="F175" s="103"/>
      <c r="G175" s="103"/>
      <c r="H175" s="103"/>
      <c r="I175" s="103"/>
      <c r="J175" s="103"/>
      <c r="K175" s="103"/>
      <c r="L175" s="103"/>
      <c r="M175" s="103"/>
      <c r="N175" s="103"/>
      <c r="O175" s="103"/>
      <c r="P175" s="103"/>
      <c r="Q175" s="103"/>
      <c r="R175" s="103"/>
      <c r="S175" s="104"/>
      <c r="T175" s="104"/>
      <c r="U175" s="104"/>
      <c r="V175" s="104"/>
      <c r="W175" s="104"/>
      <c r="X175" s="104"/>
      <c r="Y175" s="104"/>
      <c r="Z175" s="104"/>
    </row>
    <row r="176" spans="1:26" x14ac:dyDescent="0.25">
      <c r="A176" s="103"/>
      <c r="B176" s="103"/>
      <c r="C176" s="103"/>
      <c r="D176" s="103"/>
      <c r="E176" s="103"/>
      <c r="F176" s="103"/>
      <c r="G176" s="103"/>
      <c r="H176" s="103"/>
      <c r="I176" s="103"/>
      <c r="J176" s="103"/>
      <c r="K176" s="103"/>
      <c r="L176" s="103"/>
      <c r="M176" s="103"/>
      <c r="N176" s="103"/>
      <c r="O176" s="103"/>
      <c r="P176" s="103"/>
      <c r="Q176" s="103"/>
      <c r="R176" s="103"/>
      <c r="S176" s="104"/>
      <c r="T176" s="104"/>
      <c r="U176" s="104"/>
      <c r="V176" s="104"/>
      <c r="W176" s="104"/>
      <c r="X176" s="104"/>
      <c r="Y176" s="104"/>
      <c r="Z176" s="104"/>
    </row>
    <row r="177" spans="1:26" x14ac:dyDescent="0.25">
      <c r="A177" s="103"/>
      <c r="B177" s="103"/>
      <c r="C177" s="103"/>
      <c r="D177" s="103"/>
      <c r="E177" s="103"/>
      <c r="F177" s="103"/>
      <c r="G177" s="103"/>
      <c r="H177" s="103"/>
      <c r="I177" s="103"/>
      <c r="J177" s="103"/>
      <c r="K177" s="103"/>
      <c r="L177" s="103"/>
      <c r="M177" s="103"/>
      <c r="N177" s="103"/>
      <c r="O177" s="103"/>
      <c r="P177" s="103"/>
      <c r="Q177" s="103"/>
      <c r="R177" s="103"/>
      <c r="S177" s="104"/>
      <c r="T177" s="104"/>
      <c r="U177" s="104"/>
      <c r="V177" s="104"/>
      <c r="W177" s="104"/>
      <c r="X177" s="104"/>
      <c r="Y177" s="104"/>
      <c r="Z177" s="104"/>
    </row>
    <row r="178" spans="1:26" x14ac:dyDescent="0.25">
      <c r="A178" s="103"/>
      <c r="B178" s="103"/>
      <c r="C178" s="103"/>
      <c r="D178" s="103"/>
      <c r="E178" s="103"/>
      <c r="F178" s="103"/>
      <c r="G178" s="103"/>
      <c r="H178" s="103"/>
      <c r="I178" s="103"/>
      <c r="J178" s="103"/>
      <c r="K178" s="103"/>
      <c r="L178" s="103"/>
      <c r="M178" s="103"/>
      <c r="N178" s="103"/>
      <c r="O178" s="103"/>
      <c r="P178" s="103"/>
      <c r="Q178" s="103"/>
      <c r="R178" s="103"/>
      <c r="S178" s="104"/>
      <c r="T178" s="104"/>
      <c r="U178" s="104"/>
      <c r="V178" s="104"/>
      <c r="W178" s="104"/>
      <c r="X178" s="104"/>
      <c r="Y178" s="104"/>
      <c r="Z178" s="104"/>
    </row>
    <row r="179" spans="1:26" x14ac:dyDescent="0.25">
      <c r="A179" s="103"/>
      <c r="B179" s="103"/>
      <c r="C179" s="103"/>
      <c r="D179" s="103"/>
      <c r="E179" s="103"/>
      <c r="F179" s="103"/>
      <c r="G179" s="103"/>
      <c r="H179" s="103"/>
      <c r="I179" s="103"/>
      <c r="J179" s="103"/>
      <c r="K179" s="103"/>
      <c r="L179" s="103"/>
      <c r="M179" s="103"/>
      <c r="N179" s="103"/>
      <c r="O179" s="103"/>
      <c r="P179" s="103"/>
      <c r="Q179" s="103"/>
      <c r="R179" s="103"/>
      <c r="S179" s="104"/>
      <c r="T179" s="104"/>
      <c r="U179" s="104"/>
      <c r="V179" s="104"/>
      <c r="W179" s="104"/>
      <c r="X179" s="104"/>
      <c r="Y179" s="104"/>
      <c r="Z179" s="104"/>
    </row>
    <row r="180" spans="1:26" x14ac:dyDescent="0.25">
      <c r="A180" s="103"/>
      <c r="B180" s="103"/>
      <c r="C180" s="103"/>
      <c r="D180" s="103"/>
      <c r="E180" s="103"/>
      <c r="F180" s="103"/>
      <c r="G180" s="103"/>
      <c r="H180" s="103"/>
      <c r="I180" s="103"/>
      <c r="J180" s="103"/>
      <c r="K180" s="103"/>
      <c r="L180" s="103"/>
      <c r="M180" s="103"/>
      <c r="N180" s="103"/>
      <c r="O180" s="103"/>
      <c r="P180" s="103"/>
      <c r="Q180" s="103"/>
      <c r="R180" s="103"/>
      <c r="S180" s="104"/>
      <c r="T180" s="104"/>
      <c r="U180" s="104"/>
      <c r="V180" s="104"/>
      <c r="W180" s="104"/>
      <c r="X180" s="104"/>
      <c r="Y180" s="104"/>
      <c r="Z180" s="104"/>
    </row>
    <row r="181" spans="1:26" x14ac:dyDescent="0.25">
      <c r="A181" s="103"/>
      <c r="B181" s="103"/>
      <c r="C181" s="103"/>
      <c r="D181" s="103"/>
      <c r="E181" s="103"/>
      <c r="F181" s="103"/>
      <c r="G181" s="103"/>
      <c r="H181" s="103"/>
      <c r="I181" s="103"/>
      <c r="J181" s="103"/>
      <c r="K181" s="103"/>
      <c r="L181" s="103"/>
      <c r="M181" s="103"/>
      <c r="N181" s="103"/>
      <c r="O181" s="103"/>
      <c r="P181" s="103"/>
      <c r="Q181" s="103"/>
      <c r="R181" s="103"/>
      <c r="S181" s="104"/>
      <c r="T181" s="104"/>
      <c r="U181" s="104"/>
      <c r="V181" s="104"/>
      <c r="W181" s="104"/>
      <c r="X181" s="104"/>
      <c r="Y181" s="104"/>
      <c r="Z181" s="104"/>
    </row>
    <row r="182" spans="1:26" x14ac:dyDescent="0.25">
      <c r="A182" s="103"/>
      <c r="B182" s="103"/>
      <c r="C182" s="103"/>
      <c r="D182" s="103"/>
      <c r="E182" s="103"/>
      <c r="F182" s="103"/>
      <c r="G182" s="103"/>
      <c r="H182" s="103"/>
      <c r="I182" s="103"/>
      <c r="J182" s="103"/>
      <c r="K182" s="103"/>
      <c r="L182" s="103"/>
      <c r="M182" s="103"/>
      <c r="N182" s="103"/>
      <c r="O182" s="103"/>
      <c r="P182" s="103"/>
      <c r="Q182" s="103"/>
      <c r="R182" s="103"/>
      <c r="S182" s="104"/>
      <c r="T182" s="104"/>
      <c r="U182" s="104"/>
      <c r="V182" s="104"/>
      <c r="W182" s="104"/>
      <c r="X182" s="104"/>
      <c r="Y182" s="104"/>
      <c r="Z182" s="104"/>
    </row>
    <row r="183" spans="1:26" x14ac:dyDescent="0.25">
      <c r="A183" s="103"/>
      <c r="B183" s="103"/>
      <c r="C183" s="103"/>
      <c r="D183" s="103"/>
      <c r="E183" s="103"/>
      <c r="F183" s="103"/>
      <c r="G183" s="103"/>
      <c r="H183" s="103"/>
      <c r="I183" s="103"/>
      <c r="J183" s="103"/>
      <c r="K183" s="103"/>
      <c r="L183" s="103"/>
      <c r="M183" s="103"/>
      <c r="N183" s="103"/>
      <c r="O183" s="103"/>
      <c r="P183" s="103"/>
      <c r="Q183" s="103"/>
      <c r="R183" s="103"/>
      <c r="S183" s="104"/>
      <c r="T183" s="104"/>
      <c r="U183" s="104"/>
      <c r="V183" s="104"/>
      <c r="W183" s="104"/>
      <c r="X183" s="104"/>
      <c r="Y183" s="104"/>
      <c r="Z183" s="104"/>
    </row>
    <row r="184" spans="1:26" x14ac:dyDescent="0.25">
      <c r="A184" s="103"/>
      <c r="B184" s="103"/>
      <c r="C184" s="103"/>
      <c r="D184" s="103"/>
      <c r="E184" s="103"/>
      <c r="F184" s="103"/>
      <c r="G184" s="103"/>
      <c r="H184" s="103"/>
      <c r="I184" s="103"/>
      <c r="J184" s="103"/>
      <c r="K184" s="103"/>
      <c r="L184" s="103"/>
      <c r="M184" s="103"/>
      <c r="N184" s="103"/>
      <c r="O184" s="103"/>
      <c r="P184" s="103"/>
      <c r="Q184" s="103"/>
      <c r="R184" s="103"/>
      <c r="S184" s="104"/>
      <c r="T184" s="104"/>
      <c r="U184" s="104"/>
      <c r="V184" s="104"/>
      <c r="W184" s="104"/>
      <c r="X184" s="104"/>
      <c r="Y184" s="104"/>
      <c r="Z184" s="104"/>
    </row>
    <row r="185" spans="1:26" x14ac:dyDescent="0.25">
      <c r="A185" s="103"/>
      <c r="B185" s="103"/>
      <c r="C185" s="103"/>
      <c r="D185" s="103"/>
      <c r="E185" s="103"/>
      <c r="F185" s="103"/>
      <c r="G185" s="103"/>
      <c r="H185" s="103"/>
      <c r="I185" s="103"/>
      <c r="J185" s="103"/>
      <c r="K185" s="103"/>
      <c r="L185" s="103"/>
      <c r="M185" s="103"/>
      <c r="N185" s="103"/>
      <c r="O185" s="103"/>
      <c r="P185" s="103"/>
      <c r="Q185" s="103"/>
      <c r="R185" s="103"/>
      <c r="S185" s="104"/>
      <c r="T185" s="104"/>
      <c r="U185" s="104"/>
      <c r="V185" s="104"/>
      <c r="W185" s="104"/>
      <c r="X185" s="104"/>
      <c r="Y185" s="104"/>
      <c r="Z185" s="104"/>
    </row>
    <row r="186" spans="1:26" x14ac:dyDescent="0.25">
      <c r="A186" s="103"/>
      <c r="B186" s="103"/>
      <c r="C186" s="103"/>
      <c r="D186" s="103"/>
      <c r="E186" s="103"/>
      <c r="F186" s="103"/>
      <c r="G186" s="103"/>
      <c r="H186" s="103"/>
      <c r="I186" s="103"/>
      <c r="J186" s="103"/>
      <c r="K186" s="103"/>
      <c r="L186" s="103"/>
      <c r="M186" s="103"/>
      <c r="N186" s="103"/>
      <c r="O186" s="103"/>
      <c r="P186" s="103"/>
      <c r="Q186" s="103"/>
      <c r="R186" s="103"/>
      <c r="S186" s="104"/>
      <c r="T186" s="104"/>
      <c r="U186" s="104"/>
      <c r="V186" s="104"/>
      <c r="W186" s="104"/>
      <c r="X186" s="104"/>
      <c r="Y186" s="104"/>
      <c r="Z186" s="104"/>
    </row>
    <row r="187" spans="1:26" x14ac:dyDescent="0.25">
      <c r="A187" s="103"/>
      <c r="B187" s="103"/>
      <c r="C187" s="103"/>
      <c r="D187" s="103"/>
      <c r="E187" s="103"/>
      <c r="F187" s="103"/>
      <c r="G187" s="103"/>
      <c r="H187" s="103"/>
      <c r="I187" s="103"/>
      <c r="J187" s="103"/>
      <c r="K187" s="103"/>
      <c r="L187" s="103"/>
      <c r="M187" s="103"/>
      <c r="N187" s="103"/>
      <c r="O187" s="103"/>
      <c r="P187" s="103"/>
      <c r="Q187" s="103"/>
      <c r="R187" s="103"/>
      <c r="S187" s="104"/>
      <c r="T187" s="104"/>
      <c r="U187" s="104"/>
      <c r="V187" s="104"/>
      <c r="W187" s="104"/>
      <c r="X187" s="104"/>
      <c r="Y187" s="104"/>
      <c r="Z187" s="104"/>
    </row>
  </sheetData>
  <sheetProtection sheet="1" objects="1" scenarios="1" selectLockedCells="1"/>
  <mergeCells count="6">
    <mergeCell ref="C7:H7"/>
    <mergeCell ref="A2:J2"/>
    <mergeCell ref="C6:H6"/>
    <mergeCell ref="I6:J6"/>
    <mergeCell ref="C4:H4"/>
    <mergeCell ref="C5:H5"/>
  </mergeCells>
  <phoneticPr fontId="0" type="noConversion"/>
  <pageMargins left="0.75" right="0.75" top="0.5" bottom="0.5" header="0.5" footer="0.5"/>
  <pageSetup orientation="landscape" r:id="rId1"/>
  <headerFooter alignWithMargins="0"/>
  <rowBreaks count="10" manualBreakCount="10">
    <brk id="18" max="16383" man="1"/>
    <brk id="26" max="16383" man="1"/>
    <brk id="41" max="16383" man="1"/>
    <brk id="57" max="16383" man="1"/>
    <brk id="66" max="16383" man="1"/>
    <brk id="80" max="16383" man="1"/>
    <brk id="109" max="16383" man="1"/>
    <brk id="123" max="16383" man="1"/>
    <brk id="131" max="16383" man="1"/>
    <brk id="147" max="16383"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18"/>
  <sheetViews>
    <sheetView workbookViewId="0"/>
  </sheetViews>
  <sheetFormatPr defaultRowHeight="12.5" x14ac:dyDescent="0.25"/>
  <cols>
    <col min="1" max="1" width="3.81640625" customWidth="1"/>
    <col min="2" max="2" width="17.26953125" style="2" customWidth="1"/>
    <col min="3" max="3" width="93.81640625" style="2" customWidth="1"/>
    <col min="4" max="4" width="4.7265625" customWidth="1"/>
    <col min="6" max="6" width="11" customWidth="1"/>
  </cols>
  <sheetData>
    <row r="1" spans="1:6" x14ac:dyDescent="0.25">
      <c r="A1" s="34"/>
      <c r="B1" s="35"/>
      <c r="C1" s="35"/>
      <c r="D1" s="95" t="s">
        <v>272</v>
      </c>
      <c r="E1" s="34"/>
      <c r="F1" s="34"/>
    </row>
    <row r="2" spans="1:6" s="101" customFormat="1" ht="39" customHeight="1" x14ac:dyDescent="0.25">
      <c r="A2" s="99"/>
      <c r="B2" s="212" t="s">
        <v>294</v>
      </c>
      <c r="C2" s="213"/>
      <c r="D2" s="100"/>
      <c r="E2" s="99"/>
      <c r="F2" s="99"/>
    </row>
    <row r="3" spans="1:6" ht="13" thickBot="1" x14ac:dyDescent="0.3">
      <c r="A3" s="34"/>
      <c r="B3" s="35"/>
      <c r="C3" s="35"/>
      <c r="D3" s="95"/>
      <c r="E3" s="34"/>
      <c r="F3" s="34"/>
    </row>
    <row r="4" spans="1:6" ht="19" thickTop="1" thickBot="1" x14ac:dyDescent="0.3">
      <c r="A4" s="34"/>
      <c r="B4" s="96" t="s">
        <v>259</v>
      </c>
      <c r="C4" s="33" t="s">
        <v>260</v>
      </c>
      <c r="D4" s="34"/>
      <c r="E4" s="34"/>
      <c r="F4" s="34"/>
    </row>
    <row r="5" spans="1:6" ht="25.5" thickTop="1" x14ac:dyDescent="0.25">
      <c r="A5" s="34"/>
      <c r="B5" s="97" t="s">
        <v>72</v>
      </c>
      <c r="C5" s="30" t="s">
        <v>266</v>
      </c>
      <c r="D5" s="34"/>
      <c r="E5" s="34"/>
      <c r="F5" s="34"/>
    </row>
    <row r="6" spans="1:6" ht="256.5" customHeight="1" x14ac:dyDescent="0.25">
      <c r="A6" s="34"/>
      <c r="B6" s="97" t="s">
        <v>122</v>
      </c>
      <c r="C6" s="30" t="s">
        <v>123</v>
      </c>
      <c r="D6" s="34"/>
      <c r="E6" s="34"/>
      <c r="F6" s="34"/>
    </row>
    <row r="7" spans="1:6" ht="25" x14ac:dyDescent="0.25">
      <c r="A7" s="34"/>
      <c r="B7" s="97" t="s">
        <v>135</v>
      </c>
      <c r="C7" s="30" t="s">
        <v>136</v>
      </c>
      <c r="D7" s="34"/>
      <c r="E7" s="34"/>
      <c r="F7" s="34"/>
    </row>
    <row r="8" spans="1:6" ht="37.5" x14ac:dyDescent="0.25">
      <c r="A8" s="34"/>
      <c r="B8" s="97" t="s">
        <v>0</v>
      </c>
      <c r="C8" s="30" t="s">
        <v>137</v>
      </c>
      <c r="D8" s="34"/>
      <c r="E8" s="34"/>
      <c r="F8" s="34"/>
    </row>
    <row r="9" spans="1:6" x14ac:dyDescent="0.25">
      <c r="A9" s="34"/>
      <c r="B9" s="97" t="s">
        <v>121</v>
      </c>
      <c r="C9" s="30" t="s">
        <v>265</v>
      </c>
      <c r="D9" s="34"/>
      <c r="E9" s="34"/>
      <c r="F9" s="34"/>
    </row>
    <row r="10" spans="1:6" ht="25" x14ac:dyDescent="0.25">
      <c r="A10" s="34"/>
      <c r="B10" s="97" t="s">
        <v>73</v>
      </c>
      <c r="C10" s="30" t="s">
        <v>271</v>
      </c>
      <c r="D10" s="34"/>
      <c r="E10" s="34"/>
      <c r="F10" s="34"/>
    </row>
    <row r="11" spans="1:6" ht="25" x14ac:dyDescent="0.25">
      <c r="A11" s="34"/>
      <c r="B11" s="97" t="s">
        <v>74</v>
      </c>
      <c r="C11" s="30" t="s">
        <v>75</v>
      </c>
      <c r="D11" s="34"/>
      <c r="E11" s="34"/>
      <c r="F11" s="34"/>
    </row>
    <row r="12" spans="1:6" ht="37.5" x14ac:dyDescent="0.25">
      <c r="A12" s="34"/>
      <c r="B12" s="97" t="s">
        <v>214</v>
      </c>
      <c r="C12" s="30" t="s">
        <v>278</v>
      </c>
      <c r="D12" s="34"/>
      <c r="E12" s="34"/>
      <c r="F12" s="34"/>
    </row>
    <row r="13" spans="1:6" ht="62.5" x14ac:dyDescent="0.25">
      <c r="A13" s="34"/>
      <c r="B13" s="97" t="s">
        <v>215</v>
      </c>
      <c r="C13" s="30" t="s">
        <v>264</v>
      </c>
      <c r="D13" s="34"/>
      <c r="E13" s="34"/>
      <c r="F13" s="34"/>
    </row>
    <row r="14" spans="1:6" ht="187.5" x14ac:dyDescent="0.25">
      <c r="A14" s="34"/>
      <c r="B14" s="97" t="s">
        <v>226</v>
      </c>
      <c r="C14" s="31" t="s">
        <v>301</v>
      </c>
      <c r="D14" s="34"/>
      <c r="E14" s="34"/>
      <c r="F14" s="34"/>
    </row>
    <row r="15" spans="1:6" ht="161.25" customHeight="1" x14ac:dyDescent="0.25">
      <c r="A15" s="34"/>
      <c r="B15" s="97" t="s">
        <v>216</v>
      </c>
      <c r="C15" s="30" t="s">
        <v>217</v>
      </c>
      <c r="D15" s="34"/>
      <c r="E15" s="34"/>
      <c r="F15" s="34"/>
    </row>
    <row r="16" spans="1:6" ht="13" thickBot="1" x14ac:dyDescent="0.3">
      <c r="A16" s="34"/>
      <c r="B16" s="98"/>
      <c r="C16" s="32"/>
      <c r="D16" s="34"/>
      <c r="E16" s="34"/>
      <c r="F16" s="34"/>
    </row>
    <row r="17" spans="1:6" ht="13" thickTop="1" x14ac:dyDescent="0.25">
      <c r="A17" s="34"/>
      <c r="B17" s="35"/>
      <c r="C17" s="35"/>
      <c r="D17" s="34"/>
      <c r="E17" s="34"/>
      <c r="F17" s="34"/>
    </row>
    <row r="18" spans="1:6" x14ac:dyDescent="0.25">
      <c r="A18" s="34"/>
      <c r="B18" s="35"/>
      <c r="C18" s="35"/>
      <c r="D18" s="34"/>
      <c r="E18" s="34"/>
      <c r="F18" s="34"/>
    </row>
  </sheetData>
  <sheetProtection sheet="1" objects="1" scenarios="1" selectLockedCells="1"/>
  <mergeCells count="1">
    <mergeCell ref="B2:C2"/>
  </mergeCells>
  <phoneticPr fontId="0" type="noConversion"/>
  <pageMargins left="0.75" right="0.75" top="0.5" bottom="0.5" header="0.5" footer="0.5"/>
  <pageSetup orientation="landscape" r:id="rId1"/>
  <headerFooter alignWithMargins="0"/>
  <drawing r:id="rId2"/>
  <legacyDrawing r:id="rId3"/>
  <oleObjects>
    <mc:AlternateContent xmlns:mc="http://schemas.openxmlformats.org/markup-compatibility/2006">
      <mc:Choice Requires="x14">
        <oleObject progId="PBrush" shapeId="1025" r:id="rId4">
          <objectPr defaultSize="0" r:id="rId5">
            <anchor moveWithCells="1">
              <from>
                <xdr:col>2</xdr:col>
                <xdr:colOff>1143000</xdr:colOff>
                <xdr:row>14</xdr:row>
                <xdr:rowOff>368300</xdr:rowOff>
              </from>
              <to>
                <xdr:col>2</xdr:col>
                <xdr:colOff>4660900</xdr:colOff>
                <xdr:row>14</xdr:row>
                <xdr:rowOff>1809750</xdr:rowOff>
              </to>
            </anchor>
          </objectPr>
        </oleObject>
      </mc:Choice>
      <mc:Fallback>
        <oleObject progId="PBrush" shapeId="1025" r:id="rId4"/>
      </mc:Fallback>
    </mc:AlternateContent>
    <mc:AlternateContent xmlns:mc="http://schemas.openxmlformats.org/markup-compatibility/2006">
      <mc:Choice Requires="x14">
        <oleObject progId="PBrush" shapeId="1030" r:id="rId6">
          <objectPr defaultSize="0" autoPict="0" r:id="rId7">
            <anchor moveWithCells="1">
              <from>
                <xdr:col>2</xdr:col>
                <xdr:colOff>190500</xdr:colOff>
                <xdr:row>13</xdr:row>
                <xdr:rowOff>584200</xdr:rowOff>
              </from>
              <to>
                <xdr:col>2</xdr:col>
                <xdr:colOff>2133600</xdr:colOff>
                <xdr:row>13</xdr:row>
                <xdr:rowOff>2139950</xdr:rowOff>
              </to>
            </anchor>
          </objectPr>
        </oleObject>
      </mc:Choice>
      <mc:Fallback>
        <oleObject progId="PBrush" shapeId="1030" r:id="rId6"/>
      </mc:Fallback>
    </mc:AlternateContent>
    <mc:AlternateContent xmlns:mc="http://schemas.openxmlformats.org/markup-compatibility/2006">
      <mc:Choice Requires="x14">
        <oleObject progId="PBrush" shapeId="1031" r:id="rId8">
          <objectPr defaultSize="0" autoPict="0" r:id="rId9">
            <anchor moveWithCells="1">
              <from>
                <xdr:col>2</xdr:col>
                <xdr:colOff>2476500</xdr:colOff>
                <xdr:row>13</xdr:row>
                <xdr:rowOff>577850</xdr:rowOff>
              </from>
              <to>
                <xdr:col>2</xdr:col>
                <xdr:colOff>4419600</xdr:colOff>
                <xdr:row>13</xdr:row>
                <xdr:rowOff>2133600</xdr:rowOff>
              </to>
            </anchor>
          </objectPr>
        </oleObject>
      </mc:Choice>
      <mc:Fallback>
        <oleObject progId="PBrush" shapeId="1031" r:id="rId8"/>
      </mc:Fallback>
    </mc:AlternateContent>
    <mc:AlternateContent xmlns:mc="http://schemas.openxmlformats.org/markup-compatibility/2006">
      <mc:Choice Requires="x14">
        <oleObject progId="PBrush" shapeId="1033" r:id="rId10">
          <objectPr defaultSize="0" r:id="rId11">
            <anchor moveWithCells="1">
              <from>
                <xdr:col>2</xdr:col>
                <xdr:colOff>107950</xdr:colOff>
                <xdr:row>5</xdr:row>
                <xdr:rowOff>190500</xdr:rowOff>
              </from>
              <to>
                <xdr:col>2</xdr:col>
                <xdr:colOff>6375400</xdr:colOff>
                <xdr:row>5</xdr:row>
                <xdr:rowOff>3130550</xdr:rowOff>
              </to>
            </anchor>
          </objectPr>
        </oleObject>
      </mc:Choice>
      <mc:Fallback>
        <oleObject progId="PBrush" shapeId="1033" r:id="rId10"/>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13</vt:i4>
      </vt:variant>
    </vt:vector>
  </HeadingPairs>
  <TitlesOfParts>
    <vt:vector size="17" baseType="lpstr">
      <vt:lpstr>Instructions</vt:lpstr>
      <vt:lpstr>License  &amp; Disclaimers</vt:lpstr>
      <vt:lpstr>Assessment Tool</vt:lpstr>
      <vt:lpstr>Glossary</vt:lpstr>
      <vt:lpstr>Instructions!_Ref14756030</vt:lpstr>
      <vt:lpstr>AllResonses</vt:lpstr>
      <vt:lpstr>CADCAEResponses</vt:lpstr>
      <vt:lpstr>CADResponses</vt:lpstr>
      <vt:lpstr>CAEResponses</vt:lpstr>
      <vt:lpstr>'Assessment Tool'!Print_Area</vt:lpstr>
      <vt:lpstr>Glossary!Print_Area</vt:lpstr>
      <vt:lpstr>Instructions!Print_Area</vt:lpstr>
      <vt:lpstr>'License  &amp; Disclaimers'!Print_Area</vt:lpstr>
      <vt:lpstr>'Assessment Tool'!Print_Titles</vt:lpstr>
      <vt:lpstr>Glossary!Print_Titles</vt:lpstr>
      <vt:lpstr>Instructions!Print_Titles</vt:lpstr>
      <vt:lpstr>'License  &amp; Disclaimers'!Print_Titles</vt:lpstr>
    </vt:vector>
  </TitlesOfParts>
  <Company>NIST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sfenves</dc:creator>
  <cp:lastModifiedBy>Carina Negreanu</cp:lastModifiedBy>
  <cp:lastPrinted>2003-05-12T17:29:33Z</cp:lastPrinted>
  <dcterms:created xsi:type="dcterms:W3CDTF">2002-10-21T17:35:16Z</dcterms:created>
  <dcterms:modified xsi:type="dcterms:W3CDTF">2020-01-27T12:04:35Z</dcterms:modified>
</cp:coreProperties>
</file>