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0A47D4-AFC3-4030-ACAD-A468AA0E860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C4" i="1" l="1"/>
  <c r="I8" i="1"/>
  <c r="J8" i="1"/>
  <c r="I10" i="1"/>
  <c r="J10" i="1"/>
  <c r="I12" i="1"/>
  <c r="J12" i="1"/>
  <c r="I14" i="1"/>
  <c r="J14" i="1"/>
  <c r="B17" i="1"/>
  <c r="B18" i="1"/>
  <c r="C18" i="1"/>
  <c r="B19" i="1"/>
  <c r="B20" i="1"/>
</calcChain>
</file>

<file path=xl/sharedStrings.xml><?xml version="1.0" encoding="utf-8"?>
<sst xmlns="http://schemas.openxmlformats.org/spreadsheetml/2006/main" count="53" uniqueCount="43">
  <si>
    <t>Purpose: To help select the grade of chemical reagent that meets the user's needs.</t>
  </si>
  <si>
    <t>Citations with documentation. 41.39</t>
  </si>
  <si>
    <t>Medal Project 2003. See disclaimer.</t>
  </si>
  <si>
    <t>data</t>
  </si>
  <si>
    <t>enter</t>
  </si>
  <si>
    <t>Are you evaluating a chemical reagent? (Y or N)</t>
  </si>
  <si>
    <t>Y</t>
  </si>
  <si>
    <t>enter an "x" in the appropriate column for each question (give only 1 answer per row)</t>
  </si>
  <si>
    <t>purity</t>
  </si>
  <si>
    <t>extent of analysis</t>
  </si>
  <si>
    <t>cost</t>
  </si>
  <si>
    <t>primary factor for making the selection</t>
  </si>
  <si>
    <t>x</t>
  </si>
  <si>
    <t>low, impure</t>
  </si>
  <si>
    <t>moderate</t>
  </si>
  <si>
    <t>moderate to high</t>
  </si>
  <si>
    <t>high</t>
  </si>
  <si>
    <t>very high</t>
  </si>
  <si>
    <t>highest</t>
  </si>
  <si>
    <t>minimal</t>
  </si>
  <si>
    <t>moderate, identifies toxins</t>
  </si>
  <si>
    <t>moderate but may be incomplete</t>
  </si>
  <si>
    <t>extensive</t>
  </si>
  <si>
    <t>most extensive</t>
  </si>
  <si>
    <t>lowest</t>
  </si>
  <si>
    <t>affordable</t>
  </si>
  <si>
    <t>premium</t>
  </si>
  <si>
    <t>expensive</t>
  </si>
  <si>
    <t>most expensive</t>
  </si>
  <si>
    <t>calculate</t>
  </si>
  <si>
    <t>result</t>
  </si>
  <si>
    <t>data complete?</t>
  </si>
  <si>
    <t>evaluation appropriate?</t>
  </si>
  <si>
    <t>choice of grade based on primary factor</t>
  </si>
  <si>
    <t>grade</t>
  </si>
  <si>
    <t>choice based on average of all factors</t>
  </si>
  <si>
    <t>technical or commercial</t>
  </si>
  <si>
    <t>USP/NF</t>
  </si>
  <si>
    <t>chemically pure</t>
  </si>
  <si>
    <t>ACS reagent grade</t>
  </si>
  <si>
    <t>analytical reagent grade</t>
  </si>
  <si>
    <t>HPLC or spectroscopic</t>
  </si>
  <si>
    <t>primary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</si>
</sst>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Geneva"/>
    </font>
    <font>
      <b/>
      <sz val="10"/>
      <name val="Geneva"/>
    </font>
    <font>
      <sz val="9"/>
      <name val="Geneva"/>
    </font>
    <font>
      <b/>
      <sz val="10"/>
      <color indexed="8"/>
      <name val="Geneva"/>
    </font>
  </fonts>
  <fills count="9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Continuous" vertical="top" wrapText="1"/>
    </xf>
    <xf numFmtId="0" fontId="0" fillId="2" borderId="0" xfId="0" applyFill="1"/>
    <xf numFmtId="0" fontId="0" fillId="0" borderId="0" xfId="0" applyAlignment="1">
      <alignment horizontal="centerContinuous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 applyProtection="1">
      <alignment horizontal="center"/>
      <protection locked="0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1" xfId="0" applyBorder="1" applyAlignment="1" applyProtection="1">
      <alignment horizontal="right"/>
      <protection locked="0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right"/>
    </xf>
    <xf numFmtId="0" fontId="0" fillId="3" borderId="0" xfId="0" applyFill="1" applyBorder="1" applyAlignment="1" applyProtection="1">
      <alignment vertical="top" wrapText="1"/>
    </xf>
    <xf numFmtId="0" fontId="0" fillId="3" borderId="0" xfId="0" applyFill="1" applyBorder="1" applyAlignment="1" applyProtection="1">
      <alignment horizontal="right"/>
    </xf>
    <xf numFmtId="0" fontId="0" fillId="3" borderId="0" xfId="0" applyFill="1" applyProtection="1"/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 applyProtection="1">
      <alignment horizontal="center"/>
    </xf>
    <xf numFmtId="0" fontId="0" fillId="3" borderId="1" xfId="0" applyFill="1" applyBorder="1" applyAlignment="1">
      <alignment wrapText="1"/>
    </xf>
    <xf numFmtId="0" fontId="2" fillId="0" borderId="0" xfId="0" applyFont="1" applyAlignment="1">
      <alignment horizontal="centerContinuous" vertical="top" wrapText="1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3" fillId="7" borderId="4" xfId="0" applyFont="1" applyFill="1" applyBorder="1" applyAlignment="1">
      <alignment horizontal="centerContinuous" wrapText="1"/>
    </xf>
    <xf numFmtId="0" fontId="0" fillId="7" borderId="5" xfId="0" applyFill="1" applyBorder="1" applyAlignment="1">
      <alignment horizontal="centerContinuous" wrapText="1"/>
    </xf>
    <xf numFmtId="0" fontId="3" fillId="7" borderId="5" xfId="0" applyFont="1" applyFill="1" applyBorder="1" applyAlignment="1">
      <alignment horizontal="centerContinuous" wrapText="1"/>
    </xf>
    <xf numFmtId="0" fontId="3" fillId="7" borderId="6" xfId="0" applyFont="1" applyFill="1" applyBorder="1" applyAlignment="1">
      <alignment horizontal="centerContinuous" wrapText="1"/>
    </xf>
    <xf numFmtId="0" fontId="0" fillId="8" borderId="0" xfId="0" applyFill="1"/>
    <xf numFmtId="0" fontId="0" fillId="4" borderId="4" xfId="0" applyFill="1" applyBorder="1"/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4" xfId="0" applyFill="1" applyBorder="1" applyAlignment="1">
      <alignment horizontal="centerContinuous"/>
    </xf>
    <xf numFmtId="0" fontId="0" fillId="0" borderId="6" xfId="0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F4" sqref="F4"/>
    </sheetView>
  </sheetViews>
  <sheetFormatPr defaultRowHeight="12.5"/>
  <cols>
    <col min="1" max="1" width="30.7265625" customWidth="1"/>
    <col min="2" max="5" width="10.7265625" customWidth="1"/>
    <col min="6" max="6" width="10.90625" customWidth="1"/>
    <col min="7" max="8" width="10.7265625" customWidth="1"/>
    <col min="9" max="10" width="6.7265625" customWidth="1"/>
    <col min="11" max="256" width="10.90625" customWidth="1"/>
  </cols>
  <sheetData>
    <row r="1" spans="1:10" ht="39" customHeight="1">
      <c r="A1" s="1" t="s">
        <v>0</v>
      </c>
      <c r="B1" s="1"/>
      <c r="C1" s="27"/>
      <c r="H1" s="26" t="s">
        <v>1</v>
      </c>
      <c r="I1" s="25" t="s">
        <v>2</v>
      </c>
      <c r="J1" s="3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3">
      <c r="A3" s="8" t="s">
        <v>3</v>
      </c>
      <c r="B3" s="9" t="s">
        <v>4</v>
      </c>
      <c r="C3" s="4"/>
      <c r="D3" s="4"/>
      <c r="E3" s="4"/>
      <c r="F3" s="4"/>
      <c r="G3" s="4"/>
      <c r="H3" s="4"/>
      <c r="I3" s="4"/>
      <c r="J3" s="4"/>
    </row>
    <row r="4" spans="1:10" ht="26" customHeight="1">
      <c r="A4" s="24" t="s">
        <v>5</v>
      </c>
      <c r="B4" s="10" t="s">
        <v>6</v>
      </c>
      <c r="C4" s="4" t="str">
        <f>IF(ISBLANK(B4),"enter Y or N",IF(AND(NOT(B4="Y"),NOT(B4="N")),"enter Y or N",":-):-):-)"))</f>
        <v>:-):-):-)</v>
      </c>
      <c r="D4" s="4"/>
      <c r="E4" s="4"/>
      <c r="F4" s="4"/>
      <c r="G4" s="4"/>
      <c r="H4" s="4"/>
      <c r="I4" s="4"/>
      <c r="J4" s="4"/>
    </row>
    <row r="5" spans="1:10" ht="13" customHeight="1">
      <c r="A5" s="15"/>
      <c r="B5" s="16"/>
      <c r="C5" s="17"/>
      <c r="D5" s="17"/>
      <c r="E5" s="17"/>
      <c r="F5" s="4"/>
      <c r="G5" s="4"/>
      <c r="H5" s="4"/>
      <c r="I5" s="4"/>
      <c r="J5" s="4"/>
    </row>
    <row r="6" spans="1:10" ht="26" customHeight="1">
      <c r="A6" s="28" t="s">
        <v>7</v>
      </c>
      <c r="B6" s="29"/>
      <c r="C6" s="30"/>
      <c r="D6" s="31"/>
      <c r="E6" s="17"/>
      <c r="F6" s="4"/>
      <c r="G6" s="4"/>
      <c r="H6" s="4"/>
      <c r="I6" s="5"/>
      <c r="J6" s="18"/>
    </row>
    <row r="7" spans="1:10" ht="25">
      <c r="A7" s="21"/>
      <c r="B7" s="19" t="s">
        <v>8</v>
      </c>
      <c r="C7" s="19" t="s">
        <v>9</v>
      </c>
      <c r="D7" s="19" t="s">
        <v>10</v>
      </c>
      <c r="E7" s="22"/>
      <c r="F7" s="22"/>
      <c r="G7" s="4"/>
      <c r="H7" s="4"/>
      <c r="I7" s="5"/>
      <c r="J7" s="18"/>
    </row>
    <row r="8" spans="1:10" ht="25">
      <c r="A8" s="20" t="s">
        <v>11</v>
      </c>
      <c r="B8" s="7"/>
      <c r="C8" s="7"/>
      <c r="D8" s="7" t="s">
        <v>12</v>
      </c>
      <c r="E8" s="23"/>
      <c r="F8" s="23"/>
      <c r="G8" s="17"/>
      <c r="H8" s="17"/>
      <c r="I8" s="5" t="str">
        <f>IF(IF(NOT(ISBLANK(B8)),1,0)+IF(NOT(ISBLANK(C8)),1,0)+IF(NOT(ISBLANK(D8)),1,0)=1,"Yes","No")</f>
        <v>Yes</v>
      </c>
      <c r="J8" s="18">
        <f>IF(I8="No","check data",IF(NOT(ISBLANK(B8)),1,0)+IF(NOT(ISBLANK(C8)),2,0)+IF(NOT(ISBLANK(D8)),3,0))</f>
        <v>3</v>
      </c>
    </row>
    <row r="9" spans="1:10" ht="26" customHeight="1">
      <c r="A9" s="21"/>
      <c r="B9" s="19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4"/>
      <c r="I9" s="5"/>
      <c r="J9" s="18"/>
    </row>
    <row r="10" spans="1:10">
      <c r="A10" s="20" t="s">
        <v>8</v>
      </c>
      <c r="B10" s="7"/>
      <c r="C10" s="7"/>
      <c r="D10" s="7"/>
      <c r="E10" s="7"/>
      <c r="F10" s="7"/>
      <c r="G10" s="7" t="s">
        <v>12</v>
      </c>
      <c r="H10" s="4"/>
      <c r="I10" s="5" t="str">
        <f>IF(IF(NOT(ISBLANK(B10)),1,0)+IF(NOT(ISBLANK(C10)),1,0)+IF(NOT(ISBLANK(D10)),1,0)+IF(NOT(ISBLANK(E10)),1,0)+IF(NOT(ISBLANK(F10)),1,0)+IF(NOT(ISBLANK(G10)),1,0)=1,"Yes","No")</f>
        <v>Yes</v>
      </c>
      <c r="J10" s="18">
        <f>IF(I10="No","check data",IF(NOT(ISBLANK(B10)),0,0)+IF(NOT(ISBLANK(C10)),1,0)+IF(NOT(ISBLANK(D10)),2,0)+IF(NOT(ISBLANK(E10)),3,0)+IF(NOT(ISBLANK(F10)),4,0)+IF(NOT(ISBLANK(G10)),6,0))</f>
        <v>6</v>
      </c>
    </row>
    <row r="11" spans="1:10" ht="37.5">
      <c r="A11" s="21"/>
      <c r="B11" s="19" t="s">
        <v>19</v>
      </c>
      <c r="C11" s="19" t="s">
        <v>20</v>
      </c>
      <c r="D11" s="19" t="s">
        <v>21</v>
      </c>
      <c r="E11" s="19" t="s">
        <v>16</v>
      </c>
      <c r="F11" s="19" t="s">
        <v>22</v>
      </c>
      <c r="G11" s="19" t="s">
        <v>23</v>
      </c>
      <c r="H11" s="4"/>
      <c r="I11" s="5"/>
      <c r="J11" s="18"/>
    </row>
    <row r="12" spans="1:10">
      <c r="A12" s="20" t="s">
        <v>9</v>
      </c>
      <c r="B12" s="7"/>
      <c r="C12" s="7"/>
      <c r="D12" s="7"/>
      <c r="E12" s="7"/>
      <c r="F12" s="7"/>
      <c r="G12" s="7" t="s">
        <v>12</v>
      </c>
      <c r="H12" s="4"/>
      <c r="I12" s="5" t="str">
        <f>IF(IF(NOT(ISBLANK(B12)),1,0)+IF(NOT(ISBLANK(C12)),1,0)+IF(NOT(ISBLANK(D12)),1,0)+IF(NOT(ISBLANK(E12)),1,0)+IF(NOT(ISBLANK(F12)),1,0)+IF(NOT(ISBLANK(G12)),1,0)=1,"Yes","No")</f>
        <v>Yes</v>
      </c>
      <c r="J12" s="18">
        <f>IF(I12="No","check data",IF(NOT(ISBLANK(B12)),0,0)+IF(NOT(ISBLANK(C12)),1,0)+IF(NOT(ISBLANK(D12)),2,0)+IF(NOT(ISBLANK(E12)),3,0)+IF(NOT(ISBLANK(F12)),4,0)+IF(NOT(ISBLANK(G12)),6,0))</f>
        <v>6</v>
      </c>
    </row>
    <row r="13" spans="1:10" ht="25">
      <c r="A13" s="21"/>
      <c r="B13" s="19" t="s">
        <v>24</v>
      </c>
      <c r="C13" s="19" t="s">
        <v>25</v>
      </c>
      <c r="D13" s="19" t="s">
        <v>14</v>
      </c>
      <c r="E13" s="19" t="s">
        <v>16</v>
      </c>
      <c r="F13" s="19" t="s">
        <v>26</v>
      </c>
      <c r="G13" s="19" t="s">
        <v>27</v>
      </c>
      <c r="H13" s="19" t="s">
        <v>28</v>
      </c>
      <c r="I13" s="5"/>
      <c r="J13" s="18"/>
    </row>
    <row r="14" spans="1:10">
      <c r="A14" s="20" t="s">
        <v>10</v>
      </c>
      <c r="B14" s="7"/>
      <c r="C14" s="7"/>
      <c r="D14" s="7"/>
      <c r="E14" s="7"/>
      <c r="F14" s="7"/>
      <c r="G14" s="7" t="s">
        <v>12</v>
      </c>
      <c r="H14" s="7"/>
      <c r="I14" s="5" t="str">
        <f>IF(IF(NOT(ISBLANK(B14)),1,0)+IF(NOT(ISBLANK(C14)),1,0)+IF(NOT(ISBLANK(D14)),1,0)+IF(NOT(ISBLANK(E14)),1,0)+IF(NOT(ISBLANK(F14)),1,0)+IF(NOT(ISBLANK(G14)),1,0)+IF(NOT(ISBLANK(H14)),1,0)=1,"Yes","No")</f>
        <v>Yes</v>
      </c>
      <c r="J14" s="18">
        <f>IF(I14="No","check data",IF(NOT(ISBLANK(B14)),0,0)+IF(NOT(ISBLANK(C14)),1,0)+IF(NOT(ISBLANK(D14)),2,0)+IF(NOT(ISBLANK(E14)),3,0)+IF(NOT(ISBLANK(F14)),4,0)+IF(NOT(ISBLANK(G14)),5,0)+IF(NOT(ISBLANK(H14)),6,0))</f>
        <v>5</v>
      </c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3">
      <c r="A16" s="11" t="s">
        <v>29</v>
      </c>
      <c r="B16" s="12" t="s">
        <v>30</v>
      </c>
      <c r="C16" s="6"/>
      <c r="D16" s="6"/>
      <c r="E16" s="6"/>
      <c r="F16" s="6"/>
      <c r="G16" s="6"/>
      <c r="H16" s="6"/>
      <c r="I16" s="6"/>
      <c r="J16" s="6"/>
    </row>
    <row r="17" spans="1:10">
      <c r="A17" s="13" t="s">
        <v>31</v>
      </c>
      <c r="B17" s="14" t="str">
        <f>IF(OR(ISBLANK(B4),I8="No",I10="No",I12="No",I14="No"),"No","Yes")</f>
        <v>Yes</v>
      </c>
      <c r="C17" s="6"/>
      <c r="D17" s="6"/>
      <c r="E17" s="6"/>
      <c r="F17" s="6"/>
      <c r="G17" s="6"/>
      <c r="H17" s="6"/>
      <c r="I17" s="6"/>
      <c r="J17" s="6"/>
    </row>
    <row r="18" spans="1:10">
      <c r="A18" s="13" t="s">
        <v>32</v>
      </c>
      <c r="B18" s="34" t="str">
        <f>IF(B17="No","complete data",IF(B4="Y","Yes","No"))</f>
        <v>Yes</v>
      </c>
      <c r="C18" s="6" t="str">
        <f>IF(B18="No"," Applies to a selecting a chemical reagent."," :-):-):-)")</f>
        <v xml:space="preserve"> :-):-):-)</v>
      </c>
      <c r="D18" s="6"/>
      <c r="E18" s="6"/>
      <c r="F18" s="6"/>
      <c r="G18" s="6"/>
      <c r="H18" s="6"/>
      <c r="I18" s="6"/>
      <c r="J18" s="6"/>
    </row>
    <row r="19" spans="1:10">
      <c r="A19" s="33" t="s">
        <v>33</v>
      </c>
      <c r="B19" s="35" t="str">
        <f>IF(B17="No","complete data",VLOOKUP(IF(J8=1,J10,IF(J8=2,J12,J14)),A23:B29,2))</f>
        <v>HPLC or spectroscopic</v>
      </c>
      <c r="C19" s="36"/>
      <c r="D19" s="6" t="s">
        <v>34</v>
      </c>
      <c r="E19" s="6"/>
      <c r="F19" s="6"/>
      <c r="G19" s="6"/>
      <c r="H19" s="6"/>
      <c r="I19" s="6"/>
      <c r="J19" s="6"/>
    </row>
    <row r="20" spans="1:10">
      <c r="A20" s="33" t="s">
        <v>35</v>
      </c>
      <c r="B20" s="37" t="str">
        <f>IF(B17="No","complete data",VLOOKUP(ROUND(SUM(J10:J14)/3,0),A23:B29,2))</f>
        <v>primary standard</v>
      </c>
      <c r="C20" s="38"/>
      <c r="D20" s="6" t="s">
        <v>34</v>
      </c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>
      <c r="A23" s="32">
        <v>0</v>
      </c>
      <c r="B23" s="32" t="s">
        <v>36</v>
      </c>
      <c r="C23" s="32"/>
      <c r="D23" s="32"/>
      <c r="E23" s="32"/>
      <c r="F23" s="32"/>
      <c r="G23" s="32"/>
      <c r="H23" s="32"/>
      <c r="I23" s="32"/>
      <c r="J23" s="32"/>
    </row>
    <row r="24" spans="1:10">
      <c r="A24" s="32">
        <v>1</v>
      </c>
      <c r="B24" s="32" t="s">
        <v>37</v>
      </c>
      <c r="C24" s="32"/>
      <c r="D24" s="32"/>
      <c r="E24" s="32"/>
      <c r="F24" s="32"/>
      <c r="G24" s="32"/>
      <c r="H24" s="32"/>
      <c r="I24" s="32"/>
      <c r="J24" s="32"/>
    </row>
    <row r="25" spans="1:10">
      <c r="A25" s="32">
        <v>2</v>
      </c>
      <c r="B25" s="32" t="s">
        <v>38</v>
      </c>
      <c r="C25" s="32"/>
      <c r="D25" s="32"/>
      <c r="E25" s="32"/>
      <c r="F25" s="32"/>
      <c r="G25" s="32"/>
      <c r="H25" s="32"/>
      <c r="I25" s="32"/>
      <c r="J25" s="32"/>
    </row>
    <row r="26" spans="1:10">
      <c r="A26" s="32">
        <v>3</v>
      </c>
      <c r="B26" s="32" t="s">
        <v>39</v>
      </c>
      <c r="C26" s="32"/>
      <c r="D26" s="32"/>
      <c r="E26" s="32"/>
      <c r="F26" s="32"/>
      <c r="G26" s="32"/>
      <c r="H26" s="32"/>
      <c r="I26" s="32"/>
      <c r="J26" s="32"/>
    </row>
    <row r="27" spans="1:10">
      <c r="A27" s="32">
        <v>4</v>
      </c>
      <c r="B27" s="32" t="s">
        <v>40</v>
      </c>
      <c r="C27" s="32"/>
      <c r="D27" s="32"/>
      <c r="E27" s="32"/>
      <c r="F27" s="32"/>
      <c r="G27" s="32"/>
      <c r="H27" s="32"/>
      <c r="I27" s="32"/>
      <c r="J27" s="32"/>
    </row>
    <row r="28" spans="1:10">
      <c r="A28" s="32">
        <v>5</v>
      </c>
      <c r="B28" s="32" t="s">
        <v>41</v>
      </c>
      <c r="C28" s="32"/>
      <c r="D28" s="32"/>
      <c r="E28" s="32"/>
      <c r="F28" s="32"/>
      <c r="G28" s="32"/>
      <c r="H28" s="32"/>
      <c r="I28" s="32"/>
      <c r="J28" s="32"/>
    </row>
    <row r="29" spans="1:10">
      <c r="A29" s="32">
        <v>6</v>
      </c>
      <c r="B29" s="32" t="s">
        <v>42</v>
      </c>
      <c r="C29" s="32"/>
      <c r="D29" s="32"/>
      <c r="E29" s="32"/>
      <c r="F29" s="32"/>
      <c r="G29" s="32"/>
      <c r="H29" s="32"/>
      <c r="I29" s="32"/>
      <c r="J29" s="32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</sheetData>
  <sheetProtection sheet="1" objects="1" scenarios="1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&amp;C&amp;"Helvetica,Regular"&amp;12&amp;F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Svirbely</dc:creator>
  <cp:lastModifiedBy>Carina Negreanu</cp:lastModifiedBy>
  <dcterms:created xsi:type="dcterms:W3CDTF">2020-01-27T11:19:40Z</dcterms:created>
  <dcterms:modified xsi:type="dcterms:W3CDTF">2020-01-27T11:19:41Z</dcterms:modified>
</cp:coreProperties>
</file>