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0FE20BC-8D9E-4E29-97E1-2A34A421AB65}" xr6:coauthVersionLast="45" xr6:coauthVersionMax="45" xr10:uidLastSave="{00000000-0000-0000-0000-000000000000}"/>
  <bookViews>
    <workbookView xWindow="1900" yWindow="1900" windowWidth="28800" windowHeight="15460" tabRatio="895"/>
  </bookViews>
  <sheets>
    <sheet name="Read Me First" sheetId="10" r:id="rId1"/>
    <sheet name="(1)Tbl.Cnts" sheetId="6" r:id="rId2"/>
    <sheet name="(2)Instructions" sheetId="5" r:id="rId3"/>
    <sheet name="(3)TVM" sheetId="1" r:id="rId4"/>
    <sheet name="(4)NPV-IRR Annual" sheetId="4" r:id="rId5"/>
    <sheet name="(5)NPV-IRR Annuities" sheetId="7" r:id="rId6"/>
    <sheet name="(6)Amortization Schedule" sheetId="2" r:id="rId7"/>
    <sheet name="(7)Annual Summary" sheetId="3" r:id="rId8"/>
    <sheet name="(8)Statistics" sheetId="9" r:id="rId9"/>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9" i="1" l="1"/>
  <c r="H10" i="1"/>
  <c r="J10" i="1"/>
  <c r="E11" i="1"/>
  <c r="H15" i="1" s="1"/>
  <c r="J11" i="1"/>
  <c r="J15" i="1"/>
  <c r="M15" i="1"/>
  <c r="J18" i="1"/>
  <c r="G54" i="4"/>
  <c r="G55" i="4"/>
  <c r="G56" i="4"/>
  <c r="G57" i="4"/>
  <c r="G58" i="4"/>
  <c r="G59" i="4"/>
  <c r="G60" i="4"/>
  <c r="G61" i="4"/>
  <c r="G62" i="4"/>
  <c r="G63" i="4"/>
  <c r="G64" i="4"/>
  <c r="D35" i="7"/>
  <c r="I36" i="7"/>
  <c r="H37" i="7"/>
  <c r="I37" i="7" s="1"/>
  <c r="H38" i="7"/>
  <c r="I38" i="7"/>
  <c r="H39" i="7"/>
  <c r="I39" i="7"/>
  <c r="H40" i="7"/>
  <c r="I40" i="7"/>
  <c r="H41" i="7"/>
  <c r="I41" i="7"/>
  <c r="H42" i="7"/>
  <c r="I42" i="7"/>
  <c r="H43" i="7"/>
  <c r="I43" i="7"/>
  <c r="H44" i="7"/>
  <c r="I44" i="7" s="1"/>
  <c r="H45" i="7"/>
  <c r="I45" i="7"/>
  <c r="H46" i="7"/>
  <c r="I46" i="7" s="1"/>
  <c r="H47" i="7"/>
  <c r="I47" i="7"/>
  <c r="H48" i="7"/>
  <c r="I48" i="7"/>
  <c r="H49" i="7"/>
  <c r="I49" i="7"/>
  <c r="H50" i="7"/>
  <c r="I50" i="7"/>
  <c r="H51" i="7"/>
  <c r="I51" i="7"/>
  <c r="E10" i="2"/>
  <c r="C15" i="2"/>
  <c r="G15" i="2" s="1"/>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6" i="3"/>
  <c r="E7" i="3"/>
  <c r="E8" i="3"/>
  <c r="E9" i="3"/>
  <c r="E10" i="3"/>
  <c r="I6" i="3" s="1"/>
  <c r="C15" i="3"/>
  <c r="E15" i="3"/>
  <c r="G15" i="3"/>
  <c r="I15" i="3" s="1"/>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B5" i="9"/>
  <c r="B6" i="9"/>
  <c r="B7" i="9" s="1"/>
  <c r="B8" i="9" s="1"/>
  <c r="B9" i="9" s="1"/>
  <c r="B10" i="9" s="1"/>
  <c r="B11" i="9" s="1"/>
  <c r="B12" i="9" s="1"/>
  <c r="B13" i="9" s="1"/>
  <c r="B14" i="9" s="1"/>
  <c r="B15" i="9" s="1"/>
  <c r="B16" i="9" s="1"/>
  <c r="B17" i="9" s="1"/>
  <c r="B18" i="9" s="1"/>
  <c r="B19" i="9" s="1"/>
  <c r="B20" i="9" s="1"/>
  <c r="B21" i="9" s="1"/>
  <c r="B22" i="9" s="1"/>
  <c r="B23" i="9" s="1"/>
  <c r="B24" i="9" s="1"/>
  <c r="B25" i="9" s="1"/>
  <c r="B26" i="9" s="1"/>
  <c r="B27" i="9" s="1"/>
  <c r="B28" i="9" s="1"/>
  <c r="A16" i="3" l="1"/>
  <c r="A15" i="3"/>
  <c r="C16" i="3"/>
  <c r="G66" i="4"/>
  <c r="L37" i="7"/>
  <c r="M37" i="7" s="1"/>
  <c r="I15" i="2"/>
  <c r="G68" i="4"/>
  <c r="A16" i="2" l="1"/>
  <c r="C16" i="2"/>
  <c r="A15" i="2"/>
  <c r="G16" i="3"/>
  <c r="I16" i="3" s="1"/>
  <c r="C17" i="3" l="1"/>
  <c r="A17" i="3"/>
  <c r="G16" i="2"/>
  <c r="I16" i="2"/>
  <c r="A17" i="2" l="1"/>
  <c r="C17" i="2"/>
  <c r="G17" i="3"/>
  <c r="I17" i="3"/>
  <c r="A18" i="3" l="1"/>
  <c r="C18" i="3"/>
  <c r="G17" i="2"/>
  <c r="I17" i="2"/>
  <c r="A18" i="2" l="1"/>
  <c r="C18" i="2"/>
  <c r="G18" i="3"/>
  <c r="I18" i="3" s="1"/>
  <c r="A19" i="3" l="1"/>
  <c r="C19" i="3"/>
  <c r="G18" i="2"/>
  <c r="I18" i="2"/>
  <c r="C19" i="2" l="1"/>
  <c r="A19" i="2"/>
  <c r="G19" i="3"/>
  <c r="I19" i="3"/>
  <c r="A20" i="3" l="1"/>
  <c r="C20" i="3"/>
  <c r="G19" i="2"/>
  <c r="I19" i="2"/>
  <c r="A20" i="2" l="1"/>
  <c r="C20" i="2"/>
  <c r="G20" i="3"/>
  <c r="I20" i="3" s="1"/>
  <c r="C21" i="3" l="1"/>
  <c r="A21" i="3"/>
  <c r="G20" i="2"/>
  <c r="I20" i="2"/>
  <c r="A21" i="2" l="1"/>
  <c r="C21" i="2"/>
  <c r="G21" i="3"/>
  <c r="I21" i="3"/>
  <c r="C22" i="3" l="1"/>
  <c r="A22" i="3"/>
  <c r="G21" i="2"/>
  <c r="I21" i="2"/>
  <c r="A22" i="2" l="1"/>
  <c r="C22" i="2"/>
  <c r="G22" i="3"/>
  <c r="I22" i="3"/>
  <c r="A23" i="3" l="1"/>
  <c r="C23" i="3"/>
  <c r="G22" i="2"/>
  <c r="I22" i="2"/>
  <c r="C23" i="2" l="1"/>
  <c r="A23" i="2"/>
  <c r="G23" i="3"/>
  <c r="I23" i="3"/>
  <c r="A24" i="3" l="1"/>
  <c r="C24" i="3"/>
  <c r="G23" i="2"/>
  <c r="I23" i="2" s="1"/>
  <c r="A24" i="2" l="1"/>
  <c r="C24" i="2"/>
  <c r="G24" i="3"/>
  <c r="I24" i="3" s="1"/>
  <c r="C25" i="3" l="1"/>
  <c r="A25" i="3"/>
  <c r="G24" i="2"/>
  <c r="I24" i="2"/>
  <c r="A25" i="2" l="1"/>
  <c r="C25" i="2"/>
  <c r="G25" i="3"/>
  <c r="I25" i="3"/>
  <c r="C26" i="3" l="1"/>
  <c r="A26" i="3"/>
  <c r="G25" i="2"/>
  <c r="I25" i="2"/>
  <c r="A26" i="2" l="1"/>
  <c r="C26" i="2"/>
  <c r="G26" i="3"/>
  <c r="I26" i="3"/>
  <c r="A27" i="3" l="1"/>
  <c r="C27" i="3"/>
  <c r="G26" i="2"/>
  <c r="I26" i="2"/>
  <c r="C27" i="2" l="1"/>
  <c r="A27" i="2"/>
  <c r="G27" i="3"/>
  <c r="I27" i="3"/>
  <c r="A28" i="3" l="1"/>
  <c r="C28" i="3"/>
  <c r="G27" i="2"/>
  <c r="I27" i="2"/>
  <c r="A28" i="2" l="1"/>
  <c r="C28" i="2"/>
  <c r="G28" i="3"/>
  <c r="I28" i="3"/>
  <c r="C29" i="3" l="1"/>
  <c r="A29" i="3"/>
  <c r="G28" i="2"/>
  <c r="I28" i="2"/>
  <c r="A29" i="2" l="1"/>
  <c r="C29" i="2"/>
  <c r="G29" i="3"/>
  <c r="I29" i="3"/>
  <c r="C30" i="3" l="1"/>
  <c r="A30" i="3"/>
  <c r="G29" i="2"/>
  <c r="I29" i="2"/>
  <c r="A30" i="2" l="1"/>
  <c r="C30" i="2"/>
  <c r="G30" i="3"/>
  <c r="I30" i="3" s="1"/>
  <c r="A31" i="3" l="1"/>
  <c r="C31" i="3"/>
  <c r="G30" i="2"/>
  <c r="I30" i="2"/>
  <c r="C31" i="2" l="1"/>
  <c r="A31" i="2"/>
  <c r="G31" i="3"/>
  <c r="I31" i="3"/>
  <c r="A32" i="3" l="1"/>
  <c r="C32" i="3"/>
  <c r="G31" i="2"/>
  <c r="I31" i="2"/>
  <c r="A32" i="2" l="1"/>
  <c r="C32" i="2"/>
  <c r="G32" i="3"/>
  <c r="I32" i="3" s="1"/>
  <c r="C33" i="3" l="1"/>
  <c r="A33" i="3"/>
  <c r="G32" i="2"/>
  <c r="I32" i="2"/>
  <c r="A33" i="2" l="1"/>
  <c r="C33" i="2"/>
  <c r="G33" i="3"/>
  <c r="I33" i="3"/>
  <c r="A34" i="3" l="1"/>
  <c r="C34" i="3"/>
  <c r="G33" i="2"/>
  <c r="I33" i="2"/>
  <c r="A34" i="2" l="1"/>
  <c r="C34" i="2"/>
  <c r="G34" i="3"/>
  <c r="I34" i="3"/>
  <c r="A35" i="3" l="1"/>
  <c r="C35" i="3"/>
  <c r="G34" i="2"/>
  <c r="I34" i="2"/>
  <c r="C35" i="2" l="1"/>
  <c r="A35" i="2"/>
  <c r="G35" i="3"/>
  <c r="I35" i="3"/>
  <c r="A36" i="3" l="1"/>
  <c r="C36" i="3"/>
  <c r="G35" i="2"/>
  <c r="I35" i="2"/>
  <c r="A36" i="2" l="1"/>
  <c r="C36" i="2"/>
  <c r="G36" i="3"/>
  <c r="I36" i="3" s="1"/>
  <c r="C37" i="3" l="1"/>
  <c r="A37" i="3"/>
  <c r="G36" i="2"/>
  <c r="I36" i="2"/>
  <c r="A37" i="2" l="1"/>
  <c r="C37" i="2"/>
  <c r="G37" i="3"/>
  <c r="I37" i="3"/>
  <c r="A38" i="3" l="1"/>
  <c r="C38" i="3"/>
  <c r="G37" i="2"/>
  <c r="I37" i="2"/>
  <c r="A38" i="2" l="1"/>
  <c r="C38" i="2"/>
  <c r="G38" i="3"/>
  <c r="I38" i="3"/>
  <c r="A39" i="3" l="1"/>
  <c r="C39" i="3"/>
  <c r="G38" i="2"/>
  <c r="I38" i="2"/>
  <c r="C39" i="2" l="1"/>
  <c r="A39" i="2"/>
  <c r="G39" i="3"/>
  <c r="I39" i="3" s="1"/>
  <c r="A40" i="3" l="1"/>
  <c r="C40" i="3"/>
  <c r="G39" i="2"/>
  <c r="I39" i="2"/>
  <c r="A40" i="2" l="1"/>
  <c r="C40" i="2"/>
  <c r="G40" i="3"/>
  <c r="I40" i="3" s="1"/>
  <c r="C41" i="3" l="1"/>
  <c r="A41" i="3"/>
  <c r="G40" i="2"/>
  <c r="I40" i="2"/>
  <c r="A41" i="2" l="1"/>
  <c r="C41" i="2"/>
  <c r="G41" i="3"/>
  <c r="I41" i="3"/>
  <c r="C42" i="3" l="1"/>
  <c r="A42" i="3"/>
  <c r="G41" i="2"/>
  <c r="I41" i="2"/>
  <c r="A42" i="2" l="1"/>
  <c r="C42" i="2"/>
  <c r="G42" i="3"/>
  <c r="I42" i="3"/>
  <c r="A43" i="3" l="1"/>
  <c r="C43" i="3"/>
  <c r="G42" i="2"/>
  <c r="I42" i="2"/>
  <c r="C43" i="2" l="1"/>
  <c r="A43" i="2"/>
  <c r="G43" i="3"/>
  <c r="I43" i="3"/>
  <c r="A44" i="3" l="1"/>
  <c r="C44" i="3"/>
  <c r="G43" i="2"/>
  <c r="I43" i="2"/>
  <c r="A44" i="2" l="1"/>
  <c r="C44" i="2"/>
  <c r="G44" i="3"/>
  <c r="I44" i="3" s="1"/>
  <c r="G44" i="2" l="1"/>
  <c r="I44" i="2"/>
  <c r="A45" i="2" l="1"/>
  <c r="C45" i="2"/>
  <c r="G45" i="2" l="1"/>
  <c r="I45" i="2"/>
  <c r="A46" i="2" l="1"/>
  <c r="C46" i="2"/>
  <c r="G46" i="2" l="1"/>
  <c r="I46" i="2"/>
  <c r="C47" i="2" l="1"/>
  <c r="A47" i="2"/>
  <c r="G47" i="2" l="1"/>
  <c r="I47" i="2"/>
  <c r="A48" i="2" l="1"/>
  <c r="C48" i="2"/>
  <c r="G48" i="2" l="1"/>
  <c r="I48" i="2"/>
  <c r="A49" i="2" l="1"/>
  <c r="C49" i="2"/>
  <c r="G49" i="2" l="1"/>
  <c r="I49" i="2"/>
  <c r="A50" i="2" l="1"/>
  <c r="C50" i="2"/>
  <c r="G50" i="2" l="1"/>
  <c r="I50" i="2"/>
  <c r="C51" i="2" l="1"/>
  <c r="A51" i="2"/>
  <c r="G51" i="2" l="1"/>
  <c r="I51" i="2"/>
  <c r="A52" i="2" l="1"/>
  <c r="C52" i="2"/>
  <c r="G52" i="2" l="1"/>
  <c r="I52" i="2"/>
  <c r="A53" i="2" l="1"/>
  <c r="C53" i="2"/>
  <c r="G53" i="2" l="1"/>
  <c r="I53" i="2"/>
  <c r="A54" i="2" l="1"/>
  <c r="C54" i="2"/>
  <c r="G54" i="2" l="1"/>
  <c r="I54" i="2"/>
  <c r="C55" i="2" l="1"/>
  <c r="A55" i="2"/>
  <c r="G55" i="2" l="1"/>
  <c r="I55" i="2"/>
  <c r="A56" i="2" l="1"/>
  <c r="C56" i="2"/>
  <c r="G56" i="2" l="1"/>
  <c r="I56" i="2"/>
  <c r="A57" i="2" l="1"/>
  <c r="C57" i="2"/>
  <c r="G57" i="2" l="1"/>
  <c r="I57" i="2"/>
  <c r="A58" i="2" l="1"/>
  <c r="C58" i="2"/>
  <c r="G58" i="2" l="1"/>
  <c r="I58" i="2"/>
  <c r="C59" i="2" l="1"/>
  <c r="A59" i="2"/>
  <c r="G59" i="2" l="1"/>
  <c r="I59" i="2"/>
  <c r="A60" i="2" l="1"/>
  <c r="C60" i="2"/>
  <c r="G60" i="2" l="1"/>
  <c r="I60" i="2"/>
  <c r="A61" i="2" l="1"/>
  <c r="C61" i="2"/>
  <c r="G61" i="2" l="1"/>
  <c r="I61" i="2"/>
  <c r="A62" i="2" l="1"/>
  <c r="C62" i="2"/>
  <c r="G62" i="2" l="1"/>
  <c r="I62" i="2"/>
  <c r="C63" i="2" l="1"/>
  <c r="A63" i="2"/>
  <c r="G63" i="2" l="1"/>
  <c r="I63" i="2"/>
  <c r="A64" i="2" l="1"/>
  <c r="C64" i="2"/>
  <c r="G64" i="2" l="1"/>
  <c r="I64" i="2"/>
  <c r="A65" i="2" l="1"/>
  <c r="C65" i="2"/>
  <c r="G65" i="2" l="1"/>
  <c r="I65" i="2"/>
  <c r="A66" i="2" l="1"/>
  <c r="C66" i="2"/>
  <c r="G66" i="2" l="1"/>
  <c r="I66" i="2"/>
  <c r="C67" i="2" l="1"/>
  <c r="A67" i="2"/>
  <c r="G67" i="2" l="1"/>
  <c r="I67" i="2"/>
  <c r="A68" i="2" l="1"/>
  <c r="C68" i="2"/>
  <c r="G68" i="2" l="1"/>
  <c r="I68" i="2"/>
  <c r="A69" i="2" l="1"/>
  <c r="C69" i="2"/>
  <c r="G69" i="2" l="1"/>
  <c r="I69" i="2"/>
  <c r="A70" i="2" l="1"/>
  <c r="C70" i="2"/>
  <c r="G70" i="2" l="1"/>
  <c r="I70" i="2"/>
  <c r="C71" i="2" l="1"/>
  <c r="A71" i="2"/>
  <c r="G71" i="2" l="1"/>
  <c r="I71" i="2"/>
  <c r="A72" i="2" l="1"/>
  <c r="C72" i="2"/>
  <c r="G72" i="2" l="1"/>
  <c r="I72" i="2"/>
  <c r="A73" i="2" l="1"/>
  <c r="C73" i="2"/>
  <c r="G73" i="2" l="1"/>
  <c r="I73" i="2"/>
  <c r="A74" i="2" l="1"/>
  <c r="C74" i="2"/>
  <c r="G74" i="2" l="1"/>
  <c r="I74" i="2"/>
  <c r="C75" i="2" l="1"/>
  <c r="A75" i="2"/>
  <c r="G75" i="2" l="1"/>
  <c r="I75" i="2"/>
  <c r="A76" i="2" l="1"/>
  <c r="C76" i="2"/>
  <c r="G76" i="2" l="1"/>
  <c r="I76" i="2"/>
  <c r="A77" i="2" l="1"/>
  <c r="C77" i="2"/>
  <c r="G77" i="2" l="1"/>
  <c r="I77" i="2"/>
  <c r="A78" i="2" l="1"/>
  <c r="C78" i="2"/>
  <c r="G78" i="2" l="1"/>
  <c r="I78" i="2"/>
  <c r="C79" i="2" l="1"/>
  <c r="A79" i="2"/>
  <c r="G79" i="2" l="1"/>
  <c r="I79" i="2"/>
  <c r="A80" i="2" l="1"/>
  <c r="C80" i="2"/>
  <c r="G80" i="2" l="1"/>
  <c r="I80" i="2"/>
  <c r="A81" i="2" l="1"/>
  <c r="C81" i="2"/>
  <c r="G81" i="2" l="1"/>
  <c r="I81" i="2"/>
  <c r="A82" i="2" l="1"/>
  <c r="C82" i="2"/>
  <c r="G82" i="2" l="1"/>
  <c r="I82" i="2"/>
  <c r="A83" i="2" l="1"/>
  <c r="C83" i="2"/>
  <c r="G83" i="2" l="1"/>
  <c r="I83" i="2"/>
  <c r="A84" i="2" l="1"/>
  <c r="C84" i="2"/>
  <c r="G84" i="2" l="1"/>
  <c r="I84" i="2"/>
  <c r="A85" i="2" l="1"/>
  <c r="C85" i="2"/>
  <c r="G85" i="2" l="1"/>
  <c r="I85" i="2"/>
  <c r="A86" i="2" l="1"/>
  <c r="C86" i="2"/>
  <c r="G86" i="2" l="1"/>
  <c r="I86" i="2"/>
  <c r="A87" i="2" l="1"/>
  <c r="C87" i="2"/>
  <c r="G87" i="2" l="1"/>
  <c r="I87" i="2"/>
  <c r="A88" i="2" l="1"/>
  <c r="C88" i="2"/>
  <c r="G88" i="2" l="1"/>
  <c r="I88" i="2"/>
  <c r="A89" i="2" l="1"/>
  <c r="C89" i="2"/>
  <c r="G89" i="2" l="1"/>
  <c r="I89" i="2"/>
  <c r="A90" i="2" l="1"/>
  <c r="C90" i="2"/>
  <c r="G90" i="2" l="1"/>
  <c r="I90" i="2"/>
  <c r="A91" i="2" l="1"/>
  <c r="C91" i="2"/>
  <c r="G91" i="2" l="1"/>
  <c r="I91" i="2"/>
  <c r="A92" i="2" l="1"/>
  <c r="C92" i="2"/>
  <c r="G92" i="2" l="1"/>
  <c r="I92" i="2"/>
  <c r="A93" i="2" l="1"/>
  <c r="C93" i="2"/>
  <c r="G93" i="2" l="1"/>
  <c r="I93" i="2"/>
  <c r="A94" i="2" l="1"/>
  <c r="C94" i="2"/>
  <c r="G94" i="2" l="1"/>
  <c r="I94" i="2" s="1"/>
  <c r="A95" i="2" l="1"/>
  <c r="C95" i="2"/>
  <c r="G95" i="2" l="1"/>
  <c r="I95" i="2"/>
  <c r="A96" i="2" l="1"/>
  <c r="C96" i="2"/>
  <c r="G96" i="2" l="1"/>
  <c r="I96" i="2"/>
  <c r="A97" i="2" l="1"/>
  <c r="C97" i="2"/>
  <c r="G97" i="2" l="1"/>
  <c r="I97" i="2"/>
  <c r="C98" i="2" l="1"/>
  <c r="A98" i="2"/>
  <c r="G98" i="2" l="1"/>
  <c r="I98" i="2"/>
  <c r="A99" i="2" l="1"/>
  <c r="C99" i="2"/>
  <c r="G99" i="2" l="1"/>
  <c r="I99" i="2"/>
  <c r="A100" i="2" l="1"/>
  <c r="C100" i="2"/>
  <c r="G100" i="2" l="1"/>
  <c r="I100" i="2"/>
  <c r="A101" i="2" l="1"/>
  <c r="C101" i="2"/>
  <c r="G101" i="2" l="1"/>
  <c r="I101" i="2"/>
  <c r="A102" i="2" l="1"/>
  <c r="C102" i="2"/>
  <c r="G102" i="2" l="1"/>
  <c r="I102" i="2" s="1"/>
  <c r="A103" i="2" l="1"/>
  <c r="C103" i="2"/>
  <c r="G103" i="2" l="1"/>
  <c r="I103" i="2"/>
  <c r="A104" i="2" l="1"/>
  <c r="C104" i="2"/>
  <c r="G104" i="2" l="1"/>
  <c r="I104" i="2"/>
  <c r="A105" i="2" l="1"/>
  <c r="C105" i="2"/>
  <c r="G105" i="2" l="1"/>
  <c r="I105" i="2"/>
  <c r="C106" i="2" l="1"/>
  <c r="A106" i="2"/>
  <c r="G106" i="2" l="1"/>
  <c r="I106" i="2"/>
  <c r="A107" i="2" l="1"/>
  <c r="C107" i="2"/>
  <c r="G107" i="2" l="1"/>
  <c r="I107" i="2"/>
  <c r="A108" i="2" l="1"/>
  <c r="C108" i="2"/>
  <c r="G108" i="2" l="1"/>
  <c r="I108" i="2"/>
  <c r="A109" i="2" l="1"/>
  <c r="C109" i="2"/>
  <c r="G109" i="2" l="1"/>
  <c r="I109" i="2"/>
  <c r="A110" i="2" l="1"/>
  <c r="C110" i="2"/>
  <c r="G110" i="2" l="1"/>
  <c r="I110" i="2" s="1"/>
  <c r="A111" i="2" l="1"/>
  <c r="C111" i="2"/>
  <c r="G111" i="2" l="1"/>
  <c r="I111" i="2"/>
  <c r="A112" i="2" l="1"/>
  <c r="C112" i="2"/>
  <c r="G112" i="2" l="1"/>
  <c r="I112" i="2"/>
  <c r="A113" i="2" l="1"/>
  <c r="C113" i="2"/>
  <c r="G113" i="2" l="1"/>
  <c r="I113" i="2"/>
  <c r="C114" i="2" l="1"/>
  <c r="A114" i="2"/>
  <c r="G114" i="2" l="1"/>
  <c r="I114" i="2"/>
  <c r="A115" i="2" l="1"/>
  <c r="C115" i="2"/>
  <c r="G115" i="2" l="1"/>
  <c r="I115" i="2"/>
  <c r="A116" i="2" l="1"/>
  <c r="C116" i="2"/>
  <c r="G116" i="2" l="1"/>
  <c r="I116" i="2"/>
  <c r="A117" i="2" l="1"/>
  <c r="C117" i="2"/>
  <c r="G117" i="2" l="1"/>
  <c r="I117" i="2"/>
  <c r="A118" i="2" l="1"/>
  <c r="C118" i="2"/>
  <c r="G118" i="2" l="1"/>
  <c r="I118" i="2" s="1"/>
  <c r="A119" i="2" l="1"/>
  <c r="C119" i="2"/>
  <c r="G119" i="2" l="1"/>
  <c r="I119" i="2"/>
  <c r="A120" i="2" l="1"/>
  <c r="C120" i="2"/>
  <c r="G120" i="2" l="1"/>
  <c r="I120" i="2"/>
  <c r="A121" i="2" l="1"/>
  <c r="C121" i="2"/>
  <c r="G121" i="2" l="1"/>
  <c r="I121" i="2"/>
  <c r="C122" i="2" l="1"/>
  <c r="A122" i="2"/>
  <c r="G122" i="2" l="1"/>
  <c r="I122" i="2"/>
  <c r="A123" i="2" l="1"/>
  <c r="C123" i="2"/>
  <c r="G123" i="2" l="1"/>
  <c r="I123" i="2"/>
  <c r="A124" i="2" l="1"/>
  <c r="C124" i="2"/>
  <c r="G124" i="2" l="1"/>
  <c r="I124" i="2"/>
  <c r="A125" i="2" l="1"/>
  <c r="C125" i="2"/>
  <c r="G125" i="2" l="1"/>
  <c r="I125" i="2"/>
  <c r="A126" i="2" l="1"/>
  <c r="C126" i="2"/>
  <c r="G126" i="2" l="1"/>
  <c r="I126" i="2" s="1"/>
  <c r="A127" i="2" l="1"/>
  <c r="C127" i="2"/>
  <c r="G127" i="2" l="1"/>
  <c r="I127" i="2"/>
  <c r="A128" i="2" l="1"/>
  <c r="C128" i="2"/>
  <c r="G128" i="2" l="1"/>
  <c r="I128" i="2"/>
  <c r="A129" i="2" l="1"/>
  <c r="C129" i="2"/>
  <c r="G129" i="2" l="1"/>
  <c r="I129" i="2"/>
  <c r="C130" i="2" l="1"/>
  <c r="A130" i="2"/>
  <c r="G130" i="2" l="1"/>
  <c r="I130" i="2"/>
  <c r="A131" i="2" l="1"/>
  <c r="C131" i="2"/>
  <c r="G131" i="2" l="1"/>
  <c r="I131" i="2"/>
  <c r="A132" i="2" l="1"/>
  <c r="C132" i="2"/>
  <c r="G132" i="2" l="1"/>
  <c r="I132" i="2"/>
  <c r="A133" i="2" l="1"/>
  <c r="C133" i="2"/>
  <c r="G133" i="2" l="1"/>
  <c r="I133" i="2"/>
  <c r="A134" i="2" l="1"/>
  <c r="C134" i="2"/>
  <c r="G134" i="2" l="1"/>
  <c r="I134" i="2" s="1"/>
  <c r="A135" i="2" l="1"/>
  <c r="C135" i="2"/>
  <c r="G135" i="2" l="1"/>
  <c r="I135" i="2"/>
  <c r="A136" i="2" l="1"/>
  <c r="C136" i="2"/>
  <c r="G136" i="2" l="1"/>
  <c r="I136" i="2"/>
  <c r="A137" i="2" l="1"/>
  <c r="C137" i="2"/>
  <c r="G137" i="2" l="1"/>
  <c r="I137" i="2"/>
  <c r="C138" i="2" l="1"/>
  <c r="A138" i="2"/>
  <c r="G138" i="2" l="1"/>
  <c r="I138" i="2" s="1"/>
  <c r="A139" i="2" l="1"/>
  <c r="C139" i="2"/>
  <c r="G139" i="2" l="1"/>
  <c r="I139" i="2"/>
  <c r="A140" i="2" l="1"/>
  <c r="C140" i="2"/>
  <c r="G140" i="2" l="1"/>
  <c r="I140" i="2"/>
  <c r="A141" i="2" l="1"/>
  <c r="C141" i="2"/>
  <c r="G141" i="2" l="1"/>
  <c r="I141" i="2"/>
  <c r="A142" i="2" l="1"/>
  <c r="C142" i="2"/>
  <c r="G142" i="2" l="1"/>
  <c r="I142" i="2" s="1"/>
  <c r="A143" i="2" l="1"/>
  <c r="C143" i="2"/>
  <c r="G143" i="2" l="1"/>
  <c r="I143" i="2"/>
  <c r="A144" i="2" l="1"/>
  <c r="C144" i="2"/>
  <c r="G144" i="2" l="1"/>
  <c r="I144" i="2"/>
  <c r="A145" i="2" l="1"/>
  <c r="C145" i="2"/>
  <c r="G145" i="2" l="1"/>
  <c r="I145" i="2"/>
  <c r="C146" i="2" l="1"/>
  <c r="A146" i="2"/>
  <c r="G146" i="2" l="1"/>
  <c r="I146" i="2"/>
  <c r="A147" i="2" l="1"/>
  <c r="C147" i="2"/>
  <c r="G147" i="2" l="1"/>
  <c r="I147" i="2"/>
  <c r="A148" i="2" l="1"/>
  <c r="C148" i="2"/>
  <c r="G148" i="2" l="1"/>
  <c r="I148" i="2"/>
  <c r="A149" i="2" l="1"/>
  <c r="C149" i="2"/>
  <c r="G149" i="2" l="1"/>
  <c r="I149" i="2"/>
  <c r="A150" i="2" l="1"/>
  <c r="C150" i="2"/>
  <c r="G150" i="2" l="1"/>
  <c r="I150" i="2" s="1"/>
  <c r="A151" i="2" l="1"/>
  <c r="C151" i="2"/>
  <c r="G151" i="2" l="1"/>
  <c r="I151" i="2"/>
  <c r="A152" i="2" l="1"/>
  <c r="C152" i="2"/>
  <c r="G152" i="2" l="1"/>
  <c r="I152" i="2"/>
  <c r="A153" i="2" l="1"/>
  <c r="C153" i="2"/>
  <c r="G153" i="2" l="1"/>
  <c r="I153" i="2"/>
  <c r="C154" i="2" l="1"/>
  <c r="A154" i="2"/>
  <c r="G154" i="2" l="1"/>
  <c r="I154" i="2"/>
  <c r="A155" i="2" l="1"/>
  <c r="C155" i="2"/>
  <c r="G155" i="2" l="1"/>
  <c r="I155" i="2"/>
  <c r="A156" i="2" l="1"/>
  <c r="C156" i="2"/>
  <c r="G156" i="2" l="1"/>
  <c r="I156" i="2"/>
  <c r="A157" i="2" l="1"/>
  <c r="C157" i="2"/>
  <c r="G157" i="2" l="1"/>
  <c r="I157" i="2"/>
  <c r="A158" i="2" l="1"/>
  <c r="C158" i="2"/>
  <c r="G158" i="2" l="1"/>
  <c r="I158" i="2"/>
  <c r="A159" i="2" l="1"/>
  <c r="C159" i="2"/>
  <c r="G159" i="2" l="1"/>
  <c r="I159" i="2"/>
  <c r="A160" i="2" l="1"/>
  <c r="C160" i="2"/>
  <c r="G160" i="2" l="1"/>
  <c r="I160" i="2"/>
  <c r="A161" i="2" l="1"/>
  <c r="C161" i="2"/>
  <c r="G161" i="2" l="1"/>
  <c r="I161" i="2"/>
  <c r="A162" i="2" l="1"/>
  <c r="C162" i="2"/>
  <c r="G162" i="2" l="1"/>
  <c r="I162" i="2"/>
  <c r="A163" i="2" l="1"/>
  <c r="C163" i="2"/>
  <c r="G163" i="2" l="1"/>
  <c r="I163" i="2"/>
  <c r="A164" i="2" l="1"/>
  <c r="C164" i="2"/>
  <c r="G164" i="2" l="1"/>
  <c r="I164" i="2"/>
  <c r="A165" i="2" l="1"/>
  <c r="C165" i="2"/>
  <c r="G165" i="2" l="1"/>
  <c r="I165" i="2"/>
  <c r="A166" i="2" l="1"/>
  <c r="C166" i="2"/>
  <c r="G166" i="2" l="1"/>
  <c r="I166" i="2"/>
  <c r="A167" i="2" l="1"/>
  <c r="C167" i="2"/>
  <c r="G167" i="2" l="1"/>
  <c r="I167" i="2"/>
  <c r="A168" i="2" l="1"/>
  <c r="C168" i="2"/>
  <c r="G168" i="2" l="1"/>
  <c r="I168" i="2"/>
  <c r="A169" i="2" l="1"/>
  <c r="C169" i="2"/>
  <c r="G169" i="2" l="1"/>
  <c r="I169" i="2"/>
  <c r="A170" i="2" l="1"/>
  <c r="C170" i="2"/>
  <c r="G170" i="2" l="1"/>
  <c r="I170" i="2"/>
  <c r="A171" i="2" l="1"/>
  <c r="C171" i="2"/>
  <c r="G171" i="2" l="1"/>
  <c r="I171" i="2"/>
  <c r="A172" i="2" l="1"/>
  <c r="C172" i="2"/>
  <c r="G172" i="2" l="1"/>
  <c r="I172" i="2"/>
  <c r="A173" i="2" l="1"/>
  <c r="C173" i="2"/>
  <c r="G173" i="2" l="1"/>
  <c r="I173" i="2"/>
  <c r="A174" i="2" l="1"/>
  <c r="C174" i="2"/>
  <c r="G174" i="2" l="1"/>
  <c r="I174" i="2"/>
  <c r="A175" i="2" l="1"/>
  <c r="C175" i="2"/>
  <c r="G175" i="2" l="1"/>
  <c r="I175" i="2"/>
  <c r="A176" i="2" l="1"/>
  <c r="C176" i="2"/>
  <c r="G176" i="2" l="1"/>
  <c r="I176" i="2"/>
  <c r="A177" i="2" l="1"/>
  <c r="C177" i="2"/>
  <c r="G177" i="2" l="1"/>
  <c r="I177" i="2"/>
  <c r="A178" i="2" l="1"/>
  <c r="C178" i="2"/>
  <c r="G178" i="2" l="1"/>
  <c r="I178" i="2"/>
  <c r="A179" i="2" l="1"/>
  <c r="C179" i="2"/>
  <c r="G179" i="2" l="1"/>
  <c r="I179" i="2"/>
  <c r="A180" i="2" l="1"/>
  <c r="C180" i="2"/>
  <c r="G180" i="2" l="1"/>
  <c r="I180" i="2"/>
  <c r="A181" i="2" l="1"/>
  <c r="C181" i="2"/>
  <c r="G181" i="2" l="1"/>
  <c r="I181" i="2" s="1"/>
  <c r="A182" i="2" l="1"/>
  <c r="C182" i="2"/>
  <c r="G182" i="2" l="1"/>
  <c r="I182" i="2" s="1"/>
  <c r="A183" i="2" l="1"/>
  <c r="C183" i="2"/>
  <c r="G183" i="2" l="1"/>
  <c r="I183" i="2"/>
  <c r="A184" i="2" l="1"/>
  <c r="C184" i="2"/>
  <c r="G184" i="2" l="1"/>
  <c r="I184" i="2"/>
  <c r="A185" i="2" l="1"/>
  <c r="C185" i="2"/>
  <c r="G185" i="2" l="1"/>
  <c r="I185" i="2"/>
  <c r="A186" i="2" l="1"/>
  <c r="C186" i="2"/>
  <c r="G186" i="2" l="1"/>
  <c r="I186" i="2"/>
  <c r="A187" i="2" l="1"/>
  <c r="C187" i="2"/>
  <c r="G187" i="2" l="1"/>
  <c r="I187" i="2"/>
  <c r="A188" i="2" l="1"/>
  <c r="C188" i="2"/>
  <c r="G188" i="2" l="1"/>
  <c r="I188" i="2"/>
  <c r="A189" i="2" l="1"/>
  <c r="C189" i="2"/>
  <c r="G189" i="2" l="1"/>
  <c r="I189" i="2"/>
  <c r="A190" i="2" l="1"/>
  <c r="C190" i="2"/>
  <c r="G190" i="2" l="1"/>
  <c r="I190" i="2"/>
  <c r="A191" i="2" l="1"/>
  <c r="C191" i="2"/>
  <c r="G191" i="2" l="1"/>
  <c r="I191" i="2"/>
  <c r="A192" i="2" l="1"/>
  <c r="C192" i="2"/>
  <c r="G192" i="2" l="1"/>
  <c r="I192" i="2"/>
  <c r="A193" i="2" l="1"/>
  <c r="C193" i="2"/>
  <c r="G193" i="2" l="1"/>
  <c r="I193" i="2"/>
  <c r="C194" i="2" l="1"/>
  <c r="A194" i="2"/>
  <c r="G194" i="2" l="1"/>
  <c r="I194" i="2"/>
  <c r="A195" i="2" l="1"/>
  <c r="C195" i="2"/>
  <c r="G195" i="2" l="1"/>
  <c r="I195" i="2"/>
  <c r="A196" i="2" l="1"/>
  <c r="C196" i="2"/>
  <c r="G196" i="2" l="1"/>
  <c r="I196" i="2"/>
  <c r="A197" i="2" l="1"/>
  <c r="C197" i="2"/>
  <c r="G197" i="2" l="1"/>
  <c r="I197" i="2"/>
  <c r="A198" i="2" l="1"/>
  <c r="C198" i="2"/>
  <c r="G198" i="2" l="1"/>
  <c r="I198" i="2"/>
  <c r="A199" i="2" l="1"/>
  <c r="C199" i="2"/>
  <c r="G199" i="2" l="1"/>
  <c r="I199" i="2"/>
  <c r="A200" i="2" l="1"/>
  <c r="C200" i="2"/>
  <c r="G200" i="2" l="1"/>
  <c r="I200" i="2"/>
  <c r="A201" i="2" l="1"/>
  <c r="C201" i="2"/>
  <c r="G201" i="2" l="1"/>
  <c r="I201" i="2"/>
  <c r="A202" i="2" l="1"/>
  <c r="C202" i="2"/>
  <c r="G202" i="2" l="1"/>
  <c r="I202" i="2" s="1"/>
  <c r="A203" i="2" l="1"/>
  <c r="C203" i="2"/>
  <c r="G203" i="2" l="1"/>
  <c r="I203" i="2"/>
  <c r="A204" i="2" l="1"/>
  <c r="C204" i="2"/>
  <c r="G204" i="2" l="1"/>
  <c r="I204" i="2"/>
  <c r="A205" i="2" l="1"/>
  <c r="C205" i="2"/>
  <c r="G205" i="2" l="1"/>
  <c r="I205" i="2"/>
  <c r="A206" i="2" l="1"/>
  <c r="C206" i="2"/>
  <c r="G206" i="2" l="1"/>
  <c r="I206" i="2"/>
  <c r="A207" i="2" l="1"/>
  <c r="C207" i="2"/>
  <c r="G207" i="2" l="1"/>
  <c r="I207" i="2"/>
  <c r="A208" i="2" l="1"/>
  <c r="C208" i="2"/>
  <c r="G208" i="2" l="1"/>
  <c r="I208" i="2"/>
  <c r="A209" i="2" l="1"/>
  <c r="C209" i="2"/>
  <c r="G209" i="2" l="1"/>
  <c r="I209" i="2"/>
  <c r="A210" i="2" l="1"/>
  <c r="C210" i="2"/>
  <c r="G210" i="2" l="1"/>
  <c r="I210" i="2"/>
  <c r="A211" i="2" l="1"/>
  <c r="C211" i="2"/>
  <c r="G211" i="2" l="1"/>
  <c r="I211" i="2"/>
  <c r="A212" i="2" l="1"/>
  <c r="C212" i="2"/>
  <c r="G212" i="2" l="1"/>
  <c r="I212" i="2"/>
  <c r="A213" i="2" l="1"/>
  <c r="C213" i="2"/>
  <c r="G213" i="2" l="1"/>
  <c r="I213" i="2"/>
  <c r="A214" i="2" l="1"/>
  <c r="C214" i="2"/>
  <c r="G214" i="2" l="1"/>
  <c r="I214" i="2"/>
  <c r="A215" i="2" l="1"/>
  <c r="C215" i="2"/>
  <c r="G215" i="2" l="1"/>
  <c r="I215" i="2"/>
  <c r="A216" i="2" l="1"/>
  <c r="C216" i="2"/>
  <c r="G216" i="2" l="1"/>
  <c r="I216" i="2"/>
  <c r="A217" i="2" l="1"/>
  <c r="C217" i="2"/>
  <c r="G217" i="2" l="1"/>
  <c r="I217" i="2"/>
  <c r="A218" i="2" l="1"/>
  <c r="C218" i="2"/>
  <c r="G218" i="2" l="1"/>
  <c r="I218" i="2"/>
  <c r="A219" i="2" l="1"/>
  <c r="C219" i="2"/>
  <c r="G219" i="2" l="1"/>
  <c r="I219" i="2"/>
  <c r="A220" i="2" l="1"/>
  <c r="C220" i="2"/>
  <c r="G220" i="2" l="1"/>
  <c r="I220" i="2"/>
  <c r="A221" i="2" l="1"/>
  <c r="C221" i="2"/>
  <c r="G221" i="2" l="1"/>
  <c r="I221" i="2"/>
  <c r="C222" i="2" l="1"/>
  <c r="A222" i="2"/>
  <c r="G222" i="2" l="1"/>
  <c r="I222" i="2"/>
  <c r="A223" i="2" l="1"/>
  <c r="C223" i="2"/>
  <c r="G223" i="2" l="1"/>
  <c r="I223" i="2"/>
  <c r="A224" i="2" l="1"/>
  <c r="C224" i="2"/>
  <c r="G224" i="2" l="1"/>
  <c r="I224" i="2"/>
  <c r="A225" i="2" l="1"/>
  <c r="C225" i="2"/>
  <c r="G225" i="2" l="1"/>
  <c r="I225" i="2"/>
  <c r="C226" i="2" l="1"/>
  <c r="A226" i="2"/>
  <c r="G226" i="2" l="1"/>
  <c r="I226" i="2"/>
  <c r="A227" i="2" l="1"/>
  <c r="C227" i="2"/>
  <c r="G227" i="2" l="1"/>
  <c r="I227" i="2"/>
  <c r="A228" i="2" l="1"/>
  <c r="C228" i="2"/>
  <c r="G228" i="2" l="1"/>
  <c r="I228" i="2"/>
  <c r="A229" i="2" l="1"/>
  <c r="C229" i="2"/>
  <c r="G229" i="2" l="1"/>
  <c r="I229" i="2"/>
  <c r="A230" i="2" l="1"/>
  <c r="C230" i="2"/>
  <c r="G230" i="2" l="1"/>
  <c r="I230" i="2"/>
  <c r="A231" i="2" l="1"/>
  <c r="C231" i="2"/>
  <c r="G231" i="2" l="1"/>
  <c r="I231" i="2"/>
  <c r="A232" i="2" l="1"/>
  <c r="C232" i="2"/>
  <c r="G232" i="2" l="1"/>
  <c r="I232" i="2"/>
  <c r="A233" i="2" l="1"/>
  <c r="C233" i="2"/>
  <c r="G233" i="2" l="1"/>
  <c r="I233" i="2"/>
  <c r="A234" i="2" l="1"/>
  <c r="C234" i="2"/>
  <c r="G234" i="2" l="1"/>
  <c r="I234" i="2"/>
  <c r="A235" i="2" l="1"/>
  <c r="C235" i="2"/>
  <c r="G235" i="2" l="1"/>
  <c r="I235" i="2"/>
  <c r="A236" i="2" l="1"/>
  <c r="C236" i="2"/>
  <c r="G236" i="2" l="1"/>
  <c r="I236" i="2"/>
  <c r="A237" i="2" l="1"/>
  <c r="C237" i="2"/>
  <c r="G237" i="2" l="1"/>
  <c r="I237" i="2"/>
  <c r="A238" i="2" l="1"/>
  <c r="C238" i="2"/>
  <c r="G238" i="2" l="1"/>
  <c r="I238" i="2" s="1"/>
  <c r="A239" i="2" l="1"/>
  <c r="C239" i="2"/>
  <c r="G239" i="2" l="1"/>
  <c r="I239" i="2"/>
  <c r="A240" i="2" l="1"/>
  <c r="C240" i="2"/>
  <c r="G240" i="2" l="1"/>
  <c r="I240" i="2"/>
  <c r="A241" i="2" l="1"/>
  <c r="C241" i="2"/>
  <c r="G241" i="2" l="1"/>
  <c r="I241" i="2"/>
  <c r="A242" i="2" l="1"/>
  <c r="C242" i="2"/>
  <c r="G242" i="2" l="1"/>
  <c r="I242" i="2"/>
  <c r="A243" i="2" l="1"/>
  <c r="C243" i="2"/>
  <c r="G243" i="2" l="1"/>
  <c r="I243" i="2"/>
  <c r="A244" i="2" l="1"/>
  <c r="C244" i="2"/>
  <c r="G244" i="2" l="1"/>
  <c r="I244" i="2"/>
  <c r="A245" i="2" l="1"/>
  <c r="C245" i="2"/>
  <c r="G245" i="2" l="1"/>
  <c r="I245" i="2"/>
  <c r="C246" i="2" l="1"/>
  <c r="A246" i="2"/>
  <c r="G246" i="2" l="1"/>
  <c r="I246" i="2"/>
  <c r="A247" i="2" l="1"/>
  <c r="C247" i="2"/>
  <c r="G247" i="2" l="1"/>
  <c r="I247" i="2"/>
  <c r="A248" i="2" l="1"/>
  <c r="C248" i="2"/>
  <c r="G248" i="2" l="1"/>
  <c r="I248" i="2"/>
  <c r="A249" i="2" l="1"/>
  <c r="C249" i="2"/>
  <c r="G249" i="2" l="1"/>
  <c r="I249" i="2"/>
  <c r="A250" i="2" l="1"/>
  <c r="C250" i="2"/>
  <c r="G250" i="2" l="1"/>
  <c r="I250" i="2"/>
  <c r="A251" i="2" l="1"/>
  <c r="C251" i="2"/>
  <c r="G251" i="2" l="1"/>
  <c r="I251" i="2"/>
  <c r="A252" i="2" l="1"/>
  <c r="C252" i="2"/>
  <c r="G252" i="2" l="1"/>
  <c r="I252" i="2"/>
  <c r="A253" i="2" l="1"/>
  <c r="C253" i="2"/>
  <c r="G253" i="2" l="1"/>
  <c r="I253" i="2"/>
  <c r="A254" i="2" l="1"/>
  <c r="C254" i="2"/>
  <c r="G254" i="2" l="1"/>
  <c r="I254" i="2"/>
  <c r="C255" i="2" l="1"/>
  <c r="A255" i="2"/>
  <c r="G255" i="2" l="1"/>
  <c r="I255" i="2"/>
  <c r="A256" i="2" l="1"/>
  <c r="C256" i="2"/>
  <c r="G256" i="2" l="1"/>
  <c r="I256" i="2"/>
  <c r="A257" i="2" l="1"/>
  <c r="C257" i="2"/>
  <c r="G257" i="2" l="1"/>
  <c r="I257" i="2" s="1"/>
  <c r="A258" i="2" l="1"/>
  <c r="C258" i="2"/>
  <c r="G258" i="2" l="1"/>
  <c r="I258" i="2"/>
  <c r="A259" i="2" l="1"/>
  <c r="C259" i="2"/>
  <c r="G259" i="2" l="1"/>
  <c r="I259" i="2"/>
  <c r="A260" i="2" l="1"/>
  <c r="C260" i="2"/>
  <c r="G260" i="2" l="1"/>
  <c r="I260" i="2"/>
  <c r="A261" i="2" l="1"/>
  <c r="C261" i="2"/>
  <c r="G261" i="2" l="1"/>
  <c r="I261" i="2"/>
  <c r="A262" i="2" l="1"/>
  <c r="C262" i="2"/>
  <c r="G262" i="2" l="1"/>
  <c r="I262" i="2"/>
  <c r="A263" i="2" l="1"/>
  <c r="C263" i="2"/>
  <c r="G263" i="2" l="1"/>
  <c r="I263" i="2"/>
  <c r="A264" i="2" l="1"/>
  <c r="C264" i="2"/>
  <c r="G264" i="2" l="1"/>
  <c r="I264" i="2"/>
  <c r="A265" i="2" l="1"/>
  <c r="C265" i="2"/>
  <c r="G265" i="2" l="1"/>
  <c r="I265" i="2"/>
  <c r="A266" i="2" l="1"/>
  <c r="C266" i="2"/>
  <c r="G266" i="2" l="1"/>
  <c r="I266" i="2"/>
  <c r="A267" i="2" l="1"/>
  <c r="C267" i="2"/>
  <c r="G267" i="2" l="1"/>
  <c r="I267" i="2"/>
  <c r="A268" i="2" l="1"/>
  <c r="C268" i="2"/>
  <c r="G268" i="2" l="1"/>
  <c r="I268" i="2"/>
  <c r="A269" i="2" l="1"/>
  <c r="C269" i="2"/>
  <c r="G269" i="2" l="1"/>
  <c r="I269" i="2"/>
  <c r="A270" i="2" l="1"/>
  <c r="C270" i="2"/>
  <c r="G270" i="2" l="1"/>
  <c r="I270" i="2"/>
  <c r="A271" i="2" l="1"/>
  <c r="C271" i="2"/>
  <c r="G271" i="2" l="1"/>
  <c r="I271" i="2"/>
  <c r="A272" i="2" l="1"/>
  <c r="C272" i="2"/>
  <c r="G272" i="2" l="1"/>
  <c r="I272" i="2"/>
  <c r="C273" i="2" l="1"/>
  <c r="A273" i="2"/>
  <c r="G273" i="2" l="1"/>
  <c r="I273" i="2"/>
  <c r="A274" i="2" l="1"/>
  <c r="C274" i="2"/>
  <c r="G274" i="2" l="1"/>
  <c r="I274" i="2"/>
  <c r="A275" i="2" l="1"/>
  <c r="C275" i="2"/>
  <c r="G275" i="2" l="1"/>
  <c r="I275" i="2"/>
  <c r="A276" i="2" l="1"/>
  <c r="C276" i="2"/>
  <c r="G276" i="2" l="1"/>
  <c r="I276" i="2"/>
  <c r="A277" i="2" l="1"/>
  <c r="C277" i="2"/>
  <c r="G277" i="2" l="1"/>
  <c r="I277" i="2"/>
  <c r="A278" i="2" l="1"/>
  <c r="C278" i="2"/>
  <c r="G278" i="2" l="1"/>
  <c r="I278" i="2" s="1"/>
  <c r="A279" i="2" l="1"/>
  <c r="C279" i="2"/>
  <c r="G279" i="2" l="1"/>
  <c r="I279" i="2"/>
  <c r="A280" i="2" l="1"/>
  <c r="C280" i="2"/>
  <c r="G280" i="2" l="1"/>
  <c r="I280" i="2"/>
  <c r="A281" i="2" l="1"/>
  <c r="C281" i="2"/>
  <c r="G281" i="2" l="1"/>
  <c r="I281" i="2"/>
  <c r="A282" i="2" l="1"/>
  <c r="C282" i="2"/>
  <c r="G282" i="2" l="1"/>
  <c r="I282" i="2"/>
  <c r="A283" i="2" l="1"/>
  <c r="C283" i="2"/>
  <c r="G283" i="2" l="1"/>
  <c r="I283" i="2" s="1"/>
  <c r="A284" i="2" l="1"/>
  <c r="C284" i="2"/>
  <c r="G284" i="2" l="1"/>
  <c r="I284" i="2"/>
  <c r="C285" i="2" l="1"/>
  <c r="A285" i="2"/>
  <c r="G285" i="2" l="1"/>
  <c r="I285" i="2"/>
  <c r="C286" i="2" l="1"/>
  <c r="A286" i="2"/>
  <c r="G286" i="2" l="1"/>
  <c r="I286" i="2"/>
  <c r="A287" i="2" l="1"/>
  <c r="C287" i="2"/>
  <c r="G287" i="2" l="1"/>
  <c r="I287" i="2"/>
  <c r="A288" i="2" l="1"/>
  <c r="C288" i="2"/>
  <c r="G288" i="2" l="1"/>
  <c r="I288" i="2"/>
  <c r="A289" i="2" l="1"/>
  <c r="C289" i="2"/>
  <c r="G289" i="2" l="1"/>
  <c r="I289" i="2"/>
  <c r="A290" i="2" l="1"/>
  <c r="C290" i="2"/>
  <c r="G290" i="2" l="1"/>
  <c r="I290" i="2"/>
  <c r="A291" i="2" l="1"/>
  <c r="C291" i="2"/>
  <c r="G291" i="2" l="1"/>
  <c r="I291" i="2"/>
  <c r="A292" i="2" l="1"/>
  <c r="C292" i="2"/>
  <c r="G292" i="2" l="1"/>
  <c r="I292" i="2"/>
  <c r="A293" i="2" l="1"/>
  <c r="C293" i="2"/>
  <c r="G293" i="2" l="1"/>
  <c r="I293" i="2"/>
  <c r="A294" i="2" l="1"/>
  <c r="C294" i="2"/>
  <c r="G294" i="2" l="1"/>
  <c r="I294" i="2"/>
  <c r="C295" i="2" l="1"/>
  <c r="A295" i="2"/>
  <c r="G295" i="2" l="1"/>
  <c r="I295" i="2"/>
  <c r="A296" i="2" l="1"/>
  <c r="C296" i="2"/>
  <c r="G296" i="2" l="1"/>
  <c r="I296" i="2"/>
  <c r="A297" i="2" l="1"/>
  <c r="C297" i="2"/>
  <c r="G297" i="2" l="1"/>
  <c r="I297" i="2" s="1"/>
  <c r="A298" i="2" l="1"/>
  <c r="C298" i="2"/>
  <c r="G298" i="2" l="1"/>
  <c r="I298" i="2"/>
  <c r="A299" i="2" l="1"/>
  <c r="C299" i="2"/>
  <c r="G299" i="2" l="1"/>
  <c r="I299" i="2"/>
  <c r="A300" i="2" l="1"/>
  <c r="C300" i="2"/>
  <c r="G300" i="2" l="1"/>
  <c r="I300" i="2"/>
  <c r="A301" i="2" l="1"/>
  <c r="C301" i="2"/>
  <c r="G301" i="2" l="1"/>
  <c r="I301" i="2"/>
  <c r="A302" i="2" l="1"/>
  <c r="C302" i="2"/>
  <c r="G302" i="2" l="1"/>
  <c r="I302" i="2"/>
  <c r="A303" i="2" l="1"/>
  <c r="C303" i="2"/>
  <c r="G303" i="2" l="1"/>
  <c r="I303" i="2"/>
  <c r="A304" i="2" l="1"/>
  <c r="C304" i="2"/>
  <c r="G304" i="2" l="1"/>
  <c r="I304" i="2"/>
  <c r="A305" i="2" l="1"/>
  <c r="C305" i="2"/>
  <c r="G305" i="2" l="1"/>
  <c r="I305" i="2"/>
  <c r="A306" i="2" l="1"/>
  <c r="C306" i="2"/>
  <c r="G306" i="2" l="1"/>
  <c r="I306" i="2" s="1"/>
  <c r="A307" i="2" l="1"/>
  <c r="C307" i="2"/>
  <c r="G307" i="2" l="1"/>
  <c r="I307" i="2"/>
  <c r="A308" i="2" l="1"/>
  <c r="C308" i="2"/>
  <c r="G308" i="2" l="1"/>
  <c r="I308" i="2"/>
  <c r="A309" i="2" l="1"/>
  <c r="C309" i="2"/>
  <c r="G309" i="2" l="1"/>
  <c r="I309" i="2"/>
  <c r="A310" i="2" l="1"/>
  <c r="C310" i="2"/>
  <c r="G310" i="2" l="1"/>
  <c r="I310" i="2"/>
  <c r="A311" i="2" l="1"/>
  <c r="C311" i="2"/>
  <c r="G311" i="2" l="1"/>
  <c r="I311" i="2"/>
  <c r="A312" i="2" l="1"/>
  <c r="C312" i="2"/>
  <c r="G312" i="2" l="1"/>
  <c r="I312" i="2"/>
  <c r="A313" i="2" l="1"/>
  <c r="C313" i="2"/>
  <c r="G313" i="2" l="1"/>
  <c r="I313" i="2"/>
  <c r="A314" i="2" l="1"/>
  <c r="C314" i="2"/>
  <c r="G314" i="2" l="1"/>
  <c r="I314" i="2"/>
  <c r="A315" i="2" l="1"/>
  <c r="C315" i="2"/>
  <c r="G315" i="2" l="1"/>
  <c r="I315" i="2"/>
  <c r="A316" i="2" l="1"/>
  <c r="C316" i="2"/>
  <c r="G316" i="2" l="1"/>
  <c r="I316" i="2"/>
  <c r="A317" i="2" l="1"/>
  <c r="C317" i="2"/>
  <c r="G317" i="2" l="1"/>
  <c r="I317" i="2"/>
  <c r="A318" i="2" l="1"/>
  <c r="C318" i="2"/>
  <c r="G318" i="2" l="1"/>
  <c r="I318" i="2"/>
  <c r="A319" i="2" l="1"/>
  <c r="C319" i="2"/>
  <c r="G319" i="2" l="1"/>
  <c r="I319" i="2"/>
  <c r="A320" i="2" l="1"/>
  <c r="C320" i="2"/>
  <c r="G320" i="2" l="1"/>
  <c r="I320" i="2"/>
  <c r="A321" i="2" l="1"/>
  <c r="C321" i="2"/>
  <c r="G321" i="2" l="1"/>
  <c r="I321" i="2" s="1"/>
  <c r="A322" i="2" l="1"/>
  <c r="C322" i="2"/>
  <c r="G322" i="2" l="1"/>
  <c r="I322" i="2"/>
  <c r="A323" i="2" l="1"/>
  <c r="C323" i="2"/>
  <c r="G323" i="2" l="1"/>
  <c r="I323" i="2"/>
  <c r="A324" i="2" l="1"/>
  <c r="C324" i="2"/>
  <c r="G324" i="2" l="1"/>
  <c r="I324" i="2"/>
  <c r="A325" i="2" l="1"/>
  <c r="C325" i="2"/>
  <c r="G325" i="2" l="1"/>
  <c r="I325" i="2"/>
  <c r="A326" i="2" l="1"/>
  <c r="C326" i="2"/>
  <c r="G326" i="2" l="1"/>
  <c r="I326" i="2"/>
  <c r="A327" i="2" l="1"/>
  <c r="C327" i="2"/>
  <c r="G327" i="2" l="1"/>
  <c r="I327" i="2"/>
  <c r="A328" i="2" l="1"/>
  <c r="C328" i="2"/>
  <c r="G328" i="2" l="1"/>
  <c r="I328" i="2"/>
  <c r="A329" i="2" l="1"/>
  <c r="C329" i="2"/>
  <c r="G329" i="2" l="1"/>
  <c r="I329" i="2"/>
  <c r="A330" i="2" l="1"/>
  <c r="C330" i="2"/>
  <c r="G330" i="2" l="1"/>
  <c r="I330" i="2"/>
  <c r="A331" i="2" l="1"/>
  <c r="C331" i="2"/>
  <c r="G331" i="2" l="1"/>
  <c r="I331" i="2" s="1"/>
  <c r="A332" i="2" l="1"/>
  <c r="C332" i="2"/>
  <c r="G332" i="2" l="1"/>
  <c r="I332" i="2"/>
  <c r="A333" i="2" l="1"/>
  <c r="C333" i="2"/>
  <c r="G333" i="2" l="1"/>
  <c r="I333" i="2" s="1"/>
  <c r="A334" i="2" l="1"/>
  <c r="C334" i="2"/>
  <c r="G334" i="2" l="1"/>
  <c r="I334" i="2"/>
  <c r="C335" i="2" l="1"/>
  <c r="A335" i="2"/>
  <c r="G335" i="2" l="1"/>
  <c r="I335" i="2" s="1"/>
  <c r="A336" i="2" l="1"/>
  <c r="C336" i="2"/>
  <c r="G336" i="2" l="1"/>
  <c r="I336" i="2"/>
  <c r="A337" i="2" l="1"/>
  <c r="C337" i="2"/>
  <c r="G337" i="2" l="1"/>
  <c r="I337" i="2"/>
  <c r="A338" i="2" l="1"/>
  <c r="C338" i="2"/>
  <c r="G338" i="2" l="1"/>
  <c r="I338" i="2"/>
  <c r="A339" i="2" l="1"/>
  <c r="C339" i="2"/>
  <c r="G339" i="2" l="1"/>
  <c r="I339" i="2" s="1"/>
  <c r="C340" i="2" l="1"/>
  <c r="A340" i="2"/>
  <c r="G340" i="2" l="1"/>
  <c r="I340" i="2"/>
  <c r="A341" i="2" l="1"/>
  <c r="C341" i="2"/>
  <c r="G341" i="2" l="1"/>
  <c r="I341" i="2"/>
  <c r="A342" i="2" l="1"/>
  <c r="C342" i="2"/>
  <c r="G342" i="2" l="1"/>
  <c r="I342" i="2"/>
  <c r="A343" i="2" l="1"/>
  <c r="C343" i="2"/>
  <c r="G343" i="2" l="1"/>
  <c r="I343" i="2" s="1"/>
  <c r="A344" i="2" l="1"/>
  <c r="C344" i="2"/>
  <c r="G344" i="2" l="1"/>
  <c r="I344" i="2"/>
  <c r="A345" i="2" l="1"/>
  <c r="C345" i="2"/>
  <c r="G345" i="2" l="1"/>
  <c r="I345" i="2"/>
  <c r="A346" i="2" l="1"/>
  <c r="C346" i="2"/>
  <c r="G346" i="2" l="1"/>
  <c r="I346" i="2"/>
  <c r="C347" i="2" l="1"/>
  <c r="A347" i="2"/>
  <c r="G347" i="2" l="1"/>
  <c r="I347" i="2"/>
  <c r="A348" i="2" l="1"/>
  <c r="C348" i="2"/>
  <c r="G348" i="2" l="1"/>
  <c r="I348" i="2"/>
  <c r="A349" i="2" l="1"/>
  <c r="C349" i="2"/>
  <c r="G349" i="2" l="1"/>
  <c r="I349" i="2"/>
  <c r="A350" i="2" l="1"/>
  <c r="C350" i="2"/>
  <c r="G350" i="2" l="1"/>
  <c r="I350" i="2"/>
  <c r="C351" i="2" l="1"/>
  <c r="A351" i="2"/>
  <c r="G351" i="2" l="1"/>
  <c r="I351" i="2"/>
  <c r="A352" i="2" l="1"/>
  <c r="C352" i="2"/>
  <c r="G352" i="2" l="1"/>
  <c r="I352" i="2"/>
  <c r="A353" i="2" l="1"/>
  <c r="C353" i="2"/>
  <c r="G353" i="2" l="1"/>
  <c r="I353" i="2"/>
  <c r="A354" i="2" l="1"/>
  <c r="C354" i="2"/>
  <c r="G354" i="2" l="1"/>
  <c r="I354" i="2"/>
  <c r="C355" i="2" l="1"/>
  <c r="A355" i="2"/>
  <c r="G355" i="2" l="1"/>
  <c r="I355" i="2"/>
  <c r="A356" i="2" l="1"/>
  <c r="C356" i="2"/>
  <c r="G356" i="2" l="1"/>
  <c r="I356" i="2"/>
  <c r="A357" i="2" l="1"/>
  <c r="C357" i="2"/>
  <c r="G357" i="2" l="1"/>
  <c r="I357" i="2"/>
  <c r="A358" i="2" l="1"/>
  <c r="C358" i="2"/>
  <c r="G358" i="2" l="1"/>
  <c r="I358" i="2" s="1"/>
  <c r="C359" i="2" l="1"/>
  <c r="A359" i="2"/>
  <c r="G359" i="2" l="1"/>
  <c r="I359" i="2"/>
  <c r="A360" i="2" l="1"/>
  <c r="C360" i="2"/>
  <c r="G360" i="2" l="1"/>
  <c r="I360" i="2"/>
  <c r="A361" i="2" l="1"/>
  <c r="C361" i="2"/>
  <c r="G361" i="2" l="1"/>
  <c r="I361" i="2"/>
  <c r="A362" i="2" l="1"/>
  <c r="C362" i="2"/>
  <c r="G362" i="2" l="1"/>
  <c r="I362" i="2"/>
  <c r="C363" i="2" l="1"/>
  <c r="A363" i="2"/>
  <c r="G363" i="2" l="1"/>
  <c r="I363" i="2"/>
  <c r="A364" i="2" l="1"/>
  <c r="C364" i="2"/>
  <c r="G364" i="2" l="1"/>
  <c r="I364" i="2"/>
  <c r="A365" i="2" l="1"/>
  <c r="C365" i="2"/>
  <c r="G365" i="2" l="1"/>
  <c r="I365" i="2"/>
  <c r="A366" i="2" l="1"/>
  <c r="C366" i="2"/>
  <c r="G366" i="2" l="1"/>
  <c r="I366" i="2"/>
  <c r="A367" i="2" l="1"/>
  <c r="C367" i="2"/>
  <c r="G367" i="2" l="1"/>
  <c r="I367" i="2"/>
  <c r="A368" i="2" l="1"/>
  <c r="C368" i="2"/>
  <c r="G368" i="2" l="1"/>
  <c r="I368" i="2"/>
  <c r="A369" i="2" l="1"/>
  <c r="C369" i="2"/>
  <c r="G369" i="2" l="1"/>
  <c r="I369" i="2"/>
  <c r="A370" i="2" l="1"/>
  <c r="C370" i="2"/>
  <c r="G370" i="2" l="1"/>
  <c r="I370" i="2"/>
  <c r="C371" i="2" l="1"/>
  <c r="A371" i="2"/>
  <c r="G371" i="2" l="1"/>
  <c r="I371" i="2"/>
  <c r="A372" i="2" l="1"/>
  <c r="C372" i="2"/>
  <c r="G372" i="2" l="1"/>
  <c r="I372" i="2"/>
  <c r="A373" i="2" l="1"/>
  <c r="C373" i="2"/>
  <c r="G373" i="2" l="1"/>
  <c r="I373" i="2"/>
  <c r="A374" i="2" l="1"/>
  <c r="C374" i="2"/>
  <c r="G374" i="2" l="1"/>
  <c r="I374" i="2"/>
</calcChain>
</file>

<file path=xl/sharedStrings.xml><?xml version="1.0" encoding="utf-8"?>
<sst xmlns="http://schemas.openxmlformats.org/spreadsheetml/2006/main" count="61" uniqueCount="43">
  <si>
    <t>YEARS</t>
  </si>
  <si>
    <t>P/YR</t>
  </si>
  <si>
    <t>N</t>
  </si>
  <si>
    <t>I/YR</t>
  </si>
  <si>
    <t>PV</t>
  </si>
  <si>
    <t>PMT</t>
  </si>
  <si>
    <t>FV</t>
  </si>
  <si>
    <t>+</t>
  </si>
  <si>
    <t>Input</t>
  </si>
  <si>
    <t>Payments Per Year</t>
  </si>
  <si>
    <t>Amortization Period(Years)</t>
  </si>
  <si>
    <t>Loan Amount</t>
  </si>
  <si>
    <t>Annual Interest Rate</t>
  </si>
  <si>
    <t>Periodic Payment</t>
  </si>
  <si>
    <t>EOY</t>
  </si>
  <si>
    <t>Cash Flows</t>
  </si>
  <si>
    <t>Sale Proceeds</t>
  </si>
  <si>
    <t>NPV @</t>
  </si>
  <si>
    <t>=</t>
  </si>
  <si>
    <t>IRR</t>
  </si>
  <si>
    <t>Beg 1/End 0</t>
  </si>
  <si>
    <t>Amount</t>
  </si>
  <si>
    <t>CF 0</t>
  </si>
  <si>
    <t># of Times</t>
  </si>
  <si>
    <t>CF 1</t>
  </si>
  <si>
    <t>CF 2</t>
  </si>
  <si>
    <t>CF 3</t>
  </si>
  <si>
    <t>CF 4</t>
  </si>
  <si>
    <t>CF 5</t>
  </si>
  <si>
    <t>CF 6</t>
  </si>
  <si>
    <t>CF 7</t>
  </si>
  <si>
    <t>CF 8</t>
  </si>
  <si>
    <t>CF 9</t>
  </si>
  <si>
    <t>CF 10</t>
  </si>
  <si>
    <t>CF 11</t>
  </si>
  <si>
    <t>CF 12</t>
  </si>
  <si>
    <t>CF 13</t>
  </si>
  <si>
    <t>CF 14</t>
  </si>
  <si>
    <t>CF 15</t>
  </si>
  <si>
    <t>Item #</t>
  </si>
  <si>
    <t>Mean =</t>
  </si>
  <si>
    <t>Median =</t>
  </si>
  <si>
    <t>Standard Deviation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</si>
</sst>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quot;$&quot;#,##0_);\(&quot;$&quot;#,##0\)"/>
    <numFmt numFmtId="166" formatCode="&quot;$&quot;#,##0.00_);\(&quot;$&quot;#,##0.00\)"/>
    <numFmt numFmtId="167" formatCode="&quot;$&quot;#,##0.00_);[Red]\(&quot;$&quot;#,##0.00\)"/>
    <numFmt numFmtId="172" formatCode="0_);\(0\)"/>
  </numFmts>
  <fonts count="24" x14ac:knownFonts="1">
    <font>
      <sz val="10"/>
      <name val="Arial"/>
    </font>
    <font>
      <b/>
      <sz val="12"/>
      <name val="Trebuchet MS"/>
      <family val="2"/>
    </font>
    <font>
      <b/>
      <sz val="14"/>
      <name val="Trebuchet MS"/>
      <family val="2"/>
    </font>
    <font>
      <b/>
      <sz val="18"/>
      <color indexed="9"/>
      <name val="Trebuchet MS"/>
      <family val="2"/>
    </font>
    <font>
      <b/>
      <sz val="16"/>
      <name val="Trebuchet MS"/>
      <family val="2"/>
    </font>
    <font>
      <b/>
      <sz val="14"/>
      <color indexed="12"/>
      <name val="Arial"/>
      <family val="2"/>
    </font>
    <font>
      <b/>
      <sz val="12"/>
      <name val="Arial"/>
      <family val="2"/>
    </font>
    <font>
      <sz val="10"/>
      <color indexed="10"/>
      <name val="Arial"/>
      <family val="2"/>
    </font>
    <font>
      <b/>
      <sz val="14"/>
      <color indexed="10"/>
      <name val="Arial"/>
      <family val="2"/>
    </font>
    <font>
      <b/>
      <sz val="12"/>
      <color indexed="26"/>
      <name val="Arial"/>
      <family val="2"/>
    </font>
    <font>
      <sz val="10"/>
      <color indexed="26"/>
      <name val="Arial"/>
      <family val="2"/>
    </font>
    <font>
      <b/>
      <sz val="14"/>
      <color indexed="9"/>
      <name val="Arial"/>
      <family val="2"/>
    </font>
    <font>
      <b/>
      <sz val="18"/>
      <name val="Trebuchet MS"/>
      <family val="2"/>
    </font>
    <font>
      <sz val="10"/>
      <color indexed="9"/>
      <name val="Arial"/>
      <family val="2"/>
    </font>
    <font>
      <sz val="10"/>
      <name val="Trebuchet MS"/>
      <family val="2"/>
    </font>
    <font>
      <b/>
      <sz val="12"/>
      <color indexed="9"/>
      <name val="Trebuchet MS"/>
      <family val="2"/>
    </font>
    <font>
      <sz val="10"/>
      <color indexed="9"/>
      <name val="Trebuchet MS"/>
      <family val="2"/>
    </font>
    <font>
      <b/>
      <sz val="12"/>
      <name val="Trebuchet MS"/>
      <family val="2"/>
    </font>
    <font>
      <b/>
      <sz val="16"/>
      <color indexed="9"/>
      <name val="Trebuchet MS"/>
      <family val="2"/>
    </font>
    <font>
      <b/>
      <sz val="16"/>
      <color indexed="9"/>
      <name val="Trebuchet MS"/>
      <family val="2"/>
    </font>
    <font>
      <sz val="16"/>
      <color indexed="9"/>
      <name val="Trebuchet MS"/>
      <family val="2"/>
    </font>
    <font>
      <sz val="12"/>
      <name val="Trebuchet MS"/>
      <family val="2"/>
    </font>
    <font>
      <b/>
      <sz val="14"/>
      <color indexed="9"/>
      <name val="Trebuchet MS"/>
      <family val="2"/>
    </font>
    <font>
      <b/>
      <sz val="14"/>
      <name val="Trebuchet MS"/>
      <family val="2"/>
    </font>
  </fonts>
  <fills count="4">
    <fill>
      <patternFill patternType="none"/>
    </fill>
    <fill>
      <patternFill patternType="gray125"/>
    </fill>
    <fill>
      <patternFill patternType="solid">
        <fgColor indexed="26"/>
        <bgColor indexed="64"/>
      </patternFill>
    </fill>
    <fill>
      <patternFill patternType="solid">
        <fgColor indexed="12"/>
        <bgColor indexed="64"/>
      </patternFill>
    </fill>
  </fills>
  <borders count="3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10"/>
      </left>
      <right/>
      <top style="double">
        <color indexed="10"/>
      </top>
      <bottom style="thin">
        <color indexed="12"/>
      </bottom>
      <diagonal/>
    </border>
    <border>
      <left/>
      <right/>
      <top style="double">
        <color indexed="10"/>
      </top>
      <bottom style="thin">
        <color indexed="12"/>
      </bottom>
      <diagonal/>
    </border>
    <border>
      <left/>
      <right style="double">
        <color indexed="10"/>
      </right>
      <top style="double">
        <color indexed="10"/>
      </top>
      <bottom style="thin">
        <color indexed="12"/>
      </bottom>
      <diagonal/>
    </border>
    <border>
      <left style="double">
        <color indexed="10"/>
      </left>
      <right/>
      <top style="thin">
        <color indexed="12"/>
      </top>
      <bottom style="thin">
        <color indexed="12"/>
      </bottom>
      <diagonal/>
    </border>
    <border>
      <left/>
      <right/>
      <top style="thin">
        <color indexed="12"/>
      </top>
      <bottom style="thin">
        <color indexed="12"/>
      </bottom>
      <diagonal/>
    </border>
    <border>
      <left/>
      <right style="double">
        <color indexed="10"/>
      </right>
      <top style="thin">
        <color indexed="12"/>
      </top>
      <bottom style="thin">
        <color indexed="12"/>
      </bottom>
      <diagonal/>
    </border>
    <border>
      <left style="double">
        <color indexed="10"/>
      </left>
      <right/>
      <top style="thin">
        <color indexed="12"/>
      </top>
      <bottom/>
      <diagonal/>
    </border>
    <border>
      <left/>
      <right/>
      <top style="thin">
        <color indexed="12"/>
      </top>
      <bottom/>
      <diagonal/>
    </border>
    <border>
      <left/>
      <right style="double">
        <color indexed="10"/>
      </right>
      <top style="thin">
        <color indexed="12"/>
      </top>
      <bottom/>
      <diagonal/>
    </border>
    <border>
      <left style="double">
        <color indexed="10"/>
      </left>
      <right/>
      <top style="double">
        <color indexed="10"/>
      </top>
      <bottom style="double">
        <color indexed="10"/>
      </bottom>
      <diagonal/>
    </border>
    <border>
      <left/>
      <right/>
      <top style="double">
        <color indexed="10"/>
      </top>
      <bottom style="double">
        <color indexed="10"/>
      </bottom>
      <diagonal/>
    </border>
    <border>
      <left/>
      <right style="double">
        <color indexed="10"/>
      </right>
      <top style="double">
        <color indexed="10"/>
      </top>
      <bottom style="double">
        <color indexed="10"/>
      </bottom>
      <diagonal/>
    </border>
    <border>
      <left style="double">
        <color indexed="10"/>
      </left>
      <right style="double">
        <color indexed="10"/>
      </right>
      <top style="double">
        <color indexed="10"/>
      </top>
      <bottom style="double">
        <color indexed="10"/>
      </bottom>
      <diagonal/>
    </border>
    <border>
      <left/>
      <right/>
      <top/>
      <bottom style="double">
        <color indexed="10"/>
      </bottom>
      <diagonal/>
    </border>
    <border>
      <left style="double">
        <color indexed="10"/>
      </left>
      <right style="thin">
        <color indexed="64"/>
      </right>
      <top style="double">
        <color indexed="10"/>
      </top>
      <bottom style="double">
        <color indexed="10"/>
      </bottom>
      <diagonal/>
    </border>
    <border>
      <left style="thin">
        <color indexed="64"/>
      </left>
      <right/>
      <top style="double">
        <color indexed="10"/>
      </top>
      <bottom style="double">
        <color indexed="10"/>
      </bottom>
      <diagonal/>
    </border>
    <border>
      <left/>
      <right/>
      <top style="thin">
        <color indexed="64"/>
      </top>
      <bottom/>
      <diagonal/>
    </border>
    <border>
      <left style="double">
        <color indexed="10"/>
      </left>
      <right style="thin">
        <color indexed="64"/>
      </right>
      <top style="thin">
        <color indexed="10"/>
      </top>
      <bottom style="thin">
        <color indexed="10"/>
      </bottom>
      <diagonal/>
    </border>
    <border>
      <left style="thin">
        <color indexed="64"/>
      </left>
      <right style="thin">
        <color indexed="64"/>
      </right>
      <top/>
      <bottom style="thin">
        <color indexed="64"/>
      </bottom>
      <diagonal/>
    </border>
    <border>
      <left/>
      <right style="double">
        <color indexed="10"/>
      </right>
      <top style="thin">
        <color indexed="12"/>
      </top>
      <bottom style="double">
        <color indexed="10"/>
      </bottom>
      <diagonal/>
    </border>
    <border>
      <left style="thin">
        <color indexed="64"/>
      </left>
      <right/>
      <top/>
      <bottom style="thin">
        <color indexed="64"/>
      </bottom>
      <diagonal/>
    </border>
    <border>
      <left style="double">
        <color indexed="10"/>
      </left>
      <right style="thick">
        <color indexed="10"/>
      </right>
      <top style="double">
        <color indexed="10"/>
      </top>
      <bottom style="thin">
        <color indexed="10"/>
      </bottom>
      <diagonal/>
    </border>
    <border>
      <left style="thick">
        <color indexed="10"/>
      </left>
      <right style="double">
        <color indexed="10"/>
      </right>
      <top style="double">
        <color indexed="10"/>
      </top>
      <bottom style="thin">
        <color indexed="10"/>
      </bottom>
      <diagonal/>
    </border>
    <border>
      <left style="double">
        <color indexed="10"/>
      </left>
      <right style="thick">
        <color indexed="10"/>
      </right>
      <top style="thin">
        <color indexed="10"/>
      </top>
      <bottom style="thin">
        <color indexed="10"/>
      </bottom>
      <diagonal/>
    </border>
    <border>
      <left style="thick">
        <color indexed="10"/>
      </left>
      <right style="double">
        <color indexed="10"/>
      </right>
      <top style="thin">
        <color indexed="10"/>
      </top>
      <bottom style="thin">
        <color indexed="10"/>
      </bottom>
      <diagonal/>
    </border>
    <border>
      <left style="double">
        <color indexed="10"/>
      </left>
      <right style="thick">
        <color indexed="10"/>
      </right>
      <top style="thin">
        <color indexed="10"/>
      </top>
      <bottom style="double">
        <color indexed="10"/>
      </bottom>
      <diagonal/>
    </border>
    <border>
      <left style="thick">
        <color indexed="10"/>
      </left>
      <right style="double">
        <color indexed="10"/>
      </right>
      <top style="thin">
        <color indexed="10"/>
      </top>
      <bottom style="double">
        <color indexed="10"/>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s>
  <cellStyleXfs count="3">
    <xf numFmtId="0" fontId="0" fillId="0" borderId="0"/>
    <xf numFmtId="0" fontId="14" fillId="0" borderId="0"/>
    <xf numFmtId="0" fontId="21" fillId="0" borderId="0"/>
  </cellStyleXfs>
  <cellXfs count="119">
    <xf numFmtId="0" fontId="0" fillId="0" borderId="0" xfId="0"/>
    <xf numFmtId="0" fontId="0" fillId="0" borderId="0" xfId="0" applyFill="1"/>
    <xf numFmtId="0" fontId="2" fillId="0" borderId="0" xfId="0" applyFont="1" applyFill="1" applyAlignment="1">
      <alignment horizontal="center"/>
    </xf>
    <xf numFmtId="0" fontId="2" fillId="0" borderId="0" xfId="0" applyFont="1" applyFill="1"/>
    <xf numFmtId="0" fontId="2" fillId="0" borderId="0" xfId="0" applyFont="1" applyFill="1" applyAlignment="1">
      <alignment horizontal="center" vertical="center"/>
    </xf>
    <xf numFmtId="0" fontId="1" fillId="2" borderId="1" xfId="0" applyFont="1" applyFill="1" applyBorder="1" applyAlignment="1">
      <alignment horizontal="left"/>
    </xf>
    <xf numFmtId="172" fontId="1" fillId="2" borderId="2" xfId="0" applyNumberFormat="1" applyFont="1" applyFill="1" applyBorder="1" applyProtection="1">
      <protection locked="0"/>
    </xf>
    <xf numFmtId="10" fontId="1" fillId="2" borderId="2" xfId="0" applyNumberFormat="1" applyFont="1" applyFill="1" applyBorder="1" applyProtection="1">
      <protection locked="0"/>
    </xf>
    <xf numFmtId="166" fontId="1" fillId="2" borderId="2" xfId="0" applyNumberFormat="1" applyFont="1" applyFill="1" applyBorder="1" applyProtection="1">
      <protection locked="0"/>
    </xf>
    <xf numFmtId="0" fontId="0" fillId="2" borderId="0" xfId="0" applyFill="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0" fillId="2" borderId="10" xfId="0" applyFill="1" applyBorder="1"/>
    <xf numFmtId="0" fontId="0" fillId="2" borderId="11" xfId="0" applyFill="1" applyBorder="1"/>
    <xf numFmtId="166" fontId="6" fillId="2" borderId="0" xfId="0" applyNumberFormat="1" applyFont="1" applyFill="1"/>
    <xf numFmtId="0" fontId="7" fillId="2" borderId="12" xfId="0" applyFont="1" applyFill="1" applyBorder="1"/>
    <xf numFmtId="0" fontId="7" fillId="2" borderId="13" xfId="0" applyFont="1" applyFill="1" applyBorder="1"/>
    <xf numFmtId="0" fontId="7" fillId="2" borderId="14" xfId="0" applyFont="1" applyFill="1" applyBorder="1"/>
    <xf numFmtId="166" fontId="8" fillId="2" borderId="15" xfId="0" applyNumberFormat="1" applyFont="1" applyFill="1" applyBorder="1"/>
    <xf numFmtId="0" fontId="9" fillId="2" borderId="0" xfId="0" applyFont="1" applyFill="1" applyBorder="1"/>
    <xf numFmtId="0" fontId="10" fillId="2" borderId="0" xfId="0" applyFont="1" applyFill="1" applyBorder="1"/>
    <xf numFmtId="172" fontId="6" fillId="0" borderId="0" xfId="0" applyNumberFormat="1" applyFont="1" applyFill="1" applyBorder="1" applyAlignment="1">
      <alignment horizontal="center"/>
    </xf>
    <xf numFmtId="0" fontId="0" fillId="0" borderId="0" xfId="0" applyFill="1" applyBorder="1"/>
    <xf numFmtId="166" fontId="6" fillId="0" borderId="0" xfId="0" applyNumberFormat="1" applyFont="1" applyFill="1" applyBorder="1" applyAlignment="1">
      <alignment horizontal="right"/>
    </xf>
    <xf numFmtId="166" fontId="6" fillId="0" borderId="0" xfId="0" applyNumberFormat="1" applyFont="1" applyFill="1" applyBorder="1"/>
    <xf numFmtId="166" fontId="6" fillId="0" borderId="0" xfId="0" applyNumberFormat="1" applyFont="1" applyFill="1"/>
    <xf numFmtId="172" fontId="6" fillId="0" borderId="0" xfId="0" applyNumberFormat="1" applyFont="1" applyFill="1" applyAlignment="1">
      <alignment horizontal="center"/>
    </xf>
    <xf numFmtId="0" fontId="0" fillId="2" borderId="0" xfId="0" applyFill="1" applyBorder="1"/>
    <xf numFmtId="0" fontId="0" fillId="2" borderId="16" xfId="0" applyFill="1" applyBorder="1"/>
    <xf numFmtId="49" fontId="11" fillId="3" borderId="12" xfId="0" applyNumberFormat="1" applyFont="1" applyFill="1" applyBorder="1"/>
    <xf numFmtId="49" fontId="11" fillId="3" borderId="13" xfId="0" applyNumberFormat="1" applyFont="1" applyFill="1" applyBorder="1"/>
    <xf numFmtId="49" fontId="11" fillId="3" borderId="14" xfId="0" applyNumberFormat="1" applyFont="1" applyFill="1" applyBorder="1"/>
    <xf numFmtId="172" fontId="11" fillId="3" borderId="15" xfId="0" applyNumberFormat="1" applyFont="1" applyFill="1" applyBorder="1"/>
    <xf numFmtId="0" fontId="10" fillId="3" borderId="12" xfId="0" applyFont="1" applyFill="1" applyBorder="1"/>
    <xf numFmtId="0" fontId="10" fillId="3" borderId="13" xfId="0" applyFont="1" applyFill="1" applyBorder="1"/>
    <xf numFmtId="164" fontId="11" fillId="3" borderId="15" xfId="0" applyNumberFormat="1" applyFont="1" applyFill="1" applyBorder="1"/>
    <xf numFmtId="10" fontId="11" fillId="3" borderId="15" xfId="0" applyNumberFormat="1" applyFont="1" applyFill="1" applyBorder="1"/>
    <xf numFmtId="166" fontId="11" fillId="3" borderId="15" xfId="0" applyNumberFormat="1" applyFont="1" applyFill="1" applyBorder="1"/>
    <xf numFmtId="0" fontId="6" fillId="2" borderId="0" xfId="0" applyFont="1" applyFill="1"/>
    <xf numFmtId="9" fontId="0" fillId="2" borderId="0" xfId="0" applyNumberFormat="1" applyFill="1"/>
    <xf numFmtId="172" fontId="6" fillId="0" borderId="0" xfId="0" applyNumberFormat="1" applyFont="1" applyAlignment="1">
      <alignment horizontal="center"/>
    </xf>
    <xf numFmtId="166" fontId="6" fillId="0" borderId="0" xfId="0" applyNumberFormat="1" applyFont="1" applyAlignment="1">
      <alignment horizontal="right"/>
    </xf>
    <xf numFmtId="166" fontId="6" fillId="0" borderId="0" xfId="0" applyNumberFormat="1" applyFont="1"/>
    <xf numFmtId="0" fontId="2" fillId="0" borderId="0" xfId="0" applyFont="1" applyAlignment="1">
      <alignment horizontal="center"/>
    </xf>
    <xf numFmtId="164" fontId="0" fillId="0" borderId="0" xfId="0" applyNumberFormat="1"/>
    <xf numFmtId="0" fontId="1" fillId="2" borderId="2" xfId="0" applyFont="1" applyFill="1" applyBorder="1" applyAlignment="1">
      <alignment horizontal="left"/>
    </xf>
    <xf numFmtId="0" fontId="0" fillId="0" borderId="0" xfId="0" applyFill="1" applyProtection="1"/>
    <xf numFmtId="10" fontId="2" fillId="0" borderId="0" xfId="0" applyNumberFormat="1" applyFont="1" applyFill="1" applyAlignment="1" applyProtection="1">
      <alignment horizontal="center"/>
    </xf>
    <xf numFmtId="172" fontId="2" fillId="0" borderId="0" xfId="0" applyNumberFormat="1" applyFont="1" applyFill="1" applyAlignment="1" applyProtection="1">
      <alignment horizontal="center"/>
    </xf>
    <xf numFmtId="0" fontId="0" fillId="0" borderId="0" xfId="0" applyAlignment="1" applyProtection="1">
      <alignment horizontal="center"/>
    </xf>
    <xf numFmtId="164" fontId="0" fillId="0" borderId="0" xfId="0" applyNumberFormat="1" applyProtection="1"/>
    <xf numFmtId="0" fontId="0" fillId="0" borderId="0" xfId="0" applyProtection="1"/>
    <xf numFmtId="164" fontId="0" fillId="0" borderId="0" xfId="0" applyNumberFormat="1" applyAlignment="1" applyProtection="1">
      <alignment horizontal="right"/>
    </xf>
    <xf numFmtId="10" fontId="0" fillId="0" borderId="0" xfId="0" applyNumberFormat="1" applyProtection="1"/>
    <xf numFmtId="10" fontId="12" fillId="2" borderId="2" xfId="0" applyNumberFormat="1" applyFont="1" applyFill="1" applyBorder="1" applyProtection="1">
      <protection locked="0"/>
    </xf>
    <xf numFmtId="0" fontId="3" fillId="3" borderId="17" xfId="0" applyFont="1" applyFill="1" applyBorder="1"/>
    <xf numFmtId="0" fontId="3" fillId="3" borderId="18" xfId="0" applyFont="1" applyFill="1" applyBorder="1" applyAlignment="1">
      <alignment horizontal="center"/>
    </xf>
    <xf numFmtId="0" fontId="13" fillId="3" borderId="12" xfId="0" applyFont="1" applyFill="1" applyBorder="1"/>
    <xf numFmtId="0" fontId="3" fillId="3" borderId="13" xfId="0" applyFont="1" applyFill="1" applyBorder="1" applyAlignment="1">
      <alignment horizontal="right"/>
    </xf>
    <xf numFmtId="0" fontId="3" fillId="3" borderId="13" xfId="0" applyFont="1" applyFill="1" applyBorder="1" applyAlignment="1">
      <alignment horizontal="center"/>
    </xf>
    <xf numFmtId="10" fontId="3" fillId="3" borderId="14" xfId="0" applyNumberFormat="1" applyFont="1" applyFill="1" applyBorder="1" applyAlignment="1" applyProtection="1">
      <alignment horizontal="center"/>
    </xf>
    <xf numFmtId="0" fontId="14" fillId="0" borderId="0" xfId="1"/>
    <xf numFmtId="0" fontId="15" fillId="3" borderId="12" xfId="1" applyFont="1" applyFill="1" applyBorder="1"/>
    <xf numFmtId="0" fontId="16" fillId="3" borderId="13" xfId="1" applyFont="1" applyFill="1" applyBorder="1"/>
    <xf numFmtId="0" fontId="16" fillId="3" borderId="14" xfId="1" applyFont="1" applyFill="1" applyBorder="1"/>
    <xf numFmtId="172" fontId="17" fillId="2" borderId="19" xfId="1" applyNumberFormat="1" applyFont="1" applyFill="1" applyBorder="1" applyAlignment="1" applyProtection="1">
      <alignment horizontal="center"/>
      <protection locked="0"/>
    </xf>
    <xf numFmtId="0" fontId="15" fillId="3" borderId="15" xfId="1" applyFont="1" applyFill="1" applyBorder="1" applyAlignment="1">
      <alignment horizontal="center"/>
    </xf>
    <xf numFmtId="0" fontId="15" fillId="3" borderId="20" xfId="1" applyFont="1" applyFill="1" applyBorder="1"/>
    <xf numFmtId="172" fontId="17" fillId="2" borderId="21" xfId="1" applyNumberFormat="1" applyFont="1" applyFill="1" applyBorder="1" applyAlignment="1" applyProtection="1">
      <alignment horizontal="center"/>
      <protection locked="0"/>
    </xf>
    <xf numFmtId="0" fontId="14" fillId="0" borderId="0" xfId="1" applyProtection="1">
      <protection locked="0"/>
    </xf>
    <xf numFmtId="0" fontId="18" fillId="3" borderId="17" xfId="1" applyFont="1" applyFill="1" applyBorder="1"/>
    <xf numFmtId="10" fontId="4" fillId="2" borderId="2" xfId="1" applyNumberFormat="1" applyFont="1" applyFill="1" applyBorder="1" applyProtection="1">
      <protection locked="0"/>
    </xf>
    <xf numFmtId="49" fontId="18" fillId="3" borderId="18" xfId="1" applyNumberFormat="1" applyFont="1" applyFill="1" applyBorder="1" applyAlignment="1">
      <alignment horizontal="center"/>
    </xf>
    <xf numFmtId="10" fontId="14" fillId="0" borderId="0" xfId="1" applyNumberFormat="1"/>
    <xf numFmtId="49" fontId="19" fillId="3" borderId="12" xfId="1" applyNumberFormat="1" applyFont="1" applyFill="1" applyBorder="1" applyAlignment="1">
      <alignment horizontal="right"/>
    </xf>
    <xf numFmtId="0" fontId="20" fillId="3" borderId="13" xfId="1" applyFont="1" applyFill="1" applyBorder="1" applyAlignment="1">
      <alignment horizontal="center"/>
    </xf>
    <xf numFmtId="10" fontId="19" fillId="3" borderId="14" xfId="1" applyNumberFormat="1" applyFont="1" applyFill="1" applyBorder="1" applyAlignment="1" applyProtection="1">
      <alignment horizontal="center"/>
    </xf>
    <xf numFmtId="0" fontId="14" fillId="0" borderId="0" xfId="1" applyProtection="1"/>
    <xf numFmtId="166" fontId="14" fillId="0" borderId="0" xfId="1" applyNumberFormat="1" applyProtection="1"/>
    <xf numFmtId="39" fontId="14" fillId="0" borderId="0" xfId="1" applyNumberFormat="1" applyProtection="1"/>
    <xf numFmtId="167" fontId="14" fillId="0" borderId="0" xfId="1" applyNumberFormat="1" applyProtection="1"/>
    <xf numFmtId="172" fontId="14" fillId="0" borderId="0" xfId="1" applyNumberFormat="1" applyProtection="1"/>
    <xf numFmtId="10" fontId="14" fillId="0" borderId="0" xfId="1" applyNumberFormat="1" applyProtection="1"/>
    <xf numFmtId="172" fontId="5" fillId="2" borderId="5" xfId="0" applyNumberFormat="1" applyFont="1" applyFill="1" applyBorder="1" applyProtection="1">
      <protection locked="0"/>
    </xf>
    <xf numFmtId="172" fontId="5" fillId="2" borderId="8" xfId="0" applyNumberFormat="1" applyFont="1" applyFill="1" applyBorder="1" applyProtection="1">
      <protection locked="0"/>
    </xf>
    <xf numFmtId="166" fontId="5" fillId="2" borderId="8" xfId="0" applyNumberFormat="1" applyFont="1" applyFill="1" applyBorder="1" applyProtection="1">
      <protection locked="0"/>
    </xf>
    <xf numFmtId="10" fontId="5" fillId="2" borderId="22" xfId="0" applyNumberFormat="1" applyFont="1" applyFill="1" applyBorder="1" applyProtection="1">
      <protection locked="0"/>
    </xf>
    <xf numFmtId="0" fontId="0" fillId="3" borderId="0" xfId="0" applyFill="1"/>
    <xf numFmtId="167" fontId="17" fillId="2" borderId="23" xfId="1" applyNumberFormat="1" applyFont="1" applyFill="1" applyBorder="1" applyProtection="1">
      <protection locked="0"/>
    </xf>
    <xf numFmtId="167" fontId="2" fillId="2" borderId="2" xfId="0" applyNumberFormat="1" applyFont="1" applyFill="1" applyBorder="1" applyAlignment="1" applyProtection="1">
      <alignment horizontal="right"/>
      <protection locked="0"/>
    </xf>
    <xf numFmtId="167" fontId="3" fillId="3" borderId="14" xfId="0" applyNumberFormat="1" applyFont="1" applyFill="1" applyBorder="1" applyAlignment="1" applyProtection="1">
      <alignment horizontal="right"/>
    </xf>
    <xf numFmtId="39" fontId="2" fillId="0" borderId="0" xfId="0" applyNumberFormat="1" applyFont="1" applyFill="1" applyProtection="1"/>
    <xf numFmtId="0" fontId="1" fillId="2" borderId="1" xfId="0" applyFont="1" applyFill="1" applyBorder="1" applyAlignment="1" applyProtection="1">
      <alignment horizontal="left"/>
      <protection locked="0"/>
    </xf>
    <xf numFmtId="166" fontId="18" fillId="3" borderId="14" xfId="1" applyNumberFormat="1" applyFont="1" applyFill="1" applyBorder="1" applyAlignment="1" applyProtection="1">
      <alignment horizontal="right"/>
    </xf>
    <xf numFmtId="0" fontId="2" fillId="0" borderId="0" xfId="0" applyFont="1" applyAlignment="1">
      <alignment horizontal="right"/>
    </xf>
    <xf numFmtId="0" fontId="17" fillId="0" borderId="2" xfId="2" applyFont="1" applyBorder="1" applyAlignment="1">
      <alignment horizontal="center"/>
    </xf>
    <xf numFmtId="0" fontId="17" fillId="2" borderId="2" xfId="2" applyFont="1" applyFill="1" applyBorder="1" applyAlignment="1">
      <alignment horizontal="center"/>
    </xf>
    <xf numFmtId="0" fontId="21" fillId="0" borderId="0" xfId="2"/>
    <xf numFmtId="37" fontId="17" fillId="2" borderId="2" xfId="2" applyNumberFormat="1" applyFont="1" applyFill="1" applyBorder="1" applyAlignment="1" applyProtection="1">
      <alignment horizontal="right"/>
      <protection locked="0"/>
    </xf>
    <xf numFmtId="0" fontId="21" fillId="0" borderId="0" xfId="2" applyFill="1"/>
    <xf numFmtId="0" fontId="22" fillId="3" borderId="24" xfId="2" applyFont="1" applyFill="1" applyBorder="1" applyAlignment="1">
      <alignment horizontal="right"/>
    </xf>
    <xf numFmtId="37" fontId="22" fillId="3" borderId="25" xfId="2" applyNumberFormat="1" applyFont="1" applyFill="1" applyBorder="1" applyAlignment="1">
      <alignment horizontal="right"/>
    </xf>
    <xf numFmtId="0" fontId="22" fillId="3" borderId="26" xfId="2" applyFont="1" applyFill="1" applyBorder="1" applyAlignment="1">
      <alignment horizontal="right"/>
    </xf>
    <xf numFmtId="37" fontId="22" fillId="3" borderId="27" xfId="2" applyNumberFormat="1" applyFont="1" applyFill="1" applyBorder="1" applyAlignment="1">
      <alignment horizontal="right"/>
    </xf>
    <xf numFmtId="0" fontId="22" fillId="3" borderId="28" xfId="2" applyFont="1" applyFill="1" applyBorder="1" applyAlignment="1">
      <alignment horizontal="right"/>
    </xf>
    <xf numFmtId="37" fontId="22" fillId="3" borderId="29" xfId="2" applyNumberFormat="1" applyFont="1" applyFill="1" applyBorder="1" applyAlignment="1">
      <alignment horizontal="right"/>
    </xf>
    <xf numFmtId="37" fontId="23" fillId="0" borderId="0" xfId="2" applyNumberFormat="1" applyFont="1" applyAlignment="1">
      <alignment horizontal="right"/>
    </xf>
    <xf numFmtId="37" fontId="17" fillId="0" borderId="0" xfId="2" applyNumberFormat="1" applyFont="1" applyAlignment="1">
      <alignment horizontal="right"/>
    </xf>
    <xf numFmtId="10" fontId="14" fillId="0" borderId="0" xfId="1" applyNumberFormat="1" applyFont="1" applyProtection="1"/>
    <xf numFmtId="0" fontId="0" fillId="0" borderId="0" xfId="0" applyBorder="1"/>
    <xf numFmtId="0" fontId="4" fillId="2" borderId="30" xfId="0" applyFont="1" applyFill="1" applyBorder="1" applyAlignment="1">
      <alignment horizontal="center" vertical="center"/>
    </xf>
    <xf numFmtId="0" fontId="4" fillId="2" borderId="31" xfId="0" applyFont="1" applyFill="1" applyBorder="1" applyAlignment="1">
      <alignment horizontal="center" vertical="center"/>
    </xf>
    <xf numFmtId="0" fontId="4" fillId="2" borderId="23" xfId="0" applyFont="1" applyFill="1" applyBorder="1" applyAlignment="1">
      <alignment horizontal="center" vertical="center"/>
    </xf>
    <xf numFmtId="0" fontId="4" fillId="2" borderId="32" xfId="0" applyFont="1" applyFill="1" applyBorder="1" applyAlignment="1">
      <alignment horizontal="center" vertical="center"/>
    </xf>
  </cellXfs>
  <cellStyles count="3">
    <cellStyle name="Normal" xfId="0" builtinId="0"/>
    <cellStyle name="Normal_NPV-IRR Uneven CF's NM" xfId="1"/>
    <cellStyle name="Normal_Statistics"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10</xdr:col>
          <xdr:colOff>19050</xdr:colOff>
          <xdr:row>34</xdr:row>
          <xdr:rowOff>0</xdr:rowOff>
        </xdr:to>
        <xdr:sp macro="" textlink="">
          <xdr:nvSpPr>
            <xdr:cNvPr id="14337" name="Object 1" hidden="1">
              <a:extLst>
                <a:ext uri="{63B3BB69-23CF-44E3-9099-C40C66FF867C}">
                  <a14:compatExt spid="_x0000_s14337"/>
                </a:ext>
                <a:ext uri="{FF2B5EF4-FFF2-40B4-BE49-F238E27FC236}">
                  <a16:creationId xmlns:a16="http://schemas.microsoft.com/office/drawing/2014/main" id="{EB241215-8CE4-4EDC-B620-719D773A6985}"/>
                </a:ext>
              </a:extLst>
            </xdr:cNvPr>
            <xdr:cNvSpPr/>
          </xdr:nvSpPr>
          <xdr:spPr bwMode="auto">
            <a:xfrm>
              <a:off x="0" y="0"/>
              <a:ext cx="0" cy="0"/>
            </a:xfrm>
            <a:prstGeom prst="rect">
              <a:avLst/>
            </a:prstGeom>
            <a:solidFill>
              <a:srgbClr val="FFFFCC" mc:Ignorable="a14" a14:legacySpreadsheetColorIndex="26"/>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133350</xdr:colOff>
      <xdr:row>11</xdr:row>
      <xdr:rowOff>76200</xdr:rowOff>
    </xdr:from>
    <xdr:to>
      <xdr:col>15</xdr:col>
      <xdr:colOff>304800</xdr:colOff>
      <xdr:row>40</xdr:row>
      <xdr:rowOff>152400</xdr:rowOff>
    </xdr:to>
    <xdr:sp macro="" textlink="">
      <xdr:nvSpPr>
        <xdr:cNvPr id="10245" name="AutoShape 5">
          <a:extLst>
            <a:ext uri="{FF2B5EF4-FFF2-40B4-BE49-F238E27FC236}">
              <a16:creationId xmlns:a16="http://schemas.microsoft.com/office/drawing/2014/main" id="{A13A82BF-EA8D-4F36-853B-F83FE26A6547}"/>
            </a:ext>
          </a:extLst>
        </xdr:cNvPr>
        <xdr:cNvSpPr>
          <a:spLocks noChangeArrowheads="1"/>
        </xdr:cNvSpPr>
      </xdr:nvSpPr>
      <xdr:spPr bwMode="auto">
        <a:xfrm>
          <a:off x="133350" y="1822450"/>
          <a:ext cx="9315450" cy="4679950"/>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76200">
          <a:solidFill>
            <a:srgbClr xmlns:mc="http://schemas.openxmlformats.org/markup-compatibility/2006" xmlns:a14="http://schemas.microsoft.com/office/drawing/2010/main" val="FF0000" mc:Ignorable="a14" a14:legacySpreadsheetColorIndex="10"/>
          </a:solidFill>
          <a:round/>
          <a:headEnd/>
          <a:tailEnd/>
        </a:ln>
      </xdr:spPr>
      <xdr:txBody>
        <a:bodyPr vertOverflow="clip" wrap="square" lIns="18288" tIns="0" rIns="0" bIns="0" anchor="t" upright="1"/>
        <a:lstStyle/>
        <a:p>
          <a:pPr algn="ctr" rtl="0">
            <a:defRPr sz="1000"/>
          </a:pPr>
          <a:endParaRPr lang="en-GB"/>
        </a:p>
      </xdr:txBody>
    </xdr:sp>
    <xdr:clientData/>
  </xdr:twoCellAnchor>
  <xdr:oneCellAnchor>
    <xdr:from>
      <xdr:col>0</xdr:col>
      <xdr:colOff>304800</xdr:colOff>
      <xdr:row>16</xdr:row>
      <xdr:rowOff>44450</xdr:rowOff>
    </xdr:from>
    <xdr:ext cx="3289300" cy="2978150"/>
    <xdr:sp macro="" textlink="">
      <xdr:nvSpPr>
        <xdr:cNvPr id="10241" name="Text Box 1">
          <a:extLst>
            <a:ext uri="{FF2B5EF4-FFF2-40B4-BE49-F238E27FC236}">
              <a16:creationId xmlns:a16="http://schemas.microsoft.com/office/drawing/2014/main" id="{C85DA651-6104-41D0-9621-11330482210C}"/>
            </a:ext>
          </a:extLst>
        </xdr:cNvPr>
        <xdr:cNvSpPr txBox="1">
          <a:spLocks noChangeArrowheads="1"/>
        </xdr:cNvSpPr>
      </xdr:nvSpPr>
      <xdr:spPr bwMode="auto">
        <a:xfrm>
          <a:off x="304800" y="2584450"/>
          <a:ext cx="3289300" cy="2978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36576" tIns="36576" rIns="0" bIns="0" anchor="t" upright="1">
          <a:spAutoFit/>
        </a:bodyPr>
        <a:lstStyle/>
        <a:p>
          <a:pPr algn="l" rtl="0">
            <a:defRPr sz="1000"/>
          </a:pPr>
          <a:r>
            <a:rPr lang="en-GB" sz="1200" b="0" i="0" u="none" strike="noStrike" baseline="0">
              <a:solidFill>
                <a:srgbClr val="000000"/>
              </a:solidFill>
              <a:latin typeface="Trebuchet MS"/>
            </a:rPr>
            <a:t>(1)  Table of Contents</a:t>
          </a:r>
        </a:p>
        <a:p>
          <a:pPr algn="l" rtl="0">
            <a:defRPr sz="1000"/>
          </a:pPr>
          <a:endParaRPr lang="en-GB" sz="1200" b="0" i="0" u="none" strike="noStrike" baseline="0">
            <a:solidFill>
              <a:srgbClr val="000000"/>
            </a:solidFill>
            <a:latin typeface="Trebuchet MS"/>
          </a:endParaRPr>
        </a:p>
        <a:p>
          <a:pPr algn="l" rtl="0">
            <a:defRPr sz="1000"/>
          </a:pPr>
          <a:r>
            <a:rPr lang="en-GB" sz="1200" b="0" i="0" u="none" strike="noStrike" baseline="0">
              <a:solidFill>
                <a:srgbClr val="000000"/>
              </a:solidFill>
              <a:latin typeface="Trebuchet MS"/>
            </a:rPr>
            <a:t>(2)  Instructions</a:t>
          </a:r>
        </a:p>
        <a:p>
          <a:pPr algn="l" rtl="0">
            <a:defRPr sz="1000"/>
          </a:pPr>
          <a:endParaRPr lang="en-GB" sz="1200" b="0" i="0" u="none" strike="noStrike" baseline="0">
            <a:solidFill>
              <a:srgbClr val="000000"/>
            </a:solidFill>
            <a:latin typeface="Trebuchet MS"/>
          </a:endParaRPr>
        </a:p>
        <a:p>
          <a:pPr algn="l" rtl="0">
            <a:defRPr sz="1000"/>
          </a:pPr>
          <a:r>
            <a:rPr lang="en-GB" sz="1200" b="0" i="0" u="none" strike="noStrike" baseline="0">
              <a:solidFill>
                <a:srgbClr val="000000"/>
              </a:solidFill>
              <a:latin typeface="Trebuchet MS"/>
            </a:rPr>
            <a:t>(3)  Time Value of Money</a:t>
          </a:r>
        </a:p>
        <a:p>
          <a:pPr algn="l" rtl="0">
            <a:defRPr sz="1000"/>
          </a:pPr>
          <a:endParaRPr lang="en-GB" sz="1200" b="0" i="0" u="none" strike="noStrike" baseline="0">
            <a:solidFill>
              <a:srgbClr val="000000"/>
            </a:solidFill>
            <a:latin typeface="Trebuchet MS"/>
          </a:endParaRPr>
        </a:p>
        <a:p>
          <a:pPr algn="l" rtl="0">
            <a:defRPr sz="1000"/>
          </a:pPr>
          <a:r>
            <a:rPr lang="en-GB" sz="1200" b="0" i="0" u="none" strike="noStrike" baseline="0">
              <a:solidFill>
                <a:srgbClr val="000000"/>
              </a:solidFill>
              <a:latin typeface="Trebuchet MS"/>
            </a:rPr>
            <a:t>(4)  Annual NPV &amp; IRR</a:t>
          </a:r>
        </a:p>
        <a:p>
          <a:pPr algn="l" rtl="0">
            <a:defRPr sz="1000"/>
          </a:pPr>
          <a:endParaRPr lang="en-GB" sz="1200" b="0" i="0" u="none" strike="noStrike" baseline="0">
            <a:solidFill>
              <a:srgbClr val="000000"/>
            </a:solidFill>
            <a:latin typeface="Trebuchet MS"/>
          </a:endParaRPr>
        </a:p>
        <a:p>
          <a:pPr algn="l" rtl="0">
            <a:defRPr sz="1000"/>
          </a:pPr>
          <a:r>
            <a:rPr lang="en-GB" sz="1200" b="0" i="0" u="none" strike="noStrike" baseline="0">
              <a:solidFill>
                <a:srgbClr val="000000"/>
              </a:solidFill>
              <a:latin typeface="Trebuchet MS"/>
            </a:rPr>
            <a:t>(5)  NPV &amp; IRR of Annuities</a:t>
          </a:r>
        </a:p>
        <a:p>
          <a:pPr algn="l" rtl="0">
            <a:defRPr sz="1000"/>
          </a:pPr>
          <a:endParaRPr lang="en-GB" sz="1200" b="0" i="0" u="none" strike="noStrike" baseline="0">
            <a:solidFill>
              <a:srgbClr val="000000"/>
            </a:solidFill>
            <a:latin typeface="Trebuchet MS"/>
          </a:endParaRPr>
        </a:p>
        <a:p>
          <a:pPr algn="l" rtl="0">
            <a:defRPr sz="1000"/>
          </a:pPr>
          <a:r>
            <a:rPr lang="en-GB" sz="1200" b="0" i="0" u="none" strike="noStrike" baseline="0">
              <a:solidFill>
                <a:srgbClr val="000000"/>
              </a:solidFill>
              <a:latin typeface="Trebuchet MS"/>
            </a:rPr>
            <a:t>(6)  Periodic Mortgage Amortization</a:t>
          </a:r>
        </a:p>
        <a:p>
          <a:pPr algn="l" rtl="0">
            <a:defRPr sz="1000"/>
          </a:pPr>
          <a:endParaRPr lang="en-GB" sz="1200" b="0" i="0" u="none" strike="noStrike" baseline="0">
            <a:solidFill>
              <a:srgbClr val="000000"/>
            </a:solidFill>
            <a:latin typeface="Trebuchet MS"/>
          </a:endParaRPr>
        </a:p>
        <a:p>
          <a:pPr algn="l" rtl="0">
            <a:defRPr sz="1000"/>
          </a:pPr>
          <a:r>
            <a:rPr lang="en-GB" sz="1200" b="0" i="0" u="none" strike="noStrike" baseline="0">
              <a:solidFill>
                <a:srgbClr val="000000"/>
              </a:solidFill>
              <a:latin typeface="Trebuchet MS"/>
            </a:rPr>
            <a:t>(7)  Annual Summary of Mortgage Amortization</a:t>
          </a:r>
        </a:p>
        <a:p>
          <a:pPr algn="l" rtl="0">
            <a:defRPr sz="1000"/>
          </a:pPr>
          <a:endParaRPr lang="en-GB" sz="1200" b="0" i="0" u="none" strike="noStrike" baseline="0">
            <a:solidFill>
              <a:srgbClr val="000000"/>
            </a:solidFill>
            <a:latin typeface="Trebuchet MS"/>
          </a:endParaRPr>
        </a:p>
        <a:p>
          <a:pPr algn="l" rtl="0">
            <a:defRPr sz="1000"/>
          </a:pPr>
          <a:r>
            <a:rPr lang="en-GB" sz="1200" b="0" i="0" u="none" strike="noStrike" baseline="0">
              <a:solidFill>
                <a:srgbClr val="000000"/>
              </a:solidFill>
              <a:latin typeface="Trebuchet MS"/>
            </a:rPr>
            <a:t>(8)  Statistics</a:t>
          </a:r>
        </a:p>
      </xdr:txBody>
    </xdr:sp>
    <xdr:clientData/>
  </xdr:oneCellAnchor>
  <xdr:oneCellAnchor>
    <xdr:from>
      <xdr:col>6</xdr:col>
      <xdr:colOff>12700</xdr:colOff>
      <xdr:row>16</xdr:row>
      <xdr:rowOff>44450</xdr:rowOff>
    </xdr:from>
    <xdr:ext cx="3657600" cy="2978150"/>
    <xdr:sp macro="" textlink="">
      <xdr:nvSpPr>
        <xdr:cNvPr id="10242" name="Text Box 2">
          <a:extLst>
            <a:ext uri="{FF2B5EF4-FFF2-40B4-BE49-F238E27FC236}">
              <a16:creationId xmlns:a16="http://schemas.microsoft.com/office/drawing/2014/main" id="{CF6E3649-3FE6-4B4F-9402-521D98E71E53}"/>
            </a:ext>
          </a:extLst>
        </xdr:cNvPr>
        <xdr:cNvSpPr txBox="1">
          <a:spLocks noChangeArrowheads="1"/>
        </xdr:cNvSpPr>
      </xdr:nvSpPr>
      <xdr:spPr bwMode="auto">
        <a:xfrm>
          <a:off x="3670300" y="2584450"/>
          <a:ext cx="3657600" cy="2978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36576" tIns="36576" rIns="0" bIns="0" anchor="t" upright="1">
          <a:spAutoFit/>
        </a:bodyPr>
        <a:lstStyle/>
        <a:p>
          <a:pPr algn="l" rtl="0">
            <a:defRPr sz="1000"/>
          </a:pPr>
          <a:r>
            <a:rPr lang="en-GB" sz="1200" b="0" i="0" u="none" strike="noStrike" baseline="0">
              <a:solidFill>
                <a:srgbClr val="000000"/>
              </a:solidFill>
              <a:latin typeface="Trebuchet MS"/>
            </a:rPr>
            <a:t>Table of Contents</a:t>
          </a:r>
        </a:p>
        <a:p>
          <a:pPr algn="l" rtl="0">
            <a:defRPr sz="1000"/>
          </a:pPr>
          <a:endParaRPr lang="en-GB" sz="1200" b="0" i="0" u="none" strike="noStrike" baseline="0">
            <a:solidFill>
              <a:srgbClr val="000000"/>
            </a:solidFill>
            <a:latin typeface="Trebuchet MS"/>
          </a:endParaRPr>
        </a:p>
        <a:p>
          <a:pPr algn="l" rtl="0">
            <a:defRPr sz="1000"/>
          </a:pPr>
          <a:r>
            <a:rPr lang="en-GB" sz="1200" b="0" i="0" u="none" strike="noStrike" baseline="0">
              <a:solidFill>
                <a:srgbClr val="000000"/>
              </a:solidFill>
              <a:latin typeface="Trebuchet MS"/>
            </a:rPr>
            <a:t>Instructions for Use</a:t>
          </a:r>
        </a:p>
        <a:p>
          <a:pPr algn="l" rtl="0">
            <a:defRPr sz="1000"/>
          </a:pPr>
          <a:endParaRPr lang="en-GB" sz="1200" b="0" i="0" u="none" strike="noStrike" baseline="0">
            <a:solidFill>
              <a:srgbClr val="000000"/>
            </a:solidFill>
            <a:latin typeface="Trebuchet MS"/>
          </a:endParaRPr>
        </a:p>
        <a:p>
          <a:pPr algn="l" rtl="0">
            <a:defRPr sz="1000"/>
          </a:pPr>
          <a:r>
            <a:rPr lang="en-GB" sz="1200" b="0" i="0" u="none" strike="noStrike" baseline="0">
              <a:solidFill>
                <a:srgbClr val="000000"/>
              </a:solidFill>
              <a:latin typeface="Trebuchet MS"/>
            </a:rPr>
            <a:t>Compounding &amp; Discounting</a:t>
          </a:r>
        </a:p>
        <a:p>
          <a:pPr algn="l" rtl="0">
            <a:defRPr sz="1000"/>
          </a:pPr>
          <a:endParaRPr lang="en-GB" sz="1200" b="0" i="0" u="none" strike="noStrike" baseline="0">
            <a:solidFill>
              <a:srgbClr val="000000"/>
            </a:solidFill>
            <a:latin typeface="Trebuchet MS"/>
          </a:endParaRPr>
        </a:p>
        <a:p>
          <a:pPr algn="l" rtl="0">
            <a:defRPr sz="1000"/>
          </a:pPr>
          <a:r>
            <a:rPr lang="en-GB" sz="1200" b="0" i="0" u="none" strike="noStrike" baseline="0">
              <a:solidFill>
                <a:srgbClr val="000000"/>
              </a:solidFill>
              <a:latin typeface="Trebuchet MS"/>
            </a:rPr>
            <a:t>NPV &amp; IRR for Annual Uneven Cash Flows</a:t>
          </a:r>
        </a:p>
        <a:p>
          <a:pPr algn="l" rtl="0">
            <a:defRPr sz="1000"/>
          </a:pPr>
          <a:endParaRPr lang="en-GB" sz="1200" b="0" i="0" u="none" strike="noStrike" baseline="0">
            <a:solidFill>
              <a:srgbClr val="000000"/>
            </a:solidFill>
            <a:latin typeface="Trebuchet MS"/>
          </a:endParaRPr>
        </a:p>
        <a:p>
          <a:pPr algn="l" rtl="0">
            <a:defRPr sz="1000"/>
          </a:pPr>
          <a:r>
            <a:rPr lang="en-GB" sz="1200" b="0" i="0" u="none" strike="noStrike" baseline="0">
              <a:solidFill>
                <a:srgbClr val="000000"/>
              </a:solidFill>
              <a:latin typeface="Trebuchet MS"/>
            </a:rPr>
            <a:t>NPV &amp; IRR for Periodic Annuities</a:t>
          </a:r>
        </a:p>
        <a:p>
          <a:pPr algn="l" rtl="0">
            <a:defRPr sz="1000"/>
          </a:pPr>
          <a:endParaRPr lang="en-GB" sz="1200" b="0" i="0" u="none" strike="noStrike" baseline="0">
            <a:solidFill>
              <a:srgbClr val="000000"/>
            </a:solidFill>
            <a:latin typeface="Trebuchet MS"/>
          </a:endParaRPr>
        </a:p>
        <a:p>
          <a:pPr algn="l" rtl="0">
            <a:defRPr sz="1000"/>
          </a:pPr>
          <a:r>
            <a:rPr lang="en-GB" sz="1200" b="0" i="0" u="none" strike="noStrike" baseline="0">
              <a:solidFill>
                <a:srgbClr val="000000"/>
              </a:solidFill>
              <a:latin typeface="Trebuchet MS"/>
            </a:rPr>
            <a:t>Periodic Mortgage Amortization Schedule</a:t>
          </a:r>
        </a:p>
        <a:p>
          <a:pPr algn="l" rtl="0">
            <a:defRPr sz="1000"/>
          </a:pPr>
          <a:endParaRPr lang="en-GB" sz="1200" b="0" i="0" u="none" strike="noStrike" baseline="0">
            <a:solidFill>
              <a:srgbClr val="000000"/>
            </a:solidFill>
            <a:latin typeface="Trebuchet MS"/>
          </a:endParaRPr>
        </a:p>
        <a:p>
          <a:pPr algn="l" rtl="0">
            <a:defRPr sz="1000"/>
          </a:pPr>
          <a:r>
            <a:rPr lang="en-GB" sz="1200" b="0" i="0" u="none" strike="noStrike" baseline="0">
              <a:solidFill>
                <a:srgbClr val="000000"/>
              </a:solidFill>
              <a:latin typeface="Trebuchet MS"/>
            </a:rPr>
            <a:t>Annual Summary of Mortgage Amortization Schedule</a:t>
          </a:r>
        </a:p>
        <a:p>
          <a:pPr algn="l" rtl="0">
            <a:defRPr sz="1000"/>
          </a:pPr>
          <a:endParaRPr lang="en-GB" sz="1200" b="0" i="0" u="none" strike="noStrike" baseline="0">
            <a:solidFill>
              <a:srgbClr val="000000"/>
            </a:solidFill>
            <a:latin typeface="Trebuchet MS"/>
          </a:endParaRPr>
        </a:p>
        <a:p>
          <a:pPr algn="l" rtl="0">
            <a:defRPr sz="1000"/>
          </a:pPr>
          <a:r>
            <a:rPr lang="en-GB" sz="1200" b="0" i="0" u="none" strike="noStrike" baseline="0">
              <a:solidFill>
                <a:srgbClr val="000000"/>
              </a:solidFill>
              <a:latin typeface="Trebuchet MS"/>
            </a:rPr>
            <a:t>Mean, Median, and Standard Deviation</a:t>
          </a:r>
        </a:p>
      </xdr:txBody>
    </xdr:sp>
    <xdr:clientData/>
  </xdr:oneCellAnchor>
  <xdr:oneCellAnchor>
    <xdr:from>
      <xdr:col>12</xdr:col>
      <xdr:colOff>88900</xdr:colOff>
      <xdr:row>16</xdr:row>
      <xdr:rowOff>44450</xdr:rowOff>
    </xdr:from>
    <xdr:ext cx="1905000" cy="2978150"/>
    <xdr:sp macro="" textlink="">
      <xdr:nvSpPr>
        <xdr:cNvPr id="10243" name="Text Box 3">
          <a:extLst>
            <a:ext uri="{FF2B5EF4-FFF2-40B4-BE49-F238E27FC236}">
              <a16:creationId xmlns:a16="http://schemas.microsoft.com/office/drawing/2014/main" id="{961ADAE8-90D2-4925-A578-E5AF0DC12ECA}"/>
            </a:ext>
          </a:extLst>
        </xdr:cNvPr>
        <xdr:cNvSpPr txBox="1">
          <a:spLocks noChangeArrowheads="1"/>
        </xdr:cNvSpPr>
      </xdr:nvSpPr>
      <xdr:spPr bwMode="auto">
        <a:xfrm>
          <a:off x="7404100" y="2584450"/>
          <a:ext cx="1905000" cy="2978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36576" tIns="36576" rIns="0" bIns="0" anchor="t" upright="1">
          <a:spAutoFit/>
        </a:bodyPr>
        <a:lstStyle/>
        <a:p>
          <a:pPr algn="l" rtl="0">
            <a:defRPr sz="1000"/>
          </a:pPr>
          <a:r>
            <a:rPr lang="en-GB" sz="1200" b="0" i="0" u="none" strike="noStrike" baseline="0">
              <a:solidFill>
                <a:srgbClr val="000000"/>
              </a:solidFill>
              <a:latin typeface="Trebuchet MS"/>
            </a:rPr>
            <a:t>(1)  Tbl.Cnts</a:t>
          </a:r>
        </a:p>
        <a:p>
          <a:pPr algn="l" rtl="0">
            <a:defRPr sz="1000"/>
          </a:pPr>
          <a:endParaRPr lang="en-GB" sz="1200" b="0" i="0" u="none" strike="noStrike" baseline="0">
            <a:solidFill>
              <a:srgbClr val="000000"/>
            </a:solidFill>
            <a:latin typeface="Trebuchet MS"/>
          </a:endParaRPr>
        </a:p>
        <a:p>
          <a:pPr algn="l" rtl="0">
            <a:defRPr sz="1000"/>
          </a:pPr>
          <a:r>
            <a:rPr lang="en-GB" sz="1200" b="0" i="0" u="none" strike="noStrike" baseline="0">
              <a:solidFill>
                <a:srgbClr val="000000"/>
              </a:solidFill>
              <a:latin typeface="Trebuchet MS"/>
            </a:rPr>
            <a:t>(2)  Instructions</a:t>
          </a:r>
        </a:p>
        <a:p>
          <a:pPr algn="l" rtl="0">
            <a:defRPr sz="1000"/>
          </a:pPr>
          <a:endParaRPr lang="en-GB" sz="1200" b="0" i="0" u="none" strike="noStrike" baseline="0">
            <a:solidFill>
              <a:srgbClr val="000000"/>
            </a:solidFill>
            <a:latin typeface="Trebuchet MS"/>
          </a:endParaRPr>
        </a:p>
        <a:p>
          <a:pPr algn="l" rtl="0">
            <a:defRPr sz="1000"/>
          </a:pPr>
          <a:r>
            <a:rPr lang="en-GB" sz="1200" b="0" i="0" u="none" strike="noStrike" baseline="0">
              <a:solidFill>
                <a:srgbClr val="000000"/>
              </a:solidFill>
              <a:latin typeface="Trebuchet MS"/>
            </a:rPr>
            <a:t>(3)  TVM</a:t>
          </a:r>
        </a:p>
        <a:p>
          <a:pPr algn="l" rtl="0">
            <a:defRPr sz="1000"/>
          </a:pPr>
          <a:endParaRPr lang="en-GB" sz="1200" b="0" i="0" u="none" strike="noStrike" baseline="0">
            <a:solidFill>
              <a:srgbClr val="000000"/>
            </a:solidFill>
            <a:latin typeface="Trebuchet MS"/>
          </a:endParaRPr>
        </a:p>
        <a:p>
          <a:pPr algn="l" rtl="0">
            <a:defRPr sz="1000"/>
          </a:pPr>
          <a:r>
            <a:rPr lang="en-GB" sz="1200" b="0" i="0" u="none" strike="noStrike" baseline="0">
              <a:solidFill>
                <a:srgbClr val="000000"/>
              </a:solidFill>
              <a:latin typeface="Trebuchet MS"/>
            </a:rPr>
            <a:t>(4)  NPV-IRR</a:t>
          </a:r>
        </a:p>
        <a:p>
          <a:pPr algn="l" rtl="0">
            <a:defRPr sz="1000"/>
          </a:pPr>
          <a:endParaRPr lang="en-GB" sz="1200" b="0" i="0" u="none" strike="noStrike" baseline="0">
            <a:solidFill>
              <a:srgbClr val="000000"/>
            </a:solidFill>
            <a:latin typeface="Trebuchet MS"/>
          </a:endParaRPr>
        </a:p>
        <a:p>
          <a:pPr algn="l" rtl="0">
            <a:defRPr sz="1000"/>
          </a:pPr>
          <a:r>
            <a:rPr lang="en-GB" sz="1200" b="0" i="0" u="none" strike="noStrike" baseline="0">
              <a:solidFill>
                <a:srgbClr val="000000"/>
              </a:solidFill>
              <a:latin typeface="Trebuchet MS"/>
            </a:rPr>
            <a:t>(5)  NPV-IRR Annuities</a:t>
          </a:r>
        </a:p>
        <a:p>
          <a:pPr algn="l" rtl="0">
            <a:defRPr sz="1000"/>
          </a:pPr>
          <a:endParaRPr lang="en-GB" sz="1200" b="0" i="0" u="none" strike="noStrike" baseline="0">
            <a:solidFill>
              <a:srgbClr val="000000"/>
            </a:solidFill>
            <a:latin typeface="Trebuchet MS"/>
          </a:endParaRPr>
        </a:p>
        <a:p>
          <a:pPr algn="l" rtl="0">
            <a:defRPr sz="1000"/>
          </a:pPr>
          <a:r>
            <a:rPr lang="en-GB" sz="1200" b="0" i="0" u="none" strike="noStrike" baseline="0">
              <a:solidFill>
                <a:srgbClr val="000000"/>
              </a:solidFill>
              <a:latin typeface="Trebuchet MS"/>
            </a:rPr>
            <a:t>(6)  Amortization Schedule</a:t>
          </a:r>
        </a:p>
        <a:p>
          <a:pPr algn="l" rtl="0">
            <a:defRPr sz="1000"/>
          </a:pPr>
          <a:endParaRPr lang="en-GB" sz="1200" b="0" i="0" u="none" strike="noStrike" baseline="0">
            <a:solidFill>
              <a:srgbClr val="000000"/>
            </a:solidFill>
            <a:latin typeface="Trebuchet MS"/>
          </a:endParaRPr>
        </a:p>
        <a:p>
          <a:pPr algn="l" rtl="0">
            <a:defRPr sz="1000"/>
          </a:pPr>
          <a:r>
            <a:rPr lang="en-GB" sz="1200" b="0" i="0" u="none" strike="noStrike" baseline="0">
              <a:solidFill>
                <a:srgbClr val="000000"/>
              </a:solidFill>
              <a:latin typeface="Trebuchet MS"/>
            </a:rPr>
            <a:t>(7)  Annual Summary</a:t>
          </a:r>
        </a:p>
        <a:p>
          <a:pPr algn="l" rtl="0">
            <a:defRPr sz="1000"/>
          </a:pPr>
          <a:endParaRPr lang="en-GB" sz="1200" b="0" i="0" u="none" strike="noStrike" baseline="0">
            <a:solidFill>
              <a:srgbClr val="000000"/>
            </a:solidFill>
            <a:latin typeface="Trebuchet MS"/>
          </a:endParaRPr>
        </a:p>
        <a:p>
          <a:pPr algn="l" rtl="0">
            <a:defRPr sz="1000"/>
          </a:pPr>
          <a:r>
            <a:rPr lang="en-GB" sz="1200" b="0" i="0" u="none" strike="noStrike" baseline="0">
              <a:solidFill>
                <a:srgbClr val="000000"/>
              </a:solidFill>
              <a:latin typeface="Trebuchet MS"/>
            </a:rPr>
            <a:t>(8)  Statistics</a:t>
          </a:r>
        </a:p>
      </xdr:txBody>
    </xdr:sp>
    <xdr:clientData/>
  </xdr:oneCellAnchor>
  <xdr:twoCellAnchor>
    <xdr:from>
      <xdr:col>0</xdr:col>
      <xdr:colOff>133350</xdr:colOff>
      <xdr:row>1</xdr:row>
      <xdr:rowOff>101600</xdr:rowOff>
    </xdr:from>
    <xdr:to>
      <xdr:col>15</xdr:col>
      <xdr:colOff>304800</xdr:colOff>
      <xdr:row>9</xdr:row>
      <xdr:rowOff>76200</xdr:rowOff>
    </xdr:to>
    <xdr:sp macro="" textlink="">
      <xdr:nvSpPr>
        <xdr:cNvPr id="10244" name="AutoShape 4">
          <a:extLst>
            <a:ext uri="{FF2B5EF4-FFF2-40B4-BE49-F238E27FC236}">
              <a16:creationId xmlns:a16="http://schemas.microsoft.com/office/drawing/2014/main" id="{910F2116-E2B7-48AF-99E9-3D33FE270888}"/>
            </a:ext>
          </a:extLst>
        </xdr:cNvPr>
        <xdr:cNvSpPr>
          <a:spLocks noChangeArrowheads="1"/>
        </xdr:cNvSpPr>
      </xdr:nvSpPr>
      <xdr:spPr bwMode="auto">
        <a:xfrm>
          <a:off x="133350" y="260350"/>
          <a:ext cx="9315450" cy="1244600"/>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76200">
          <a:solidFill>
            <a:srgbClr xmlns:mc="http://schemas.openxmlformats.org/markup-compatibility/2006" xmlns:a14="http://schemas.microsoft.com/office/drawing/2010/main" val="FF0000" mc:Ignorable="a14" a14:legacySpreadsheetColorIndex="10"/>
          </a:solidFill>
          <a:round/>
          <a:headEnd/>
          <a:tailEnd/>
        </a:ln>
      </xdr:spPr>
      <xdr:txBody>
        <a:bodyPr vertOverflow="clip" wrap="square" lIns="100584" tIns="96012" rIns="100584" bIns="96012" anchor="ctr" upright="1"/>
        <a:lstStyle/>
        <a:p>
          <a:pPr algn="ctr" rtl="0">
            <a:lnSpc>
              <a:spcPts val="4100"/>
            </a:lnSpc>
            <a:defRPr sz="1000"/>
          </a:pPr>
          <a:r>
            <a:rPr lang="en-GB" sz="3600" b="0" i="1" u="none" strike="noStrike" baseline="0">
              <a:solidFill>
                <a:srgbClr val="000000"/>
              </a:solidFill>
              <a:latin typeface="Trebuchet MS"/>
            </a:rPr>
            <a:t>Financial Calculator</a:t>
          </a:r>
          <a:endParaRPr lang="en-GB" sz="1000" b="0" i="0" u="dbl" strike="noStrike" baseline="0">
            <a:solidFill>
              <a:srgbClr val="000000"/>
            </a:solidFill>
            <a:latin typeface="Trebuchet MS"/>
          </a:endParaRPr>
        </a:p>
        <a:p>
          <a:pPr algn="ctr" rtl="0">
            <a:lnSpc>
              <a:spcPts val="3100"/>
            </a:lnSpc>
            <a:defRPr sz="1000"/>
          </a:pPr>
          <a:r>
            <a:rPr lang="en-GB" sz="2800" b="0" i="0" u="dbl" strike="noStrike" baseline="0">
              <a:solidFill>
                <a:srgbClr val="0000FF"/>
              </a:solidFill>
              <a:latin typeface="Trebuchet MS"/>
            </a:rPr>
            <a:t>Table of Contents</a:t>
          </a:r>
        </a:p>
      </xdr:txBody>
    </xdr:sp>
    <xdr:clientData/>
  </xdr:twoCellAnchor>
  <xdr:oneCellAnchor>
    <xdr:from>
      <xdr:col>0</xdr:col>
      <xdr:colOff>412750</xdr:colOff>
      <xdr:row>13</xdr:row>
      <xdr:rowOff>152400</xdr:rowOff>
    </xdr:from>
    <xdr:ext cx="1688989" cy="353238"/>
    <xdr:sp macro="" textlink="">
      <xdr:nvSpPr>
        <xdr:cNvPr id="10246" name="Text Box 6">
          <a:extLst>
            <a:ext uri="{FF2B5EF4-FFF2-40B4-BE49-F238E27FC236}">
              <a16:creationId xmlns:a16="http://schemas.microsoft.com/office/drawing/2014/main" id="{29128338-09DC-4824-9355-D19B28E42387}"/>
            </a:ext>
          </a:extLst>
        </xdr:cNvPr>
        <xdr:cNvSpPr txBox="1">
          <a:spLocks noChangeArrowheads="1"/>
        </xdr:cNvSpPr>
      </xdr:nvSpPr>
      <xdr:spPr bwMode="auto">
        <a:xfrm>
          <a:off x="412750" y="2216150"/>
          <a:ext cx="1688989" cy="3532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54864" tIns="54864" rIns="0" bIns="0" anchor="t" upright="1">
          <a:spAutoFit/>
        </a:bodyPr>
        <a:lstStyle/>
        <a:p>
          <a:pPr algn="l" rtl="0">
            <a:defRPr sz="1000"/>
          </a:pPr>
          <a:r>
            <a:rPr lang="en-GB" sz="2000" b="0" i="1" u="dbl" strike="noStrike" baseline="0">
              <a:solidFill>
                <a:srgbClr val="0000FF"/>
              </a:solidFill>
              <a:latin typeface="Trebuchet MS"/>
            </a:rPr>
            <a:t>Sheet Number</a:t>
          </a:r>
        </a:p>
      </xdr:txBody>
    </xdr:sp>
    <xdr:clientData/>
  </xdr:oneCellAnchor>
  <xdr:oneCellAnchor>
    <xdr:from>
      <xdr:col>6</xdr:col>
      <xdr:colOff>469900</xdr:colOff>
      <xdr:row>13</xdr:row>
      <xdr:rowOff>152400</xdr:rowOff>
    </xdr:from>
    <xdr:ext cx="2091535" cy="353238"/>
    <xdr:sp macro="" textlink="">
      <xdr:nvSpPr>
        <xdr:cNvPr id="10247" name="Text Box 7">
          <a:extLst>
            <a:ext uri="{FF2B5EF4-FFF2-40B4-BE49-F238E27FC236}">
              <a16:creationId xmlns:a16="http://schemas.microsoft.com/office/drawing/2014/main" id="{AD076D1B-8B02-4B3B-9685-F132F08A70DF}"/>
            </a:ext>
          </a:extLst>
        </xdr:cNvPr>
        <xdr:cNvSpPr txBox="1">
          <a:spLocks noChangeArrowheads="1"/>
        </xdr:cNvSpPr>
      </xdr:nvSpPr>
      <xdr:spPr bwMode="auto">
        <a:xfrm>
          <a:off x="4127500" y="2216150"/>
          <a:ext cx="2091535" cy="3532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54864" tIns="54864" rIns="0" bIns="0" anchor="t" upright="1">
          <a:spAutoFit/>
        </a:bodyPr>
        <a:lstStyle/>
        <a:p>
          <a:pPr algn="l" rtl="0">
            <a:defRPr sz="1000"/>
          </a:pPr>
          <a:r>
            <a:rPr lang="en-GB" sz="2000" b="0" i="1" u="dbl" strike="noStrike" baseline="0">
              <a:solidFill>
                <a:srgbClr val="0000FF"/>
              </a:solidFill>
              <a:latin typeface="Trebuchet MS"/>
            </a:rPr>
            <a:t>Sheet Description</a:t>
          </a:r>
        </a:p>
      </xdr:txBody>
    </xdr:sp>
    <xdr:clientData/>
  </xdr:oneCellAnchor>
  <xdr:oneCellAnchor>
    <xdr:from>
      <xdr:col>12</xdr:col>
      <xdr:colOff>228600</xdr:colOff>
      <xdr:row>13</xdr:row>
      <xdr:rowOff>152400</xdr:rowOff>
    </xdr:from>
    <xdr:ext cx="1186672" cy="353238"/>
    <xdr:sp macro="" textlink="">
      <xdr:nvSpPr>
        <xdr:cNvPr id="10248" name="Text Box 8">
          <a:extLst>
            <a:ext uri="{FF2B5EF4-FFF2-40B4-BE49-F238E27FC236}">
              <a16:creationId xmlns:a16="http://schemas.microsoft.com/office/drawing/2014/main" id="{5E1C6CCB-BAC2-46C1-8432-8BADB74C76B3}"/>
            </a:ext>
          </a:extLst>
        </xdr:cNvPr>
        <xdr:cNvSpPr txBox="1">
          <a:spLocks noChangeArrowheads="1"/>
        </xdr:cNvSpPr>
      </xdr:nvSpPr>
      <xdr:spPr bwMode="auto">
        <a:xfrm>
          <a:off x="7543800" y="2216150"/>
          <a:ext cx="1186672" cy="3532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54864" tIns="54864" rIns="0" bIns="0" anchor="t" upright="1">
          <a:spAutoFit/>
        </a:bodyPr>
        <a:lstStyle/>
        <a:p>
          <a:pPr algn="l" rtl="0">
            <a:defRPr sz="1000"/>
          </a:pPr>
          <a:r>
            <a:rPr lang="en-GB" sz="2000" b="0" i="1" u="dbl" strike="noStrike" baseline="0">
              <a:solidFill>
                <a:srgbClr val="0000FF"/>
              </a:solidFill>
              <a:latin typeface="Trebuchet MS"/>
            </a:rPr>
            <a:t>Tab Label</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209550</xdr:colOff>
      <xdr:row>6</xdr:row>
      <xdr:rowOff>6350</xdr:rowOff>
    </xdr:from>
    <xdr:to>
      <xdr:col>15</xdr:col>
      <xdr:colOff>222250</xdr:colOff>
      <xdr:row>41</xdr:row>
      <xdr:rowOff>133350</xdr:rowOff>
    </xdr:to>
    <xdr:sp macro="" textlink="">
      <xdr:nvSpPr>
        <xdr:cNvPr id="11266" name="AutoShape 2">
          <a:extLst>
            <a:ext uri="{FF2B5EF4-FFF2-40B4-BE49-F238E27FC236}">
              <a16:creationId xmlns:a16="http://schemas.microsoft.com/office/drawing/2014/main" id="{31BA999C-FBB0-4FC8-8001-248FEC8BDD2F}"/>
            </a:ext>
          </a:extLst>
        </xdr:cNvPr>
        <xdr:cNvSpPr>
          <a:spLocks noChangeArrowheads="1"/>
        </xdr:cNvSpPr>
      </xdr:nvSpPr>
      <xdr:spPr bwMode="auto">
        <a:xfrm>
          <a:off x="209550" y="958850"/>
          <a:ext cx="9156700" cy="5683250"/>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a:solidFill>
            <a:srgbClr xmlns:mc="http://schemas.openxmlformats.org/markup-compatibility/2006" xmlns:a14="http://schemas.microsoft.com/office/drawing/2010/main" val="FF0000" mc:Ignorable="a14" a14:legacySpreadsheetColorIndex="10"/>
          </a:solidFill>
          <a:round/>
          <a:headEnd/>
          <a:tailEnd/>
        </a:ln>
      </xdr:spPr>
    </xdr:sp>
    <xdr:clientData/>
  </xdr:twoCellAnchor>
  <xdr:twoCellAnchor editAs="oneCell">
    <xdr:from>
      <xdr:col>1</xdr:col>
      <xdr:colOff>190500</xdr:colOff>
      <xdr:row>8</xdr:row>
      <xdr:rowOff>19050</xdr:rowOff>
    </xdr:from>
    <xdr:to>
      <xdr:col>14</xdr:col>
      <xdr:colOff>228600</xdr:colOff>
      <xdr:row>39</xdr:row>
      <xdr:rowOff>114300</xdr:rowOff>
    </xdr:to>
    <xdr:sp macro="" textlink="">
      <xdr:nvSpPr>
        <xdr:cNvPr id="11265" name="Text Box 1">
          <a:extLst>
            <a:ext uri="{FF2B5EF4-FFF2-40B4-BE49-F238E27FC236}">
              <a16:creationId xmlns:a16="http://schemas.microsoft.com/office/drawing/2014/main" id="{6682F9C1-8693-47A8-8FE8-209D5D7992C9}"/>
            </a:ext>
          </a:extLst>
        </xdr:cNvPr>
        <xdr:cNvSpPr txBox="1">
          <a:spLocks noChangeArrowheads="1"/>
        </xdr:cNvSpPr>
      </xdr:nvSpPr>
      <xdr:spPr bwMode="auto">
        <a:xfrm>
          <a:off x="800100" y="1289050"/>
          <a:ext cx="7962900" cy="5016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0" bIns="0" anchor="t" upright="1"/>
        <a:lstStyle/>
        <a:p>
          <a:pPr algn="l" rtl="0">
            <a:defRPr sz="1000"/>
          </a:pPr>
          <a:r>
            <a:rPr lang="en-GB" sz="1100" b="1" i="1" u="sng" strike="noStrike" baseline="0">
              <a:solidFill>
                <a:srgbClr val="000000"/>
              </a:solidFill>
              <a:latin typeface="Trebuchet MS"/>
            </a:rPr>
            <a:t>Tab 3-TVM</a:t>
          </a:r>
          <a:r>
            <a:rPr lang="en-GB" sz="1100" b="0" i="0" u="none" strike="noStrike" baseline="0">
              <a:solidFill>
                <a:srgbClr val="000000"/>
              </a:solidFill>
              <a:latin typeface="Trebuchet MS"/>
            </a:rPr>
            <a:t>-This sheet is used for basic time value of money calculations.  Use this sheet the same as you would the financial keys on a hand-held financial calculator.  The only cells you can access are the input cells.  Enter the data directly into the input cell and they will also show up on the component T-bar.  Solve for any component by clicking on the hot button for that component.  To enter data in the input cell, simply type in the data and press enter, any of the arrow keys or click on the next input cell.  The n component input cell is automatically calculated by multiplying the payments per year times the number of years.  You can also input directly into the n input cell.  Solving for n or Inputting directly into the n input cell will override the automatic calculation, but when you clear the sheet the formula resets.</a:t>
          </a:r>
        </a:p>
        <a:p>
          <a:pPr algn="l" rtl="0">
            <a:defRPr sz="1000"/>
          </a:pPr>
          <a:r>
            <a:rPr lang="en-GB" sz="1100" b="1" i="1" u="sng" strike="noStrike" baseline="0">
              <a:solidFill>
                <a:srgbClr val="000000"/>
              </a:solidFill>
              <a:latin typeface="Trebuchet MS"/>
            </a:rPr>
            <a:t>Tab 4-NPV/IRR</a:t>
          </a:r>
          <a:r>
            <a:rPr lang="en-GB" sz="1100" b="0" i="0" u="none" strike="noStrike" baseline="0">
              <a:solidFill>
                <a:srgbClr val="000000"/>
              </a:solidFill>
              <a:latin typeface="Trebuchet MS"/>
            </a:rPr>
            <a:t>- This sheet is for annual calculations of NPV and IRR for the real estate cash flow model.  You can enter the initial investment and up to ten annual cash flows in the left-hand column.  You can enter the proceeds from sale, if any, at the appropriate time in the right-hand column.  You can solve for NPV and/or IRR by clicking on the appropriate hot button.  If you change any of the cash flows or the proceeds from sale, re-solve for the appropriate component.</a:t>
          </a:r>
        </a:p>
        <a:p>
          <a:pPr algn="l" rtl="0">
            <a:defRPr sz="1000"/>
          </a:pPr>
          <a:r>
            <a:rPr lang="en-GB" sz="1100" b="1" i="1" u="sng" strike="noStrike" baseline="0">
              <a:solidFill>
                <a:srgbClr val="000000"/>
              </a:solidFill>
              <a:latin typeface="Trebuchet MS"/>
            </a:rPr>
            <a:t>Tab 5-NPV-IRR Annuities</a:t>
          </a:r>
          <a:r>
            <a:rPr lang="en-GB" sz="1100" b="0" i="0" u="none" strike="noStrike" baseline="0">
              <a:solidFill>
                <a:srgbClr val="000000"/>
              </a:solidFill>
              <a:latin typeface="Trebuchet MS"/>
            </a:rPr>
            <a:t>- This sheet can be used for any number of periods per year and can accommodate up to fifteen different cash flows and an unlimited number of repetitions for any cash flow.  You can solve for NPV and/or IRR by clicking on the appropriate hot button.  If you change any of the cash flows and/or the number of times, re-solve for the appropriate component.</a:t>
          </a:r>
        </a:p>
        <a:p>
          <a:pPr algn="l" rtl="0">
            <a:defRPr sz="1000"/>
          </a:pPr>
          <a:r>
            <a:rPr lang="en-GB" sz="1100" b="1" i="1" u="sng" strike="noStrike" baseline="0">
              <a:solidFill>
                <a:srgbClr val="000000"/>
              </a:solidFill>
              <a:latin typeface="Trebuchet MS"/>
            </a:rPr>
            <a:t>Tab 6-Amortization Schedule</a:t>
          </a:r>
          <a:r>
            <a:rPr lang="en-GB" sz="1100" b="0" i="0" u="none" strike="noStrike" baseline="0">
              <a:solidFill>
                <a:srgbClr val="000000"/>
              </a:solidFill>
              <a:latin typeface="Trebuchet MS"/>
            </a:rPr>
            <a:t>-This sheet is for an amortization schedule for a conventional loan.  The only periods per year you can input is 1, 2, 4, and 12.  All of the cells are locked except the four input cells:  Number of payments per year, amortization period (years), Loan amount (can be entered as either a positive or negative number), and the annual interest rate.  The periodic payment and the complete amortization schedule is automatically calculated based on the four input items.</a:t>
          </a:r>
        </a:p>
        <a:p>
          <a:pPr algn="l" rtl="0">
            <a:defRPr sz="1000"/>
          </a:pPr>
          <a:r>
            <a:rPr lang="en-GB" sz="1100" b="1" i="1" u="sng" strike="noStrike" baseline="0">
              <a:solidFill>
                <a:srgbClr val="000000"/>
              </a:solidFill>
              <a:latin typeface="Trebuchet MS"/>
            </a:rPr>
            <a:t>Tab 7-Annual Summary</a:t>
          </a:r>
          <a:r>
            <a:rPr lang="en-GB" sz="1100" b="0" i="0" u="none" strike="noStrike" baseline="0">
              <a:solidFill>
                <a:srgbClr val="000000"/>
              </a:solidFill>
              <a:latin typeface="Trebuchet MS"/>
            </a:rPr>
            <a:t>- This sheet requires no input and all of the cells are protected.  This sheet does an annual summary of the loan that was input in sheet (6).</a:t>
          </a:r>
        </a:p>
        <a:p>
          <a:pPr algn="l" rtl="0">
            <a:defRPr sz="1000"/>
          </a:pPr>
          <a:r>
            <a:rPr lang="en-GB" sz="1100" b="1" i="1" u="sng" strike="noStrike" baseline="0">
              <a:solidFill>
                <a:srgbClr val="000000"/>
              </a:solidFill>
              <a:latin typeface="Trebuchet MS"/>
            </a:rPr>
            <a:t>Tab 8-Statistics</a:t>
          </a:r>
          <a:r>
            <a:rPr lang="en-GB" sz="1100" b="0" i="0" u="none" strike="noStrike" baseline="0">
              <a:solidFill>
                <a:srgbClr val="000000"/>
              </a:solidFill>
              <a:latin typeface="Trebuchet MS"/>
            </a:rPr>
            <a:t>- This sheet will accomodate up to 25 items and will do basic statistical calculations:  median, mean, and standard deviation.</a:t>
          </a:r>
        </a:p>
      </xdr:txBody>
    </xdr:sp>
    <xdr:clientData/>
  </xdr:twoCellAnchor>
  <xdr:twoCellAnchor>
    <xdr:from>
      <xdr:col>0</xdr:col>
      <xdr:colOff>209550</xdr:colOff>
      <xdr:row>0</xdr:row>
      <xdr:rowOff>152400</xdr:rowOff>
    </xdr:from>
    <xdr:to>
      <xdr:col>15</xdr:col>
      <xdr:colOff>222250</xdr:colOff>
      <xdr:row>5</xdr:row>
      <xdr:rowOff>19050</xdr:rowOff>
    </xdr:to>
    <xdr:sp macro="" textlink="">
      <xdr:nvSpPr>
        <xdr:cNvPr id="11267" name="AutoShape 3">
          <a:extLst>
            <a:ext uri="{FF2B5EF4-FFF2-40B4-BE49-F238E27FC236}">
              <a16:creationId xmlns:a16="http://schemas.microsoft.com/office/drawing/2014/main" id="{F5466958-249A-47A7-B2ED-4FB06D132BE0}"/>
            </a:ext>
          </a:extLst>
        </xdr:cNvPr>
        <xdr:cNvSpPr>
          <a:spLocks noChangeArrowheads="1"/>
        </xdr:cNvSpPr>
      </xdr:nvSpPr>
      <xdr:spPr bwMode="auto">
        <a:xfrm>
          <a:off x="209550" y="152400"/>
          <a:ext cx="9156700" cy="660400"/>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a:solidFill>
            <a:srgbClr xmlns:mc="http://schemas.openxmlformats.org/markup-compatibility/2006" xmlns:a14="http://schemas.microsoft.com/office/drawing/2010/main" val="FF0000" mc:Ignorable="a14" a14:legacySpreadsheetColorIndex="10"/>
          </a:solidFill>
          <a:round/>
          <a:headEnd/>
          <a:tailEnd/>
        </a:ln>
      </xdr:spPr>
      <xdr:txBody>
        <a:bodyPr vertOverflow="clip" wrap="square" lIns="100584" tIns="96012" rIns="100584" bIns="96012" anchor="ctr" upright="1"/>
        <a:lstStyle/>
        <a:p>
          <a:pPr algn="ctr" rtl="0">
            <a:defRPr sz="1000"/>
          </a:pPr>
          <a:r>
            <a:rPr lang="en-GB" sz="3600" b="0" i="1" u="none" strike="noStrike" baseline="0">
              <a:solidFill>
                <a:srgbClr val="0000FF"/>
              </a:solidFill>
              <a:latin typeface="Trebuchet MS"/>
            </a:rPr>
            <a:t>Instructions For Financial Calculator</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8</xdr:col>
      <xdr:colOff>165100</xdr:colOff>
      <xdr:row>8</xdr:row>
      <xdr:rowOff>234950</xdr:rowOff>
    </xdr:from>
    <xdr:ext cx="453159" cy="269009"/>
    <xdr:sp macro="" textlink="">
      <xdr:nvSpPr>
        <xdr:cNvPr id="1029" name="Text Box 5">
          <a:extLst>
            <a:ext uri="{FF2B5EF4-FFF2-40B4-BE49-F238E27FC236}">
              <a16:creationId xmlns:a16="http://schemas.microsoft.com/office/drawing/2014/main" id="{0D58C077-0421-4ED1-84ED-FE56C1CA19AF}"/>
            </a:ext>
          </a:extLst>
        </xdr:cNvPr>
        <xdr:cNvSpPr txBox="1">
          <a:spLocks noChangeArrowheads="1"/>
        </xdr:cNvSpPr>
      </xdr:nvSpPr>
      <xdr:spPr bwMode="auto">
        <a:xfrm>
          <a:off x="4089400" y="1504950"/>
          <a:ext cx="450850" cy="2667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45720" tIns="45720" rIns="0" bIns="0" anchor="t" upright="1">
          <a:spAutoFit/>
        </a:bodyPr>
        <a:lstStyle/>
        <a:p>
          <a:pPr algn="l" rtl="0">
            <a:defRPr sz="1000"/>
          </a:pPr>
          <a:r>
            <a:rPr lang="en-GB" sz="1400" b="1" i="0" u="none" strike="noStrike" baseline="0">
              <a:solidFill>
                <a:srgbClr val="000000"/>
              </a:solidFill>
              <a:latin typeface="Trebuchet MS"/>
            </a:rPr>
            <a:t>PV =</a:t>
          </a:r>
        </a:p>
      </xdr:txBody>
    </xdr:sp>
    <xdr:clientData/>
  </xdr:oneCellAnchor>
  <xdr:oneCellAnchor>
    <xdr:from>
      <xdr:col>8</xdr:col>
      <xdr:colOff>165100</xdr:colOff>
      <xdr:row>10</xdr:row>
      <xdr:rowOff>0</xdr:rowOff>
    </xdr:from>
    <xdr:ext cx="586509" cy="267855"/>
    <xdr:sp macro="" textlink="">
      <xdr:nvSpPr>
        <xdr:cNvPr id="1030" name="Text Box 6">
          <a:extLst>
            <a:ext uri="{FF2B5EF4-FFF2-40B4-BE49-F238E27FC236}">
              <a16:creationId xmlns:a16="http://schemas.microsoft.com/office/drawing/2014/main" id="{B2145F61-F5C2-4A5A-AF68-D589521660B2}"/>
            </a:ext>
          </a:extLst>
        </xdr:cNvPr>
        <xdr:cNvSpPr txBox="1">
          <a:spLocks noChangeArrowheads="1"/>
        </xdr:cNvSpPr>
      </xdr:nvSpPr>
      <xdr:spPr bwMode="auto">
        <a:xfrm>
          <a:off x="4089400" y="1752600"/>
          <a:ext cx="584200" cy="2667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45720" tIns="45720" rIns="0" bIns="0" anchor="t" upright="1">
          <a:spAutoFit/>
        </a:bodyPr>
        <a:lstStyle/>
        <a:p>
          <a:pPr algn="l" rtl="0">
            <a:defRPr sz="1000"/>
          </a:pPr>
          <a:r>
            <a:rPr lang="en-GB" sz="1400" b="1" i="0" u="none" strike="noStrike" baseline="0">
              <a:solidFill>
                <a:srgbClr val="000000"/>
              </a:solidFill>
              <a:latin typeface="Trebuchet MS"/>
            </a:rPr>
            <a:t>PMT =</a:t>
          </a:r>
        </a:p>
      </xdr:txBody>
    </xdr:sp>
    <xdr:clientData/>
  </xdr:oneCellAnchor>
  <xdr:oneCellAnchor>
    <xdr:from>
      <xdr:col>8</xdr:col>
      <xdr:colOff>165100</xdr:colOff>
      <xdr:row>14</xdr:row>
      <xdr:rowOff>0</xdr:rowOff>
    </xdr:from>
    <xdr:ext cx="586509" cy="267855"/>
    <xdr:sp macro="" textlink="">
      <xdr:nvSpPr>
        <xdr:cNvPr id="1031" name="Text Box 7">
          <a:extLst>
            <a:ext uri="{FF2B5EF4-FFF2-40B4-BE49-F238E27FC236}">
              <a16:creationId xmlns:a16="http://schemas.microsoft.com/office/drawing/2014/main" id="{63CBA9B2-185E-4E13-A9F5-1D8AF167526F}"/>
            </a:ext>
          </a:extLst>
        </xdr:cNvPr>
        <xdr:cNvSpPr txBox="1">
          <a:spLocks noChangeArrowheads="1"/>
        </xdr:cNvSpPr>
      </xdr:nvSpPr>
      <xdr:spPr bwMode="auto">
        <a:xfrm>
          <a:off x="4089400" y="2717800"/>
          <a:ext cx="584200" cy="2667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45720" tIns="45720" rIns="0" bIns="0" anchor="t" upright="1">
          <a:spAutoFit/>
        </a:bodyPr>
        <a:lstStyle/>
        <a:p>
          <a:pPr algn="l" rtl="0">
            <a:defRPr sz="1000"/>
          </a:pPr>
          <a:r>
            <a:rPr lang="en-GB" sz="1400" b="1" i="0" u="none" strike="noStrike" baseline="0">
              <a:solidFill>
                <a:srgbClr val="000000"/>
              </a:solidFill>
              <a:latin typeface="Trebuchet MS"/>
            </a:rPr>
            <a:t>PMT =</a:t>
          </a:r>
        </a:p>
      </xdr:txBody>
    </xdr:sp>
    <xdr:clientData/>
  </xdr:oneCellAnchor>
  <xdr:oneCellAnchor>
    <xdr:from>
      <xdr:col>11</xdr:col>
      <xdr:colOff>247650</xdr:colOff>
      <xdr:row>14</xdr:row>
      <xdr:rowOff>0</xdr:rowOff>
    </xdr:from>
    <xdr:ext cx="453159" cy="267855"/>
    <xdr:sp macro="" textlink="">
      <xdr:nvSpPr>
        <xdr:cNvPr id="1032" name="Text Box 8">
          <a:extLst>
            <a:ext uri="{FF2B5EF4-FFF2-40B4-BE49-F238E27FC236}">
              <a16:creationId xmlns:a16="http://schemas.microsoft.com/office/drawing/2014/main" id="{F5C7FEC8-BBAC-4183-925A-57D0262CCC10}"/>
            </a:ext>
          </a:extLst>
        </xdr:cNvPr>
        <xdr:cNvSpPr txBox="1">
          <a:spLocks noChangeArrowheads="1"/>
        </xdr:cNvSpPr>
      </xdr:nvSpPr>
      <xdr:spPr bwMode="auto">
        <a:xfrm>
          <a:off x="6788150" y="2717800"/>
          <a:ext cx="450850" cy="2667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45720" tIns="45720" rIns="0" bIns="0" anchor="t" upright="1">
          <a:spAutoFit/>
        </a:bodyPr>
        <a:lstStyle/>
        <a:p>
          <a:pPr algn="l" rtl="0">
            <a:defRPr sz="1000"/>
          </a:pPr>
          <a:r>
            <a:rPr lang="en-GB" sz="1400" b="1" i="0" u="none" strike="noStrike" baseline="0">
              <a:solidFill>
                <a:srgbClr val="000000"/>
              </a:solidFill>
              <a:latin typeface="Trebuchet MS"/>
            </a:rPr>
            <a:t>FV =</a:t>
          </a:r>
        </a:p>
      </xdr:txBody>
    </xdr:sp>
    <xdr:clientData/>
  </xdr:oneCellAnchor>
  <xdr:twoCellAnchor>
    <xdr:from>
      <xdr:col>8</xdr:col>
      <xdr:colOff>146050</xdr:colOff>
      <xdr:row>9</xdr:row>
      <xdr:rowOff>6350</xdr:rowOff>
    </xdr:from>
    <xdr:to>
      <xdr:col>10</xdr:col>
      <xdr:colOff>12700</xdr:colOff>
      <xdr:row>10</xdr:row>
      <xdr:rowOff>0</xdr:rowOff>
    </xdr:to>
    <xdr:sp macro="" textlink="">
      <xdr:nvSpPr>
        <xdr:cNvPr id="1033" name="Rectangle 9">
          <a:extLst>
            <a:ext uri="{FF2B5EF4-FFF2-40B4-BE49-F238E27FC236}">
              <a16:creationId xmlns:a16="http://schemas.microsoft.com/office/drawing/2014/main" id="{B9B5FF39-E49C-4CE7-ADF3-189A22227D30}"/>
            </a:ext>
          </a:extLst>
        </xdr:cNvPr>
        <xdr:cNvSpPr>
          <a:spLocks noChangeArrowheads="1"/>
        </xdr:cNvSpPr>
      </xdr:nvSpPr>
      <xdr:spPr bwMode="auto">
        <a:xfrm>
          <a:off x="4070350" y="1517650"/>
          <a:ext cx="2152650" cy="234950"/>
        </a:xfrm>
        <a:prstGeom prst="rect">
          <a:avLst/>
        </a:prstGeom>
        <a:noFill/>
        <a:ln w="12700">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8</xdr:col>
      <xdr:colOff>146050</xdr:colOff>
      <xdr:row>10</xdr:row>
      <xdr:rowOff>25400</xdr:rowOff>
    </xdr:from>
    <xdr:to>
      <xdr:col>10</xdr:col>
      <xdr:colOff>12700</xdr:colOff>
      <xdr:row>11</xdr:row>
      <xdr:rowOff>19050</xdr:rowOff>
    </xdr:to>
    <xdr:sp macro="" textlink="">
      <xdr:nvSpPr>
        <xdr:cNvPr id="1035" name="Rectangle 11">
          <a:extLst>
            <a:ext uri="{FF2B5EF4-FFF2-40B4-BE49-F238E27FC236}">
              <a16:creationId xmlns:a16="http://schemas.microsoft.com/office/drawing/2014/main" id="{8CCEF30A-D9CD-4055-8709-BE8EA9DBAE84}"/>
            </a:ext>
          </a:extLst>
        </xdr:cNvPr>
        <xdr:cNvSpPr>
          <a:spLocks noChangeArrowheads="1"/>
        </xdr:cNvSpPr>
      </xdr:nvSpPr>
      <xdr:spPr bwMode="auto">
        <a:xfrm>
          <a:off x="4070350" y="1778000"/>
          <a:ext cx="2152650" cy="234950"/>
        </a:xfrm>
        <a:prstGeom prst="rect">
          <a:avLst/>
        </a:prstGeom>
        <a:noFill/>
        <a:ln w="12700">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8</xdr:col>
      <xdr:colOff>146050</xdr:colOff>
      <xdr:row>14</xdr:row>
      <xdr:rowOff>0</xdr:rowOff>
    </xdr:from>
    <xdr:to>
      <xdr:col>10</xdr:col>
      <xdr:colOff>12700</xdr:colOff>
      <xdr:row>14</xdr:row>
      <xdr:rowOff>234950</xdr:rowOff>
    </xdr:to>
    <xdr:sp macro="" textlink="">
      <xdr:nvSpPr>
        <xdr:cNvPr id="1036" name="Rectangle 12">
          <a:extLst>
            <a:ext uri="{FF2B5EF4-FFF2-40B4-BE49-F238E27FC236}">
              <a16:creationId xmlns:a16="http://schemas.microsoft.com/office/drawing/2014/main" id="{EC6CE6AF-3CF6-4CC4-9100-1F51ED53CE38}"/>
            </a:ext>
          </a:extLst>
        </xdr:cNvPr>
        <xdr:cNvSpPr>
          <a:spLocks noChangeArrowheads="1"/>
        </xdr:cNvSpPr>
      </xdr:nvSpPr>
      <xdr:spPr bwMode="auto">
        <a:xfrm>
          <a:off x="4070350" y="2717800"/>
          <a:ext cx="2152650" cy="234950"/>
        </a:xfrm>
        <a:prstGeom prst="rect">
          <a:avLst/>
        </a:prstGeom>
        <a:noFill/>
        <a:ln w="12700">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11</xdr:col>
      <xdr:colOff>19050</xdr:colOff>
      <xdr:row>14</xdr:row>
      <xdr:rowOff>0</xdr:rowOff>
    </xdr:from>
    <xdr:to>
      <xdr:col>13</xdr:col>
      <xdr:colOff>0</xdr:colOff>
      <xdr:row>14</xdr:row>
      <xdr:rowOff>234950</xdr:rowOff>
    </xdr:to>
    <xdr:sp macro="" textlink="">
      <xdr:nvSpPr>
        <xdr:cNvPr id="1037" name="Rectangle 13">
          <a:extLst>
            <a:ext uri="{FF2B5EF4-FFF2-40B4-BE49-F238E27FC236}">
              <a16:creationId xmlns:a16="http://schemas.microsoft.com/office/drawing/2014/main" id="{9DE027F4-9C43-4B95-ABE6-3DD6A05864D3}"/>
            </a:ext>
          </a:extLst>
        </xdr:cNvPr>
        <xdr:cNvSpPr>
          <a:spLocks noChangeArrowheads="1"/>
        </xdr:cNvSpPr>
      </xdr:nvSpPr>
      <xdr:spPr bwMode="auto">
        <a:xfrm>
          <a:off x="6559550" y="2717800"/>
          <a:ext cx="2197100" cy="234950"/>
        </a:xfrm>
        <a:prstGeom prst="rect">
          <a:avLst/>
        </a:prstGeom>
        <a:noFill/>
        <a:ln w="12700">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7</xdr:col>
      <xdr:colOff>158750</xdr:colOff>
      <xdr:row>8</xdr:row>
      <xdr:rowOff>222250</xdr:rowOff>
    </xdr:from>
    <xdr:to>
      <xdr:col>13</xdr:col>
      <xdr:colOff>19050</xdr:colOff>
      <xdr:row>8</xdr:row>
      <xdr:rowOff>222250</xdr:rowOff>
    </xdr:to>
    <xdr:sp macro="" textlink="">
      <xdr:nvSpPr>
        <xdr:cNvPr id="1038" name="Line 14">
          <a:extLst>
            <a:ext uri="{FF2B5EF4-FFF2-40B4-BE49-F238E27FC236}">
              <a16:creationId xmlns:a16="http://schemas.microsoft.com/office/drawing/2014/main" id="{E12D764C-39F1-40C6-AA0A-781F4C48C8FF}"/>
            </a:ext>
          </a:extLst>
        </xdr:cNvPr>
        <xdr:cNvSpPr>
          <a:spLocks noChangeShapeType="1"/>
        </xdr:cNvSpPr>
      </xdr:nvSpPr>
      <xdr:spPr bwMode="auto">
        <a:xfrm>
          <a:off x="3435350" y="1492250"/>
          <a:ext cx="53403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596900</xdr:colOff>
      <xdr:row>8</xdr:row>
      <xdr:rowOff>57150</xdr:rowOff>
    </xdr:from>
    <xdr:to>
      <xdr:col>7</xdr:col>
      <xdr:colOff>596900</xdr:colOff>
      <xdr:row>15</xdr:row>
      <xdr:rowOff>25400</xdr:rowOff>
    </xdr:to>
    <xdr:sp macro="" textlink="">
      <xdr:nvSpPr>
        <xdr:cNvPr id="1039" name="Line 15">
          <a:extLst>
            <a:ext uri="{FF2B5EF4-FFF2-40B4-BE49-F238E27FC236}">
              <a16:creationId xmlns:a16="http://schemas.microsoft.com/office/drawing/2014/main" id="{C6CC2A61-F78C-4AE2-A992-BCC83777E6A2}"/>
            </a:ext>
          </a:extLst>
        </xdr:cNvPr>
        <xdr:cNvSpPr>
          <a:spLocks noChangeShapeType="1"/>
        </xdr:cNvSpPr>
      </xdr:nvSpPr>
      <xdr:spPr bwMode="auto">
        <a:xfrm>
          <a:off x="3873500" y="1327150"/>
          <a:ext cx="0" cy="165735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oneCellAnchor>
    <xdr:from>
      <xdr:col>8</xdr:col>
      <xdr:colOff>165100</xdr:colOff>
      <xdr:row>16</xdr:row>
      <xdr:rowOff>139700</xdr:rowOff>
    </xdr:from>
    <xdr:ext cx="580159" cy="264391"/>
    <xdr:sp macro="" textlink="">
      <xdr:nvSpPr>
        <xdr:cNvPr id="1040" name="Text Box 16">
          <a:extLst>
            <a:ext uri="{FF2B5EF4-FFF2-40B4-BE49-F238E27FC236}">
              <a16:creationId xmlns:a16="http://schemas.microsoft.com/office/drawing/2014/main" id="{AC1A85AF-EF55-4027-B159-ADF319E0A3A0}"/>
            </a:ext>
          </a:extLst>
        </xdr:cNvPr>
        <xdr:cNvSpPr txBox="1">
          <a:spLocks noChangeArrowheads="1"/>
        </xdr:cNvSpPr>
      </xdr:nvSpPr>
      <xdr:spPr bwMode="auto">
        <a:xfrm>
          <a:off x="4089400" y="3295650"/>
          <a:ext cx="577850" cy="2603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45720" tIns="0" rIns="0" bIns="45720" anchor="b" upright="1">
          <a:spAutoFit/>
        </a:bodyPr>
        <a:lstStyle/>
        <a:p>
          <a:pPr algn="l" rtl="0">
            <a:defRPr sz="1000"/>
          </a:pPr>
          <a:r>
            <a:rPr lang="en-GB" sz="1400" b="1" i="0" u="none" strike="noStrike" baseline="0">
              <a:solidFill>
                <a:srgbClr val="000000"/>
              </a:solidFill>
              <a:latin typeface="Trebuchet MS"/>
            </a:rPr>
            <a:t>I/YR =</a:t>
          </a:r>
        </a:p>
      </xdr:txBody>
    </xdr:sp>
    <xdr:clientData/>
  </xdr:oneCellAnchor>
  <xdr:twoCellAnchor>
    <xdr:from>
      <xdr:col>8</xdr:col>
      <xdr:colOff>146050</xdr:colOff>
      <xdr:row>17</xdr:row>
      <xdr:rowOff>0</xdr:rowOff>
    </xdr:from>
    <xdr:to>
      <xdr:col>10</xdr:col>
      <xdr:colOff>12700</xdr:colOff>
      <xdr:row>18</xdr:row>
      <xdr:rowOff>0</xdr:rowOff>
    </xdr:to>
    <xdr:sp macro="" textlink="">
      <xdr:nvSpPr>
        <xdr:cNvPr id="1041" name="Rectangle 17">
          <a:extLst>
            <a:ext uri="{FF2B5EF4-FFF2-40B4-BE49-F238E27FC236}">
              <a16:creationId xmlns:a16="http://schemas.microsoft.com/office/drawing/2014/main" id="{42B72B4C-EF4A-4407-A16F-87C0F910C96F}"/>
            </a:ext>
          </a:extLst>
        </xdr:cNvPr>
        <xdr:cNvSpPr>
          <a:spLocks noChangeArrowheads="1"/>
        </xdr:cNvSpPr>
      </xdr:nvSpPr>
      <xdr:spPr bwMode="auto">
        <a:xfrm>
          <a:off x="4070350" y="3314700"/>
          <a:ext cx="2152650" cy="241300"/>
        </a:xfrm>
        <a:prstGeom prst="rect">
          <a:avLst/>
        </a:prstGeom>
        <a:noFill/>
        <a:ln w="12700">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oneCellAnchor>
    <xdr:from>
      <xdr:col>9</xdr:col>
      <xdr:colOff>438150</xdr:colOff>
      <xdr:row>8</xdr:row>
      <xdr:rowOff>0</xdr:rowOff>
    </xdr:from>
    <xdr:ext cx="184150" cy="267854"/>
    <xdr:sp macro="" textlink="">
      <xdr:nvSpPr>
        <xdr:cNvPr id="1042" name="Text Box 18">
          <a:extLst>
            <a:ext uri="{FF2B5EF4-FFF2-40B4-BE49-F238E27FC236}">
              <a16:creationId xmlns:a16="http://schemas.microsoft.com/office/drawing/2014/main" id="{3FDF8E8A-EAB6-4437-9EB3-4F9581E01939}"/>
            </a:ext>
          </a:extLst>
        </xdr:cNvPr>
        <xdr:cNvSpPr txBox="1">
          <a:spLocks noChangeArrowheads="1"/>
        </xdr:cNvSpPr>
      </xdr:nvSpPr>
      <xdr:spPr bwMode="auto">
        <a:xfrm>
          <a:off x="4972050" y="1270000"/>
          <a:ext cx="184150" cy="2667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45720" tIns="45720" rIns="0" bIns="0" anchor="t" upright="1">
          <a:spAutoFit/>
        </a:bodyPr>
        <a:lstStyle/>
        <a:p>
          <a:pPr algn="l" rtl="0">
            <a:defRPr sz="1000"/>
          </a:pPr>
          <a:r>
            <a:rPr lang="en-GB" sz="1400" b="1" i="0" u="none" strike="noStrike" baseline="0">
              <a:solidFill>
                <a:srgbClr val="000000"/>
              </a:solidFill>
              <a:latin typeface="Trebuchet MS"/>
            </a:rPr>
            <a:t>$</a:t>
          </a:r>
        </a:p>
      </xdr:txBody>
    </xdr:sp>
    <xdr:clientData/>
  </xdr:oneCellAnchor>
  <xdr:twoCellAnchor>
    <xdr:from>
      <xdr:col>9</xdr:col>
      <xdr:colOff>539750</xdr:colOff>
      <xdr:row>11</xdr:row>
      <xdr:rowOff>57150</xdr:rowOff>
    </xdr:from>
    <xdr:to>
      <xdr:col>9</xdr:col>
      <xdr:colOff>539750</xdr:colOff>
      <xdr:row>13</xdr:row>
      <xdr:rowOff>184150</xdr:rowOff>
    </xdr:to>
    <xdr:sp macro="" textlink="">
      <xdr:nvSpPr>
        <xdr:cNvPr id="1043" name="Line 19">
          <a:extLst>
            <a:ext uri="{FF2B5EF4-FFF2-40B4-BE49-F238E27FC236}">
              <a16:creationId xmlns:a16="http://schemas.microsoft.com/office/drawing/2014/main" id="{30B629BC-EEAD-4481-A77C-87F928519918}"/>
            </a:ext>
          </a:extLst>
        </xdr:cNvPr>
        <xdr:cNvSpPr>
          <a:spLocks noChangeShapeType="1"/>
        </xdr:cNvSpPr>
      </xdr:nvSpPr>
      <xdr:spPr bwMode="auto">
        <a:xfrm>
          <a:off x="5073650" y="2051050"/>
          <a:ext cx="0" cy="60960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400050</xdr:colOff>
      <xdr:row>11</xdr:row>
      <xdr:rowOff>57150</xdr:rowOff>
    </xdr:from>
    <xdr:to>
      <xdr:col>7</xdr:col>
      <xdr:colOff>400050</xdr:colOff>
      <xdr:row>13</xdr:row>
      <xdr:rowOff>184150</xdr:rowOff>
    </xdr:to>
    <xdr:sp macro="" textlink="">
      <xdr:nvSpPr>
        <xdr:cNvPr id="1044" name="Line 20">
          <a:extLst>
            <a:ext uri="{FF2B5EF4-FFF2-40B4-BE49-F238E27FC236}">
              <a16:creationId xmlns:a16="http://schemas.microsoft.com/office/drawing/2014/main" id="{78F5DEA5-D704-46D8-B722-B8A5391C17A3}"/>
            </a:ext>
          </a:extLst>
        </xdr:cNvPr>
        <xdr:cNvSpPr>
          <a:spLocks noChangeShapeType="1"/>
        </xdr:cNvSpPr>
      </xdr:nvSpPr>
      <xdr:spPr bwMode="auto">
        <a:xfrm>
          <a:off x="3676650" y="2051050"/>
          <a:ext cx="0" cy="60960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177800</xdr:colOff>
      <xdr:row>19</xdr:row>
      <xdr:rowOff>95250</xdr:rowOff>
    </xdr:from>
    <xdr:to>
      <xdr:col>4</xdr:col>
      <xdr:colOff>1289050</xdr:colOff>
      <xdr:row>21</xdr:row>
      <xdr:rowOff>101600</xdr:rowOff>
    </xdr:to>
    <xdr:sp macro="[0]!_xludf.clear" textlink="">
      <xdr:nvSpPr>
        <xdr:cNvPr id="1045" name="AutoShape 21">
          <a:extLst>
            <a:ext uri="{FF2B5EF4-FFF2-40B4-BE49-F238E27FC236}">
              <a16:creationId xmlns:a16="http://schemas.microsoft.com/office/drawing/2014/main" id="{FD35694F-9EC9-4416-A289-7020A29C95A8}"/>
            </a:ext>
          </a:extLst>
        </xdr:cNvPr>
        <xdr:cNvSpPr>
          <a:spLocks noChangeArrowheads="1"/>
        </xdr:cNvSpPr>
      </xdr:nvSpPr>
      <xdr:spPr bwMode="auto">
        <a:xfrm>
          <a:off x="647700" y="3810000"/>
          <a:ext cx="2101850" cy="323850"/>
        </a:xfrm>
        <a:prstGeom prst="roundRect">
          <a:avLst>
            <a:gd name="adj" fmla="val 16667"/>
          </a:avLst>
        </a:prstGeom>
        <a:solidFill>
          <a:srgbClr xmlns:mc="http://schemas.openxmlformats.org/markup-compatibility/2006" xmlns:a14="http://schemas.microsoft.com/office/drawing/2010/main" val="0000FF" mc:Ignorable="a14" a14:legacySpreadsheetColorIndex="12"/>
        </a:solidFill>
        <a:ln w="28575">
          <a:solidFill>
            <a:srgbClr xmlns:mc="http://schemas.openxmlformats.org/markup-compatibility/2006" xmlns:a14="http://schemas.microsoft.com/office/drawing/2010/main" val="FF0000" mc:Ignorable="a14" a14:legacySpreadsheetColorIndex="10"/>
          </a:solidFill>
          <a:round/>
          <a:headEnd/>
          <a:tailEnd/>
        </a:ln>
      </xdr:spPr>
      <xdr:txBody>
        <a:bodyPr vertOverflow="clip" wrap="square" lIns="64008" tIns="50292" rIns="64008" bIns="50292" anchor="ctr" upright="1"/>
        <a:lstStyle/>
        <a:p>
          <a:pPr algn="ctr" rtl="0">
            <a:defRPr sz="1000"/>
          </a:pPr>
          <a:r>
            <a:rPr lang="en-GB" sz="1800" b="1" i="0" u="none" strike="noStrike" baseline="0">
              <a:solidFill>
                <a:srgbClr val="FFFFFF"/>
              </a:solidFill>
              <a:latin typeface="Trebuchet MS"/>
            </a:rPr>
            <a:t>Clear</a:t>
          </a:r>
        </a:p>
      </xdr:txBody>
    </xdr:sp>
    <xdr:clientData/>
  </xdr:twoCellAnchor>
  <xdr:twoCellAnchor>
    <xdr:from>
      <xdr:col>10</xdr:col>
      <xdr:colOff>190500</xdr:colOff>
      <xdr:row>19</xdr:row>
      <xdr:rowOff>95250</xdr:rowOff>
    </xdr:from>
    <xdr:to>
      <xdr:col>11</xdr:col>
      <xdr:colOff>431800</xdr:colOff>
      <xdr:row>21</xdr:row>
      <xdr:rowOff>101600</xdr:rowOff>
    </xdr:to>
    <xdr:sp macro="[0]!payment" textlink="">
      <xdr:nvSpPr>
        <xdr:cNvPr id="1052" name="AutoShape 28">
          <a:extLst>
            <a:ext uri="{FF2B5EF4-FFF2-40B4-BE49-F238E27FC236}">
              <a16:creationId xmlns:a16="http://schemas.microsoft.com/office/drawing/2014/main" id="{3C0D9F7D-A405-48F4-AB69-49D91A524E3D}"/>
            </a:ext>
          </a:extLst>
        </xdr:cNvPr>
        <xdr:cNvSpPr>
          <a:spLocks noChangeArrowheads="1"/>
        </xdr:cNvSpPr>
      </xdr:nvSpPr>
      <xdr:spPr bwMode="auto">
        <a:xfrm>
          <a:off x="6400800" y="3810000"/>
          <a:ext cx="571500" cy="323850"/>
        </a:xfrm>
        <a:prstGeom prst="roundRect">
          <a:avLst>
            <a:gd name="adj" fmla="val 16667"/>
          </a:avLst>
        </a:prstGeom>
        <a:solidFill>
          <a:srgbClr xmlns:mc="http://schemas.openxmlformats.org/markup-compatibility/2006" xmlns:a14="http://schemas.microsoft.com/office/drawing/2010/main" val="0000FF" mc:Ignorable="a14" a14:legacySpreadsheetColorIndex="12"/>
        </a:solidFill>
        <a:ln w="28575">
          <a:solidFill>
            <a:srgbClr xmlns:mc="http://schemas.openxmlformats.org/markup-compatibility/2006" xmlns:a14="http://schemas.microsoft.com/office/drawing/2010/main" val="FF0000" mc:Ignorable="a14" a14:legacySpreadsheetColorIndex="10"/>
          </a:solidFill>
          <a:round/>
          <a:headEnd/>
          <a:tailEnd/>
        </a:ln>
      </xdr:spPr>
      <xdr:txBody>
        <a:bodyPr vertOverflow="clip" wrap="square" lIns="45720" tIns="45720" rIns="45720" bIns="45720" anchor="ctr" upright="1"/>
        <a:lstStyle/>
        <a:p>
          <a:pPr algn="ctr" rtl="0">
            <a:defRPr sz="1000"/>
          </a:pPr>
          <a:r>
            <a:rPr lang="en-GB" sz="1400" b="1" i="0" u="none" strike="noStrike" baseline="0">
              <a:solidFill>
                <a:srgbClr val="FFFFFF"/>
              </a:solidFill>
              <a:latin typeface="Trebuchet MS"/>
            </a:rPr>
            <a:t>PMT</a:t>
          </a:r>
        </a:p>
      </xdr:txBody>
    </xdr:sp>
    <xdr:clientData/>
  </xdr:twoCellAnchor>
  <xdr:twoCellAnchor>
    <xdr:from>
      <xdr:col>8</xdr:col>
      <xdr:colOff>304800</xdr:colOff>
      <xdr:row>19</xdr:row>
      <xdr:rowOff>95250</xdr:rowOff>
    </xdr:from>
    <xdr:to>
      <xdr:col>9</xdr:col>
      <xdr:colOff>273050</xdr:colOff>
      <xdr:row>21</xdr:row>
      <xdr:rowOff>101600</xdr:rowOff>
    </xdr:to>
    <xdr:sp macro="[0]!_xludf.n" textlink="">
      <xdr:nvSpPr>
        <xdr:cNvPr id="1053" name="AutoShape 29">
          <a:extLst>
            <a:ext uri="{FF2B5EF4-FFF2-40B4-BE49-F238E27FC236}">
              <a16:creationId xmlns:a16="http://schemas.microsoft.com/office/drawing/2014/main" id="{031CF8E1-E612-44DC-9F14-89213B37EA45}"/>
            </a:ext>
          </a:extLst>
        </xdr:cNvPr>
        <xdr:cNvSpPr>
          <a:spLocks noChangeArrowheads="1"/>
        </xdr:cNvSpPr>
      </xdr:nvSpPr>
      <xdr:spPr bwMode="auto">
        <a:xfrm>
          <a:off x="4229100" y="3810000"/>
          <a:ext cx="577850" cy="323850"/>
        </a:xfrm>
        <a:prstGeom prst="roundRect">
          <a:avLst>
            <a:gd name="adj" fmla="val 16667"/>
          </a:avLst>
        </a:prstGeom>
        <a:solidFill>
          <a:srgbClr xmlns:mc="http://schemas.openxmlformats.org/markup-compatibility/2006" xmlns:a14="http://schemas.microsoft.com/office/drawing/2010/main" val="0000FF" mc:Ignorable="a14" a14:legacySpreadsheetColorIndex="12"/>
        </a:solidFill>
        <a:ln w="28575">
          <a:solidFill>
            <a:srgbClr xmlns:mc="http://schemas.openxmlformats.org/markup-compatibility/2006" xmlns:a14="http://schemas.microsoft.com/office/drawing/2010/main" val="FF0000" mc:Ignorable="a14" a14:legacySpreadsheetColorIndex="10"/>
          </a:solidFill>
          <a:round/>
          <a:headEnd/>
          <a:tailEnd/>
        </a:ln>
      </xdr:spPr>
      <xdr:txBody>
        <a:bodyPr vertOverflow="clip" wrap="square" lIns="45720" tIns="45720" rIns="45720" bIns="45720" anchor="ctr" upright="1"/>
        <a:lstStyle/>
        <a:p>
          <a:pPr algn="ctr" rtl="0">
            <a:defRPr sz="1000"/>
          </a:pPr>
          <a:r>
            <a:rPr lang="en-GB" sz="1400" b="1" i="0" u="none" strike="noStrike" baseline="0">
              <a:solidFill>
                <a:srgbClr val="FFFFFF"/>
              </a:solidFill>
              <a:latin typeface="Trebuchet MS"/>
            </a:rPr>
            <a:t>N</a:t>
          </a:r>
        </a:p>
      </xdr:txBody>
    </xdr:sp>
    <xdr:clientData/>
  </xdr:twoCellAnchor>
  <xdr:twoCellAnchor>
    <xdr:from>
      <xdr:col>9</xdr:col>
      <xdr:colOff>419100</xdr:colOff>
      <xdr:row>19</xdr:row>
      <xdr:rowOff>95250</xdr:rowOff>
    </xdr:from>
    <xdr:to>
      <xdr:col>9</xdr:col>
      <xdr:colOff>1009650</xdr:colOff>
      <xdr:row>21</xdr:row>
      <xdr:rowOff>101600</xdr:rowOff>
    </xdr:to>
    <xdr:sp macro="[0]!interestperyear" textlink="">
      <xdr:nvSpPr>
        <xdr:cNvPr id="1054" name="AutoShape 30">
          <a:extLst>
            <a:ext uri="{FF2B5EF4-FFF2-40B4-BE49-F238E27FC236}">
              <a16:creationId xmlns:a16="http://schemas.microsoft.com/office/drawing/2014/main" id="{2950EA77-DCF5-44BD-8B41-A77B96B9AC37}"/>
            </a:ext>
          </a:extLst>
        </xdr:cNvPr>
        <xdr:cNvSpPr>
          <a:spLocks noChangeArrowheads="1"/>
        </xdr:cNvSpPr>
      </xdr:nvSpPr>
      <xdr:spPr bwMode="auto">
        <a:xfrm>
          <a:off x="4953000" y="3810000"/>
          <a:ext cx="590550" cy="323850"/>
        </a:xfrm>
        <a:prstGeom prst="roundRect">
          <a:avLst>
            <a:gd name="adj" fmla="val 16667"/>
          </a:avLst>
        </a:prstGeom>
        <a:solidFill>
          <a:srgbClr xmlns:mc="http://schemas.openxmlformats.org/markup-compatibility/2006" xmlns:a14="http://schemas.microsoft.com/office/drawing/2010/main" val="0000FF" mc:Ignorable="a14" a14:legacySpreadsheetColorIndex="12"/>
        </a:solidFill>
        <a:ln w="28575">
          <a:solidFill>
            <a:srgbClr xmlns:mc="http://schemas.openxmlformats.org/markup-compatibility/2006" xmlns:a14="http://schemas.microsoft.com/office/drawing/2010/main" val="FF0000" mc:Ignorable="a14" a14:legacySpreadsheetColorIndex="10"/>
          </a:solidFill>
          <a:round/>
          <a:headEnd/>
          <a:tailEnd/>
        </a:ln>
      </xdr:spPr>
      <xdr:txBody>
        <a:bodyPr vertOverflow="clip" wrap="square" lIns="45720" tIns="45720" rIns="45720" bIns="45720" anchor="ctr" upright="1"/>
        <a:lstStyle/>
        <a:p>
          <a:pPr algn="ctr" rtl="0">
            <a:defRPr sz="1000"/>
          </a:pPr>
          <a:r>
            <a:rPr lang="en-GB" sz="1400" b="1" i="0" u="none" strike="noStrike" baseline="0">
              <a:solidFill>
                <a:srgbClr val="FFFFFF"/>
              </a:solidFill>
              <a:latin typeface="Trebuchet MS"/>
            </a:rPr>
            <a:t>I/YR</a:t>
          </a:r>
        </a:p>
      </xdr:txBody>
    </xdr:sp>
    <xdr:clientData/>
  </xdr:twoCellAnchor>
  <xdr:twoCellAnchor>
    <xdr:from>
      <xdr:col>9</xdr:col>
      <xdr:colOff>1136650</xdr:colOff>
      <xdr:row>19</xdr:row>
      <xdr:rowOff>95250</xdr:rowOff>
    </xdr:from>
    <xdr:to>
      <xdr:col>10</xdr:col>
      <xdr:colOff>50800</xdr:colOff>
      <xdr:row>21</xdr:row>
      <xdr:rowOff>101600</xdr:rowOff>
    </xdr:to>
    <xdr:sp macro="[0]!present" textlink="">
      <xdr:nvSpPr>
        <xdr:cNvPr id="1055" name="AutoShape 31">
          <a:extLst>
            <a:ext uri="{FF2B5EF4-FFF2-40B4-BE49-F238E27FC236}">
              <a16:creationId xmlns:a16="http://schemas.microsoft.com/office/drawing/2014/main" id="{6A423F62-CEBA-4BBC-9236-751F6312480C}"/>
            </a:ext>
          </a:extLst>
        </xdr:cNvPr>
        <xdr:cNvSpPr>
          <a:spLocks noChangeArrowheads="1"/>
        </xdr:cNvSpPr>
      </xdr:nvSpPr>
      <xdr:spPr bwMode="auto">
        <a:xfrm>
          <a:off x="5670550" y="3810000"/>
          <a:ext cx="590550" cy="323850"/>
        </a:xfrm>
        <a:prstGeom prst="roundRect">
          <a:avLst>
            <a:gd name="adj" fmla="val 16667"/>
          </a:avLst>
        </a:prstGeom>
        <a:solidFill>
          <a:srgbClr xmlns:mc="http://schemas.openxmlformats.org/markup-compatibility/2006" xmlns:a14="http://schemas.microsoft.com/office/drawing/2010/main" val="0000FF" mc:Ignorable="a14" a14:legacySpreadsheetColorIndex="12"/>
        </a:solidFill>
        <a:ln w="28575">
          <a:solidFill>
            <a:srgbClr xmlns:mc="http://schemas.openxmlformats.org/markup-compatibility/2006" xmlns:a14="http://schemas.microsoft.com/office/drawing/2010/main" val="FF0000" mc:Ignorable="a14" a14:legacySpreadsheetColorIndex="10"/>
          </a:solidFill>
          <a:round/>
          <a:headEnd/>
          <a:tailEnd/>
        </a:ln>
      </xdr:spPr>
      <xdr:txBody>
        <a:bodyPr vertOverflow="clip" wrap="square" lIns="45720" tIns="45720" rIns="45720" bIns="45720" anchor="ctr" upright="1"/>
        <a:lstStyle/>
        <a:p>
          <a:pPr algn="ctr" rtl="0">
            <a:defRPr sz="1000"/>
          </a:pPr>
          <a:r>
            <a:rPr lang="en-GB" sz="1400" b="1" i="0" u="none" strike="noStrike" baseline="0">
              <a:solidFill>
                <a:srgbClr val="FFFFFF"/>
              </a:solidFill>
              <a:latin typeface="Trebuchet MS"/>
            </a:rPr>
            <a:t>PV</a:t>
          </a:r>
        </a:p>
      </xdr:txBody>
    </xdr:sp>
    <xdr:clientData/>
  </xdr:twoCellAnchor>
  <xdr:twoCellAnchor>
    <xdr:from>
      <xdr:col>11</xdr:col>
      <xdr:colOff>552450</xdr:colOff>
      <xdr:row>19</xdr:row>
      <xdr:rowOff>95250</xdr:rowOff>
    </xdr:from>
    <xdr:to>
      <xdr:col>12</xdr:col>
      <xdr:colOff>527050</xdr:colOff>
      <xdr:row>21</xdr:row>
      <xdr:rowOff>101600</xdr:rowOff>
    </xdr:to>
    <xdr:sp macro="[0]!future" textlink="">
      <xdr:nvSpPr>
        <xdr:cNvPr id="1056" name="AutoShape 32">
          <a:extLst>
            <a:ext uri="{FF2B5EF4-FFF2-40B4-BE49-F238E27FC236}">
              <a16:creationId xmlns:a16="http://schemas.microsoft.com/office/drawing/2014/main" id="{5DE31DE0-63C4-4285-AE37-7A5C3FAABC01}"/>
            </a:ext>
          </a:extLst>
        </xdr:cNvPr>
        <xdr:cNvSpPr>
          <a:spLocks noChangeArrowheads="1"/>
        </xdr:cNvSpPr>
      </xdr:nvSpPr>
      <xdr:spPr bwMode="auto">
        <a:xfrm>
          <a:off x="7092950" y="3810000"/>
          <a:ext cx="584200" cy="323850"/>
        </a:xfrm>
        <a:prstGeom prst="roundRect">
          <a:avLst>
            <a:gd name="adj" fmla="val 16667"/>
          </a:avLst>
        </a:prstGeom>
        <a:solidFill>
          <a:srgbClr xmlns:mc="http://schemas.openxmlformats.org/markup-compatibility/2006" xmlns:a14="http://schemas.microsoft.com/office/drawing/2010/main" val="0000FF" mc:Ignorable="a14" a14:legacySpreadsheetColorIndex="12"/>
        </a:solidFill>
        <a:ln w="28575">
          <a:solidFill>
            <a:srgbClr xmlns:mc="http://schemas.openxmlformats.org/markup-compatibility/2006" xmlns:a14="http://schemas.microsoft.com/office/drawing/2010/main" val="FF0000" mc:Ignorable="a14" a14:legacySpreadsheetColorIndex="10"/>
          </a:solidFill>
          <a:round/>
          <a:headEnd/>
          <a:tailEnd/>
        </a:ln>
      </xdr:spPr>
      <xdr:txBody>
        <a:bodyPr vertOverflow="clip" wrap="square" lIns="45720" tIns="45720" rIns="45720" bIns="45720" anchor="ctr" upright="1"/>
        <a:lstStyle/>
        <a:p>
          <a:pPr algn="ctr" rtl="0">
            <a:defRPr sz="1000"/>
          </a:pPr>
          <a:r>
            <a:rPr lang="en-GB" sz="1400" b="1" i="0" u="none" strike="noStrike" baseline="0">
              <a:solidFill>
                <a:srgbClr val="FFFFFF"/>
              </a:solidFill>
              <a:latin typeface="Trebuchet MS"/>
            </a:rPr>
            <a:t>FV</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469900</xdr:colOff>
      <xdr:row>8</xdr:row>
      <xdr:rowOff>152400</xdr:rowOff>
    </xdr:from>
    <xdr:to>
      <xdr:col>3</xdr:col>
      <xdr:colOff>419100</xdr:colOff>
      <xdr:row>10</xdr:row>
      <xdr:rowOff>76200</xdr:rowOff>
    </xdr:to>
    <xdr:sp macro="[0]!clearn" textlink="">
      <xdr:nvSpPr>
        <xdr:cNvPr id="4097" name="AutoShape 1">
          <a:extLst>
            <a:ext uri="{FF2B5EF4-FFF2-40B4-BE49-F238E27FC236}">
              <a16:creationId xmlns:a16="http://schemas.microsoft.com/office/drawing/2014/main" id="{E0244BEE-CCA1-42A9-8D18-8EE9757FAF36}"/>
            </a:ext>
          </a:extLst>
        </xdr:cNvPr>
        <xdr:cNvSpPr>
          <a:spLocks noChangeArrowheads="1"/>
        </xdr:cNvSpPr>
      </xdr:nvSpPr>
      <xdr:spPr bwMode="auto">
        <a:xfrm>
          <a:off x="1079500" y="1504950"/>
          <a:ext cx="1270000" cy="406400"/>
        </a:xfrm>
        <a:prstGeom prst="roundRect">
          <a:avLst>
            <a:gd name="adj" fmla="val 16667"/>
          </a:avLst>
        </a:prstGeom>
        <a:solidFill>
          <a:srgbClr xmlns:mc="http://schemas.openxmlformats.org/markup-compatibility/2006" xmlns:a14="http://schemas.microsoft.com/office/drawing/2010/main" val="0000FF" mc:Ignorable="a14" a14:legacySpreadsheetColorIndex="12"/>
        </a:solidFill>
        <a:ln w="38100">
          <a:solidFill>
            <a:srgbClr xmlns:mc="http://schemas.openxmlformats.org/markup-compatibility/2006" xmlns:a14="http://schemas.microsoft.com/office/drawing/2010/main" val="FF0000" mc:Ignorable="a14" a14:legacySpreadsheetColorIndex="10"/>
          </a:solidFill>
          <a:round/>
          <a:headEnd/>
          <a:tailEnd/>
        </a:ln>
      </xdr:spPr>
      <xdr:txBody>
        <a:bodyPr vertOverflow="clip" wrap="square" lIns="64008" tIns="50292" rIns="64008" bIns="50292" anchor="ctr" upright="1"/>
        <a:lstStyle/>
        <a:p>
          <a:pPr algn="ctr" rtl="0">
            <a:defRPr sz="1000"/>
          </a:pPr>
          <a:r>
            <a:rPr lang="en-GB" sz="1800" b="1" i="0" u="none" strike="noStrike" baseline="0">
              <a:solidFill>
                <a:srgbClr val="FFFFFF"/>
              </a:solidFill>
              <a:latin typeface="Trebuchet MS"/>
            </a:rPr>
            <a:t>Clear</a:t>
          </a:r>
        </a:p>
      </xdr:txBody>
    </xdr:sp>
    <xdr:clientData/>
  </xdr:twoCellAnchor>
  <xdr:twoCellAnchor>
    <xdr:from>
      <xdr:col>1</xdr:col>
      <xdr:colOff>469900</xdr:colOff>
      <xdr:row>11</xdr:row>
      <xdr:rowOff>146050</xdr:rowOff>
    </xdr:from>
    <xdr:to>
      <xdr:col>3</xdr:col>
      <xdr:colOff>419100</xdr:colOff>
      <xdr:row>13</xdr:row>
      <xdr:rowOff>69850</xdr:rowOff>
    </xdr:to>
    <xdr:sp macro="[0]!net" textlink="">
      <xdr:nvSpPr>
        <xdr:cNvPr id="4098" name="AutoShape 2">
          <a:extLst>
            <a:ext uri="{FF2B5EF4-FFF2-40B4-BE49-F238E27FC236}">
              <a16:creationId xmlns:a16="http://schemas.microsoft.com/office/drawing/2014/main" id="{94567E46-832F-4159-BD2D-2242A49F1FAA}"/>
            </a:ext>
          </a:extLst>
        </xdr:cNvPr>
        <xdr:cNvSpPr>
          <a:spLocks noChangeArrowheads="1"/>
        </xdr:cNvSpPr>
      </xdr:nvSpPr>
      <xdr:spPr bwMode="auto">
        <a:xfrm>
          <a:off x="1079500" y="2222500"/>
          <a:ext cx="1270000" cy="406400"/>
        </a:xfrm>
        <a:prstGeom prst="roundRect">
          <a:avLst>
            <a:gd name="adj" fmla="val 16667"/>
          </a:avLst>
        </a:prstGeom>
        <a:solidFill>
          <a:srgbClr xmlns:mc="http://schemas.openxmlformats.org/markup-compatibility/2006" xmlns:a14="http://schemas.microsoft.com/office/drawing/2010/main" val="0000FF" mc:Ignorable="a14" a14:legacySpreadsheetColorIndex="12"/>
        </a:solidFill>
        <a:ln w="38100">
          <a:solidFill>
            <a:srgbClr xmlns:mc="http://schemas.openxmlformats.org/markup-compatibility/2006" xmlns:a14="http://schemas.microsoft.com/office/drawing/2010/main" val="FF0000" mc:Ignorable="a14" a14:legacySpreadsheetColorIndex="10"/>
          </a:solidFill>
          <a:round/>
          <a:headEnd/>
          <a:tailEnd/>
        </a:ln>
      </xdr:spPr>
      <xdr:txBody>
        <a:bodyPr vertOverflow="clip" wrap="square" lIns="64008" tIns="50292" rIns="64008" bIns="50292" anchor="ctr" upright="1"/>
        <a:lstStyle/>
        <a:p>
          <a:pPr algn="ctr" rtl="0">
            <a:defRPr sz="1000"/>
          </a:pPr>
          <a:r>
            <a:rPr lang="en-GB" sz="1800" b="1" i="0" u="none" strike="noStrike" baseline="0">
              <a:solidFill>
                <a:srgbClr val="FFFFFF"/>
              </a:solidFill>
              <a:latin typeface="Trebuchet MS"/>
            </a:rPr>
            <a:t>NPV</a:t>
          </a:r>
        </a:p>
      </xdr:txBody>
    </xdr:sp>
    <xdr:clientData/>
  </xdr:twoCellAnchor>
  <xdr:twoCellAnchor>
    <xdr:from>
      <xdr:col>1</xdr:col>
      <xdr:colOff>469900</xdr:colOff>
      <xdr:row>14</xdr:row>
      <xdr:rowOff>146050</xdr:rowOff>
    </xdr:from>
    <xdr:to>
      <xdr:col>3</xdr:col>
      <xdr:colOff>419100</xdr:colOff>
      <xdr:row>16</xdr:row>
      <xdr:rowOff>69850</xdr:rowOff>
    </xdr:to>
    <xdr:sp macro="[0]!ir" textlink="">
      <xdr:nvSpPr>
        <xdr:cNvPr id="4099" name="AutoShape 3">
          <a:extLst>
            <a:ext uri="{FF2B5EF4-FFF2-40B4-BE49-F238E27FC236}">
              <a16:creationId xmlns:a16="http://schemas.microsoft.com/office/drawing/2014/main" id="{ADC07707-64FB-442E-9F2A-0F1EBB3C847E}"/>
            </a:ext>
          </a:extLst>
        </xdr:cNvPr>
        <xdr:cNvSpPr>
          <a:spLocks noChangeArrowheads="1"/>
        </xdr:cNvSpPr>
      </xdr:nvSpPr>
      <xdr:spPr bwMode="auto">
        <a:xfrm>
          <a:off x="1079500" y="2946400"/>
          <a:ext cx="1270000" cy="406400"/>
        </a:xfrm>
        <a:prstGeom prst="roundRect">
          <a:avLst>
            <a:gd name="adj" fmla="val 16667"/>
          </a:avLst>
        </a:prstGeom>
        <a:solidFill>
          <a:srgbClr xmlns:mc="http://schemas.openxmlformats.org/markup-compatibility/2006" xmlns:a14="http://schemas.microsoft.com/office/drawing/2010/main" val="0000FF" mc:Ignorable="a14" a14:legacySpreadsheetColorIndex="12"/>
        </a:solidFill>
        <a:ln w="38100">
          <a:solidFill>
            <a:srgbClr xmlns:mc="http://schemas.openxmlformats.org/markup-compatibility/2006" xmlns:a14="http://schemas.microsoft.com/office/drawing/2010/main" val="FF0000" mc:Ignorable="a14" a14:legacySpreadsheetColorIndex="10"/>
          </a:solidFill>
          <a:round/>
          <a:headEnd/>
          <a:tailEnd/>
        </a:ln>
      </xdr:spPr>
      <xdr:txBody>
        <a:bodyPr vertOverflow="clip" wrap="square" lIns="64008" tIns="50292" rIns="64008" bIns="50292" anchor="ctr" upright="1"/>
        <a:lstStyle/>
        <a:p>
          <a:pPr algn="ctr" rtl="0">
            <a:defRPr sz="1000"/>
          </a:pPr>
          <a:r>
            <a:rPr lang="en-GB" sz="1800" b="1" i="0" u="none" strike="noStrike" baseline="0">
              <a:solidFill>
                <a:srgbClr val="FFFFFF"/>
              </a:solidFill>
              <a:latin typeface="Trebuchet MS"/>
            </a:rPr>
            <a:t>IRR</a:t>
          </a:r>
        </a:p>
      </xdr:txBody>
    </xdr:sp>
    <xdr:clientData/>
  </xdr:twoCellAnchor>
  <xdr:twoCellAnchor>
    <xdr:from>
      <xdr:col>5</xdr:col>
      <xdr:colOff>50800</xdr:colOff>
      <xdr:row>7</xdr:row>
      <xdr:rowOff>222250</xdr:rowOff>
    </xdr:from>
    <xdr:to>
      <xdr:col>9</xdr:col>
      <xdr:colOff>50800</xdr:colOff>
      <xdr:row>7</xdr:row>
      <xdr:rowOff>222250</xdr:rowOff>
    </xdr:to>
    <xdr:sp macro="" textlink="">
      <xdr:nvSpPr>
        <xdr:cNvPr id="4100" name="Line 4">
          <a:extLst>
            <a:ext uri="{FF2B5EF4-FFF2-40B4-BE49-F238E27FC236}">
              <a16:creationId xmlns:a16="http://schemas.microsoft.com/office/drawing/2014/main" id="{911ABEFE-AA70-42AF-A594-3F11C4B00DEE}"/>
            </a:ext>
          </a:extLst>
        </xdr:cNvPr>
        <xdr:cNvSpPr>
          <a:spLocks noChangeShapeType="1"/>
        </xdr:cNvSpPr>
      </xdr:nvSpPr>
      <xdr:spPr bwMode="auto">
        <a:xfrm flipV="1">
          <a:off x="3721100" y="1333500"/>
          <a:ext cx="56197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425450</xdr:colOff>
      <xdr:row>7</xdr:row>
      <xdr:rowOff>57150</xdr:rowOff>
    </xdr:from>
    <xdr:to>
      <xdr:col>5</xdr:col>
      <xdr:colOff>425450</xdr:colOff>
      <xdr:row>19</xdr:row>
      <xdr:rowOff>6350</xdr:rowOff>
    </xdr:to>
    <xdr:sp macro="" textlink="">
      <xdr:nvSpPr>
        <xdr:cNvPr id="4101" name="Line 5">
          <a:extLst>
            <a:ext uri="{FF2B5EF4-FFF2-40B4-BE49-F238E27FC236}">
              <a16:creationId xmlns:a16="http://schemas.microsoft.com/office/drawing/2014/main" id="{0845D70B-E67E-45D2-A065-BDE57DCBC745}"/>
            </a:ext>
          </a:extLst>
        </xdr:cNvPr>
        <xdr:cNvSpPr>
          <a:spLocks noChangeShapeType="1"/>
        </xdr:cNvSpPr>
      </xdr:nvSpPr>
      <xdr:spPr bwMode="auto">
        <a:xfrm>
          <a:off x="4095750" y="1168400"/>
          <a:ext cx="0" cy="284480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107950</xdr:colOff>
      <xdr:row>12</xdr:row>
      <xdr:rowOff>101600</xdr:rowOff>
    </xdr:from>
    <xdr:to>
      <xdr:col>4</xdr:col>
      <xdr:colOff>539750</xdr:colOff>
      <xdr:row>14</xdr:row>
      <xdr:rowOff>107950</xdr:rowOff>
    </xdr:to>
    <xdr:sp macro="[0]!clearir" textlink="">
      <xdr:nvSpPr>
        <xdr:cNvPr id="9217" name="AutoShape 1">
          <a:extLst>
            <a:ext uri="{FF2B5EF4-FFF2-40B4-BE49-F238E27FC236}">
              <a16:creationId xmlns:a16="http://schemas.microsoft.com/office/drawing/2014/main" id="{BCFB1728-3413-4E0D-9D2A-26C28A345CFE}"/>
            </a:ext>
          </a:extLst>
        </xdr:cNvPr>
        <xdr:cNvSpPr>
          <a:spLocks noChangeArrowheads="1"/>
        </xdr:cNvSpPr>
      </xdr:nvSpPr>
      <xdr:spPr bwMode="auto">
        <a:xfrm>
          <a:off x="889000" y="2349500"/>
          <a:ext cx="1714500" cy="400050"/>
        </a:xfrm>
        <a:prstGeom prst="roundRect">
          <a:avLst>
            <a:gd name="adj" fmla="val 16667"/>
          </a:avLst>
        </a:prstGeom>
        <a:solidFill>
          <a:srgbClr xmlns:mc="http://schemas.openxmlformats.org/markup-compatibility/2006" xmlns:a14="http://schemas.microsoft.com/office/drawing/2010/main" val="0000FF" mc:Ignorable="a14" a14:legacySpreadsheetColorIndex="12"/>
        </a:solidFill>
        <a:ln w="28575">
          <a:solidFill>
            <a:srgbClr xmlns:mc="http://schemas.openxmlformats.org/markup-compatibility/2006" xmlns:a14="http://schemas.microsoft.com/office/drawing/2010/main" val="FF0000" mc:Ignorable="a14" a14:legacySpreadsheetColorIndex="10"/>
          </a:solidFill>
          <a:round/>
          <a:headEnd/>
          <a:tailEnd/>
        </a:ln>
      </xdr:spPr>
      <xdr:txBody>
        <a:bodyPr vertOverflow="clip" wrap="square" lIns="54864" tIns="45720" rIns="54864" bIns="45720" anchor="ctr" upright="1"/>
        <a:lstStyle/>
        <a:p>
          <a:pPr algn="ctr" rtl="0">
            <a:defRPr sz="1000"/>
          </a:pPr>
          <a:r>
            <a:rPr lang="en-GB" sz="1600" b="0" i="0" u="none" strike="noStrike" baseline="0">
              <a:solidFill>
                <a:srgbClr val="FFFFFF"/>
              </a:solidFill>
              <a:latin typeface="Trebuchet MS"/>
            </a:rPr>
            <a:t>Clear and Reset</a:t>
          </a:r>
        </a:p>
      </xdr:txBody>
    </xdr:sp>
    <xdr:clientData/>
  </xdr:twoCellAnchor>
  <xdr:twoCellAnchor>
    <xdr:from>
      <xdr:col>2</xdr:col>
      <xdr:colOff>107950</xdr:colOff>
      <xdr:row>15</xdr:row>
      <xdr:rowOff>107950</xdr:rowOff>
    </xdr:from>
    <xdr:to>
      <xdr:col>4</xdr:col>
      <xdr:colOff>539750</xdr:colOff>
      <xdr:row>17</xdr:row>
      <xdr:rowOff>114300</xdr:rowOff>
    </xdr:to>
    <xdr:sp macro="[0]!netpv" textlink="">
      <xdr:nvSpPr>
        <xdr:cNvPr id="9218" name="AutoShape 2">
          <a:extLst>
            <a:ext uri="{FF2B5EF4-FFF2-40B4-BE49-F238E27FC236}">
              <a16:creationId xmlns:a16="http://schemas.microsoft.com/office/drawing/2014/main" id="{809B0A0E-7EF4-49EB-9E9B-EADF7F36D464}"/>
            </a:ext>
          </a:extLst>
        </xdr:cNvPr>
        <xdr:cNvSpPr>
          <a:spLocks noChangeArrowheads="1"/>
        </xdr:cNvSpPr>
      </xdr:nvSpPr>
      <xdr:spPr bwMode="auto">
        <a:xfrm>
          <a:off x="889000" y="2946400"/>
          <a:ext cx="1714500" cy="400050"/>
        </a:xfrm>
        <a:prstGeom prst="roundRect">
          <a:avLst>
            <a:gd name="adj" fmla="val 16667"/>
          </a:avLst>
        </a:prstGeom>
        <a:solidFill>
          <a:srgbClr xmlns:mc="http://schemas.openxmlformats.org/markup-compatibility/2006" xmlns:a14="http://schemas.microsoft.com/office/drawing/2010/main" val="0000FF" mc:Ignorable="a14" a14:legacySpreadsheetColorIndex="12"/>
        </a:solidFill>
        <a:ln w="28575">
          <a:solidFill>
            <a:srgbClr xmlns:mc="http://schemas.openxmlformats.org/markup-compatibility/2006" xmlns:a14="http://schemas.microsoft.com/office/drawing/2010/main" val="FF0000" mc:Ignorable="a14" a14:legacySpreadsheetColorIndex="10"/>
          </a:solidFill>
          <a:round/>
          <a:headEnd/>
          <a:tailEnd/>
        </a:ln>
      </xdr:spPr>
      <xdr:txBody>
        <a:bodyPr vertOverflow="clip" wrap="square" lIns="54864" tIns="45720" rIns="54864" bIns="45720" anchor="ctr" upright="1"/>
        <a:lstStyle/>
        <a:p>
          <a:pPr algn="ctr" rtl="0">
            <a:defRPr sz="1000"/>
          </a:pPr>
          <a:r>
            <a:rPr lang="en-GB" sz="1600" b="0" i="0" u="none" strike="noStrike" baseline="0">
              <a:solidFill>
                <a:srgbClr val="FFFFFF"/>
              </a:solidFill>
              <a:latin typeface="Trebuchet MS"/>
            </a:rPr>
            <a:t>NPV</a:t>
          </a:r>
        </a:p>
      </xdr:txBody>
    </xdr:sp>
    <xdr:clientData/>
  </xdr:twoCellAnchor>
  <xdr:twoCellAnchor>
    <xdr:from>
      <xdr:col>2</xdr:col>
      <xdr:colOff>107950</xdr:colOff>
      <xdr:row>18</xdr:row>
      <xdr:rowOff>133350</xdr:rowOff>
    </xdr:from>
    <xdr:to>
      <xdr:col>4</xdr:col>
      <xdr:colOff>539750</xdr:colOff>
      <xdr:row>20</xdr:row>
      <xdr:rowOff>139700</xdr:rowOff>
    </xdr:to>
    <xdr:sp macro="[0]!irrr" textlink="">
      <xdr:nvSpPr>
        <xdr:cNvPr id="9219" name="AutoShape 3">
          <a:extLst>
            <a:ext uri="{FF2B5EF4-FFF2-40B4-BE49-F238E27FC236}">
              <a16:creationId xmlns:a16="http://schemas.microsoft.com/office/drawing/2014/main" id="{261D4264-96FF-4F55-AC4A-B0E0FE4B0300}"/>
            </a:ext>
          </a:extLst>
        </xdr:cNvPr>
        <xdr:cNvSpPr>
          <a:spLocks noChangeArrowheads="1"/>
        </xdr:cNvSpPr>
      </xdr:nvSpPr>
      <xdr:spPr bwMode="auto">
        <a:xfrm>
          <a:off x="889000" y="3562350"/>
          <a:ext cx="1714500" cy="400050"/>
        </a:xfrm>
        <a:prstGeom prst="roundRect">
          <a:avLst>
            <a:gd name="adj" fmla="val 16667"/>
          </a:avLst>
        </a:prstGeom>
        <a:solidFill>
          <a:srgbClr xmlns:mc="http://schemas.openxmlformats.org/markup-compatibility/2006" xmlns:a14="http://schemas.microsoft.com/office/drawing/2010/main" val="0000FF" mc:Ignorable="a14" a14:legacySpreadsheetColorIndex="12"/>
        </a:solidFill>
        <a:ln w="28575">
          <a:solidFill>
            <a:srgbClr xmlns:mc="http://schemas.openxmlformats.org/markup-compatibility/2006" xmlns:a14="http://schemas.microsoft.com/office/drawing/2010/main" val="FF0000" mc:Ignorable="a14" a14:legacySpreadsheetColorIndex="10"/>
          </a:solidFill>
          <a:round/>
          <a:headEnd/>
          <a:tailEnd/>
        </a:ln>
      </xdr:spPr>
      <xdr:txBody>
        <a:bodyPr vertOverflow="clip" wrap="square" lIns="54864" tIns="45720" rIns="54864" bIns="45720" anchor="ctr" upright="1"/>
        <a:lstStyle/>
        <a:p>
          <a:pPr algn="ctr" rtl="0">
            <a:defRPr sz="1000"/>
          </a:pPr>
          <a:r>
            <a:rPr lang="en-GB" sz="1600" b="0" i="0" u="none" strike="noStrike" baseline="0">
              <a:solidFill>
                <a:srgbClr val="FFFFFF"/>
              </a:solidFill>
              <a:latin typeface="Trebuchet MS"/>
            </a:rPr>
            <a:t>IRR</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57150</xdr:colOff>
      <xdr:row>0</xdr:row>
      <xdr:rowOff>76200</xdr:rowOff>
    </xdr:from>
    <xdr:to>
      <xdr:col>8</xdr:col>
      <xdr:colOff>565150</xdr:colOff>
      <xdr:row>3</xdr:row>
      <xdr:rowOff>95250</xdr:rowOff>
    </xdr:to>
    <xdr:sp macro="" textlink="">
      <xdr:nvSpPr>
        <xdr:cNvPr id="2049" name="AutoShape 1">
          <a:extLst>
            <a:ext uri="{FF2B5EF4-FFF2-40B4-BE49-F238E27FC236}">
              <a16:creationId xmlns:a16="http://schemas.microsoft.com/office/drawing/2014/main" id="{C426CC13-59D7-4D3F-93F6-CC351C95D66E}"/>
            </a:ext>
          </a:extLst>
        </xdr:cNvPr>
        <xdr:cNvSpPr>
          <a:spLocks noChangeArrowheads="1"/>
        </xdr:cNvSpPr>
      </xdr:nvSpPr>
      <xdr:spPr bwMode="auto">
        <a:xfrm>
          <a:off x="1562100" y="76200"/>
          <a:ext cx="7315200" cy="495300"/>
        </a:xfrm>
        <a:prstGeom prst="roundRect">
          <a:avLst>
            <a:gd name="adj" fmla="val 16667"/>
          </a:avLst>
        </a:prstGeom>
        <a:solidFill>
          <a:srgbClr xmlns:mc="http://schemas.openxmlformats.org/markup-compatibility/2006" xmlns:a14="http://schemas.microsoft.com/office/drawing/2010/main" val="0000FF" mc:Ignorable="a14" a14:legacySpreadsheetColorIndex="12"/>
        </a:solidFill>
        <a:ln w="38100">
          <a:solidFill>
            <a:srgbClr xmlns:mc="http://schemas.openxmlformats.org/markup-compatibility/2006" xmlns:a14="http://schemas.microsoft.com/office/drawing/2010/main" val="FF0000" mc:Ignorable="a14" a14:legacySpreadsheetColorIndex="10"/>
          </a:solidFill>
          <a:round/>
          <a:headEnd/>
          <a:tailEnd/>
        </a:ln>
      </xdr:spPr>
    </xdr:sp>
    <xdr:clientData/>
  </xdr:twoCellAnchor>
  <xdr:oneCellAnchor>
    <xdr:from>
      <xdr:col>0</xdr:col>
      <xdr:colOff>12700</xdr:colOff>
      <xdr:row>5</xdr:row>
      <xdr:rowOff>0</xdr:rowOff>
    </xdr:from>
    <xdr:ext cx="2641600" cy="939800"/>
    <xdr:sp macro="" textlink="">
      <xdr:nvSpPr>
        <xdr:cNvPr id="2050" name="Text Box 2">
          <a:extLst>
            <a:ext uri="{FF2B5EF4-FFF2-40B4-BE49-F238E27FC236}">
              <a16:creationId xmlns:a16="http://schemas.microsoft.com/office/drawing/2014/main" id="{DED115E8-C5BA-4951-BD6A-1693E383C969}"/>
            </a:ext>
          </a:extLst>
        </xdr:cNvPr>
        <xdr:cNvSpPr txBox="1">
          <a:spLocks noChangeArrowheads="1"/>
        </xdr:cNvSpPr>
      </xdr:nvSpPr>
      <xdr:spPr bwMode="auto">
        <a:xfrm>
          <a:off x="12700" y="800100"/>
          <a:ext cx="2641600" cy="9398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36576" tIns="0" rIns="0" bIns="41148" anchor="b" upright="1">
          <a:spAutoFit/>
        </a:bodyPr>
        <a:lstStyle/>
        <a:p>
          <a:pPr algn="l" rtl="0">
            <a:defRPr sz="1000"/>
          </a:pPr>
          <a:r>
            <a:rPr lang="en-GB" sz="1400" b="1" i="0" u="none" strike="noStrike" baseline="0">
              <a:solidFill>
                <a:srgbClr val="0000FF"/>
              </a:solidFill>
              <a:latin typeface="Arial"/>
              <a:cs typeface="Arial"/>
            </a:rPr>
            <a:t>Number of Payments Per Year</a:t>
          </a:r>
        </a:p>
        <a:p>
          <a:pPr algn="l" rtl="0">
            <a:defRPr sz="1000"/>
          </a:pPr>
          <a:r>
            <a:rPr lang="en-GB" sz="1400" b="1" i="0" u="none" strike="noStrike" baseline="0">
              <a:solidFill>
                <a:srgbClr val="0000FF"/>
              </a:solidFill>
              <a:latin typeface="Arial"/>
              <a:cs typeface="Arial"/>
            </a:rPr>
            <a:t>Amortization Period (Years)</a:t>
          </a:r>
        </a:p>
        <a:p>
          <a:pPr algn="l" rtl="0">
            <a:defRPr sz="1000"/>
          </a:pPr>
          <a:r>
            <a:rPr lang="en-GB" sz="1400" b="1" i="0" u="none" strike="noStrike" baseline="0">
              <a:solidFill>
                <a:srgbClr val="0000FF"/>
              </a:solidFill>
              <a:latin typeface="Arial"/>
              <a:cs typeface="Arial"/>
            </a:rPr>
            <a:t>Loan Amount</a:t>
          </a:r>
        </a:p>
        <a:p>
          <a:pPr algn="l" rtl="0">
            <a:defRPr sz="1000"/>
          </a:pPr>
          <a:r>
            <a:rPr lang="en-GB" sz="1400" b="1" i="0" u="none" strike="noStrike" baseline="0">
              <a:solidFill>
                <a:srgbClr val="0000FF"/>
              </a:solidFill>
              <a:latin typeface="Arial"/>
              <a:cs typeface="Arial"/>
            </a:rPr>
            <a:t>Annual Interest Rate</a:t>
          </a:r>
        </a:p>
      </xdr:txBody>
    </xdr:sp>
    <xdr:clientData/>
  </xdr:oneCellAnchor>
  <xdr:oneCellAnchor>
    <xdr:from>
      <xdr:col>0</xdr:col>
      <xdr:colOff>101600</xdr:colOff>
      <xdr:row>12</xdr:row>
      <xdr:rowOff>0</xdr:rowOff>
    </xdr:from>
    <xdr:ext cx="552450" cy="222250"/>
    <xdr:sp macro="" textlink="">
      <xdr:nvSpPr>
        <xdr:cNvPr id="2051" name="Text Box 3">
          <a:extLst>
            <a:ext uri="{FF2B5EF4-FFF2-40B4-BE49-F238E27FC236}">
              <a16:creationId xmlns:a16="http://schemas.microsoft.com/office/drawing/2014/main" id="{7B816AB6-0AE2-4232-8FC5-3290EC98241B}"/>
            </a:ext>
          </a:extLst>
        </xdr:cNvPr>
        <xdr:cNvSpPr txBox="1">
          <a:spLocks noChangeArrowheads="1"/>
        </xdr:cNvSpPr>
      </xdr:nvSpPr>
      <xdr:spPr bwMode="auto">
        <a:xfrm>
          <a:off x="101600" y="2292350"/>
          <a:ext cx="552450" cy="2222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36576" tIns="0" rIns="0" bIns="36576" anchor="b" upright="1">
          <a:spAutoFit/>
        </a:bodyPr>
        <a:lstStyle/>
        <a:p>
          <a:pPr algn="l" rtl="0">
            <a:defRPr sz="1000"/>
          </a:pPr>
          <a:r>
            <a:rPr lang="en-GB" sz="1200" b="1" i="0" u="none" strike="noStrike" baseline="0">
              <a:solidFill>
                <a:srgbClr val="0000FF"/>
              </a:solidFill>
              <a:latin typeface="Arial"/>
              <a:cs typeface="Arial"/>
            </a:rPr>
            <a:t>Period</a:t>
          </a:r>
        </a:p>
      </xdr:txBody>
    </xdr:sp>
    <xdr:clientData/>
  </xdr:oneCellAnchor>
  <xdr:oneCellAnchor>
    <xdr:from>
      <xdr:col>2</xdr:col>
      <xdr:colOff>520700</xdr:colOff>
      <xdr:row>10</xdr:row>
      <xdr:rowOff>88900</xdr:rowOff>
    </xdr:from>
    <xdr:ext cx="831850" cy="419100"/>
    <xdr:sp macro="" textlink="">
      <xdr:nvSpPr>
        <xdr:cNvPr id="2052" name="Text Box 4">
          <a:extLst>
            <a:ext uri="{FF2B5EF4-FFF2-40B4-BE49-F238E27FC236}">
              <a16:creationId xmlns:a16="http://schemas.microsoft.com/office/drawing/2014/main" id="{92DCE358-77C6-4FAB-986A-B184412781A8}"/>
            </a:ext>
          </a:extLst>
        </xdr:cNvPr>
        <xdr:cNvSpPr txBox="1">
          <a:spLocks noChangeArrowheads="1"/>
        </xdr:cNvSpPr>
      </xdr:nvSpPr>
      <xdr:spPr bwMode="auto">
        <a:xfrm>
          <a:off x="2025650" y="2057400"/>
          <a:ext cx="831850" cy="419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36576" tIns="0" rIns="36576" bIns="36576" anchor="b" upright="1">
          <a:spAutoFit/>
        </a:bodyPr>
        <a:lstStyle/>
        <a:p>
          <a:pPr algn="ctr" rtl="0">
            <a:defRPr sz="1000"/>
          </a:pPr>
          <a:r>
            <a:rPr lang="en-GB" sz="1200" b="1" i="0" u="none" strike="noStrike" baseline="0">
              <a:solidFill>
                <a:srgbClr val="0000FF"/>
              </a:solidFill>
              <a:latin typeface="Arial"/>
              <a:cs typeface="Arial"/>
            </a:rPr>
            <a:t>Beginning</a:t>
          </a:r>
        </a:p>
        <a:p>
          <a:pPr algn="ctr" rtl="0">
            <a:defRPr sz="1000"/>
          </a:pPr>
          <a:r>
            <a:rPr lang="en-GB" sz="1200" b="1" i="0" u="none" strike="noStrike" baseline="0">
              <a:solidFill>
                <a:srgbClr val="0000FF"/>
              </a:solidFill>
              <a:latin typeface="Arial"/>
              <a:cs typeface="Arial"/>
            </a:rPr>
            <a:t>Balance</a:t>
          </a:r>
        </a:p>
      </xdr:txBody>
    </xdr:sp>
    <xdr:clientData/>
  </xdr:oneCellAnchor>
  <xdr:oneCellAnchor>
    <xdr:from>
      <xdr:col>4</xdr:col>
      <xdr:colOff>663006</xdr:colOff>
      <xdr:row>12</xdr:row>
      <xdr:rowOff>8281</xdr:rowOff>
    </xdr:from>
    <xdr:ext cx="629789" cy="213969"/>
    <xdr:sp macro="" textlink="">
      <xdr:nvSpPr>
        <xdr:cNvPr id="2053" name="Text Box 5">
          <a:extLst>
            <a:ext uri="{FF2B5EF4-FFF2-40B4-BE49-F238E27FC236}">
              <a16:creationId xmlns:a16="http://schemas.microsoft.com/office/drawing/2014/main" id="{7523397F-7397-4E9D-B72F-669D73035C20}"/>
            </a:ext>
          </a:extLst>
        </xdr:cNvPr>
        <xdr:cNvSpPr txBox="1">
          <a:spLocks noChangeArrowheads="1"/>
        </xdr:cNvSpPr>
      </xdr:nvSpPr>
      <xdr:spPr bwMode="auto">
        <a:xfrm>
          <a:off x="4453956" y="2300631"/>
          <a:ext cx="629789" cy="2139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36576" tIns="0" rIns="36576" bIns="36576" anchor="b" upright="1">
          <a:spAutoFit/>
        </a:bodyPr>
        <a:lstStyle/>
        <a:p>
          <a:pPr algn="ctr" rtl="0">
            <a:defRPr sz="1000"/>
          </a:pPr>
          <a:r>
            <a:rPr lang="en-GB" sz="1200" b="1" i="0" u="none" strike="noStrike" baseline="0">
              <a:solidFill>
                <a:srgbClr val="0000FF"/>
              </a:solidFill>
              <a:latin typeface="Arial"/>
              <a:cs typeface="Arial"/>
            </a:rPr>
            <a:t>Interest</a:t>
          </a:r>
        </a:p>
      </xdr:txBody>
    </xdr:sp>
    <xdr:clientData/>
  </xdr:oneCellAnchor>
  <xdr:oneCellAnchor>
    <xdr:from>
      <xdr:col>6</xdr:col>
      <xdr:colOff>660400</xdr:colOff>
      <xdr:row>12</xdr:row>
      <xdr:rowOff>0</xdr:rowOff>
    </xdr:from>
    <xdr:ext cx="723900" cy="222250"/>
    <xdr:sp macro="" textlink="">
      <xdr:nvSpPr>
        <xdr:cNvPr id="2054" name="Text Box 6">
          <a:extLst>
            <a:ext uri="{FF2B5EF4-FFF2-40B4-BE49-F238E27FC236}">
              <a16:creationId xmlns:a16="http://schemas.microsoft.com/office/drawing/2014/main" id="{D5C59C35-F399-4995-BB0E-A1301301F25C}"/>
            </a:ext>
          </a:extLst>
        </xdr:cNvPr>
        <xdr:cNvSpPr txBox="1">
          <a:spLocks noChangeArrowheads="1"/>
        </xdr:cNvSpPr>
      </xdr:nvSpPr>
      <xdr:spPr bwMode="auto">
        <a:xfrm>
          <a:off x="6699250" y="2292350"/>
          <a:ext cx="723900" cy="2222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36576" tIns="0" rIns="36576" bIns="36576" anchor="b" upright="1">
          <a:spAutoFit/>
        </a:bodyPr>
        <a:lstStyle/>
        <a:p>
          <a:pPr algn="ctr" rtl="0">
            <a:defRPr sz="1000"/>
          </a:pPr>
          <a:r>
            <a:rPr lang="en-GB" sz="1200" b="1" i="0" u="none" strike="noStrike" baseline="0">
              <a:solidFill>
                <a:srgbClr val="0000FF"/>
              </a:solidFill>
              <a:latin typeface="Arial"/>
              <a:cs typeface="Arial"/>
            </a:rPr>
            <a:t>Principal</a:t>
          </a:r>
        </a:p>
      </xdr:txBody>
    </xdr:sp>
    <xdr:clientData/>
  </xdr:oneCellAnchor>
  <xdr:oneCellAnchor>
    <xdr:from>
      <xdr:col>8</xdr:col>
      <xdr:colOff>623597</xdr:colOff>
      <xdr:row>10</xdr:row>
      <xdr:rowOff>116996</xdr:rowOff>
    </xdr:from>
    <xdr:ext cx="664157" cy="391004"/>
    <xdr:sp macro="" textlink="">
      <xdr:nvSpPr>
        <xdr:cNvPr id="2055" name="Text Box 7">
          <a:extLst>
            <a:ext uri="{FF2B5EF4-FFF2-40B4-BE49-F238E27FC236}">
              <a16:creationId xmlns:a16="http://schemas.microsoft.com/office/drawing/2014/main" id="{77044C86-90EC-4399-AA65-9476A1BBA827}"/>
            </a:ext>
          </a:extLst>
        </xdr:cNvPr>
        <xdr:cNvSpPr txBox="1">
          <a:spLocks noChangeArrowheads="1"/>
        </xdr:cNvSpPr>
      </xdr:nvSpPr>
      <xdr:spPr bwMode="auto">
        <a:xfrm>
          <a:off x="8935747" y="2085496"/>
          <a:ext cx="664157" cy="39100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36576" tIns="0" rIns="36576" bIns="36576" anchor="b" upright="1">
          <a:spAutoFit/>
        </a:bodyPr>
        <a:lstStyle/>
        <a:p>
          <a:pPr algn="ctr" rtl="0">
            <a:lnSpc>
              <a:spcPts val="1300"/>
            </a:lnSpc>
            <a:defRPr sz="1000"/>
          </a:pPr>
          <a:r>
            <a:rPr lang="en-GB" sz="1200" b="1" i="0" u="none" strike="noStrike" baseline="0">
              <a:solidFill>
                <a:srgbClr val="0000FF"/>
              </a:solidFill>
              <a:latin typeface="Arial"/>
              <a:cs typeface="Arial"/>
            </a:rPr>
            <a:t>Ending</a:t>
          </a:r>
        </a:p>
        <a:p>
          <a:pPr algn="ctr" rtl="0">
            <a:lnSpc>
              <a:spcPts val="1300"/>
            </a:lnSpc>
            <a:defRPr sz="1000"/>
          </a:pPr>
          <a:r>
            <a:rPr lang="en-GB" sz="1200" b="1" i="0" u="none" strike="noStrike" baseline="0">
              <a:solidFill>
                <a:srgbClr val="0000FF"/>
              </a:solidFill>
              <a:latin typeface="Arial"/>
              <a:cs typeface="Arial"/>
            </a:rPr>
            <a:t>Balance</a:t>
          </a:r>
        </a:p>
      </xdr:txBody>
    </xdr:sp>
    <xdr:clientData/>
  </xdr:oneCellAnchor>
  <xdr:twoCellAnchor>
    <xdr:from>
      <xdr:col>0</xdr:col>
      <xdr:colOff>0</xdr:colOff>
      <xdr:row>13</xdr:row>
      <xdr:rowOff>82550</xdr:rowOff>
    </xdr:from>
    <xdr:to>
      <xdr:col>9</xdr:col>
      <xdr:colOff>412750</xdr:colOff>
      <xdr:row>13</xdr:row>
      <xdr:rowOff>82550</xdr:rowOff>
    </xdr:to>
    <xdr:sp macro="" textlink="">
      <xdr:nvSpPr>
        <xdr:cNvPr id="2056" name="Line 8">
          <a:extLst>
            <a:ext uri="{FF2B5EF4-FFF2-40B4-BE49-F238E27FC236}">
              <a16:creationId xmlns:a16="http://schemas.microsoft.com/office/drawing/2014/main" id="{AC257A0B-77C6-4996-9D47-D8ECF6A45624}"/>
            </a:ext>
          </a:extLst>
        </xdr:cNvPr>
        <xdr:cNvSpPr>
          <a:spLocks noChangeShapeType="1"/>
        </xdr:cNvSpPr>
      </xdr:nvSpPr>
      <xdr:spPr bwMode="auto">
        <a:xfrm>
          <a:off x="0" y="2533650"/>
          <a:ext cx="10280650" cy="0"/>
        </a:xfrm>
        <a:prstGeom prst="line">
          <a:avLst/>
        </a:prstGeom>
        <a:noFill/>
        <a:ln w="76200" cmpd="tri">
          <a:solidFill>
            <a:srgbClr xmlns:mc="http://schemas.openxmlformats.org/markup-compatibility/2006" xmlns:a14="http://schemas.microsoft.com/office/drawing/2010/main" val="0000FF" mc:Ignorable="a14" a14:legacySpreadsheetColorIndex="12"/>
          </a:solidFill>
          <a:round/>
          <a:headEnd/>
          <a:tailEnd/>
        </a:ln>
        <a:extLst>
          <a:ext uri="{909E8E84-426E-40DD-AFC4-6F175D3DCCD1}">
            <a14:hiddenFill xmlns:a14="http://schemas.microsoft.com/office/drawing/2010/main">
              <a:noFill/>
            </a14:hiddenFill>
          </a:ext>
        </a:extLst>
      </xdr:spPr>
    </xdr:sp>
    <xdr:clientData/>
  </xdr:twoCellAnchor>
  <xdr:oneCellAnchor>
    <xdr:from>
      <xdr:col>2</xdr:col>
      <xdr:colOff>920750</xdr:colOff>
      <xdr:row>0</xdr:row>
      <xdr:rowOff>95250</xdr:rowOff>
    </xdr:from>
    <xdr:ext cx="5279394" cy="448008"/>
    <xdr:sp macro="" textlink="">
      <xdr:nvSpPr>
        <xdr:cNvPr id="2057" name="Text Box 9">
          <a:extLst>
            <a:ext uri="{FF2B5EF4-FFF2-40B4-BE49-F238E27FC236}">
              <a16:creationId xmlns:a16="http://schemas.microsoft.com/office/drawing/2014/main" id="{686D5EC7-684F-46FF-B5D1-E6F9B748BF35}"/>
            </a:ext>
          </a:extLst>
        </xdr:cNvPr>
        <xdr:cNvSpPr txBox="1">
          <a:spLocks noChangeArrowheads="1"/>
        </xdr:cNvSpPr>
      </xdr:nvSpPr>
      <xdr:spPr bwMode="auto">
        <a:xfrm>
          <a:off x="2425700" y="95250"/>
          <a:ext cx="5279394" cy="44800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73152" tIns="64008" rIns="0" bIns="0" anchor="t" upright="1">
          <a:spAutoFit/>
        </a:bodyPr>
        <a:lstStyle/>
        <a:p>
          <a:pPr algn="l" rtl="0">
            <a:defRPr sz="1000"/>
          </a:pPr>
          <a:r>
            <a:rPr lang="en-GB" sz="2600" b="1" i="1" u="none" strike="noStrike" baseline="0">
              <a:solidFill>
                <a:srgbClr val="FFFFFF"/>
              </a:solidFill>
              <a:latin typeface="Arial"/>
              <a:cs typeface="Arial"/>
            </a:rPr>
            <a:t>Mortgage Amortization Schedule</a:t>
          </a:r>
        </a:p>
      </xdr:txBody>
    </xdr:sp>
    <xdr:clientData/>
  </xdr:oneCellAnchor>
  <xdr:oneCellAnchor>
    <xdr:from>
      <xdr:col>0</xdr:col>
      <xdr:colOff>12700</xdr:colOff>
      <xdr:row>9</xdr:row>
      <xdr:rowOff>0</xdr:rowOff>
    </xdr:from>
    <xdr:ext cx="1619250" cy="247650"/>
    <xdr:sp macro="" textlink="">
      <xdr:nvSpPr>
        <xdr:cNvPr id="2058" name="Text Box 10">
          <a:extLst>
            <a:ext uri="{FF2B5EF4-FFF2-40B4-BE49-F238E27FC236}">
              <a16:creationId xmlns:a16="http://schemas.microsoft.com/office/drawing/2014/main" id="{6A460BF3-BCF4-4D0B-A292-CC9A246C033E}"/>
            </a:ext>
          </a:extLst>
        </xdr:cNvPr>
        <xdr:cNvSpPr txBox="1">
          <a:spLocks noChangeArrowheads="1"/>
        </xdr:cNvSpPr>
      </xdr:nvSpPr>
      <xdr:spPr bwMode="auto">
        <a:xfrm>
          <a:off x="12700" y="1727200"/>
          <a:ext cx="161925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36576" tIns="0" rIns="0" bIns="36576" anchor="b" upright="1">
          <a:spAutoFit/>
        </a:bodyPr>
        <a:lstStyle/>
        <a:p>
          <a:pPr algn="l" rtl="0">
            <a:defRPr sz="1000"/>
          </a:pPr>
          <a:r>
            <a:rPr lang="en-GB" sz="1400" b="1" i="1" u="none" strike="noStrike" baseline="0">
              <a:solidFill>
                <a:srgbClr val="FF0000"/>
              </a:solidFill>
              <a:latin typeface="Arial"/>
              <a:cs typeface="Arial"/>
            </a:rPr>
            <a:t>Periodic Payment </a:t>
          </a:r>
        </a:p>
      </xdr:txBody>
    </xdr:sp>
    <xdr:clientData/>
  </xdr:oneCellAnchor>
  <xdr:twoCellAnchor>
    <xdr:from>
      <xdr:col>6</xdr:col>
      <xdr:colOff>146050</xdr:colOff>
      <xdr:row>6</xdr:row>
      <xdr:rowOff>12700</xdr:rowOff>
    </xdr:from>
    <xdr:to>
      <xdr:col>7</xdr:col>
      <xdr:colOff>273050</xdr:colOff>
      <xdr:row>7</xdr:row>
      <xdr:rowOff>114300</xdr:rowOff>
    </xdr:to>
    <xdr:sp macro="[0]!amortclear" textlink="">
      <xdr:nvSpPr>
        <xdr:cNvPr id="2059" name="AutoShape 11">
          <a:extLst>
            <a:ext uri="{FF2B5EF4-FFF2-40B4-BE49-F238E27FC236}">
              <a16:creationId xmlns:a16="http://schemas.microsoft.com/office/drawing/2014/main" id="{BF735DF0-F363-4F48-AB2F-B59AC7CEF598}"/>
            </a:ext>
          </a:extLst>
        </xdr:cNvPr>
        <xdr:cNvSpPr>
          <a:spLocks noChangeArrowheads="1"/>
        </xdr:cNvSpPr>
      </xdr:nvSpPr>
      <xdr:spPr bwMode="auto">
        <a:xfrm>
          <a:off x="6184900" y="1047750"/>
          <a:ext cx="1651000" cy="330200"/>
        </a:xfrm>
        <a:prstGeom prst="roundRect">
          <a:avLst>
            <a:gd name="adj" fmla="val 16667"/>
          </a:avLst>
        </a:prstGeom>
        <a:solidFill>
          <a:srgbClr xmlns:mc="http://schemas.openxmlformats.org/markup-compatibility/2006" xmlns:a14="http://schemas.microsoft.com/office/drawing/2010/main" val="0000FF" mc:Ignorable="a14" a14:legacySpreadsheetColorIndex="12"/>
        </a:solidFill>
        <a:ln w="38100">
          <a:solidFill>
            <a:srgbClr xmlns:mc="http://schemas.openxmlformats.org/markup-compatibility/2006" xmlns:a14="http://schemas.microsoft.com/office/drawing/2010/main" val="FF0000" mc:Ignorable="a14" a14:legacySpreadsheetColorIndex="10"/>
          </a:solidFill>
          <a:round/>
          <a:headEnd/>
          <a:tailEnd/>
        </a:ln>
      </xdr:spPr>
      <xdr:txBody>
        <a:bodyPr vertOverflow="clip" wrap="square" lIns="54864" tIns="45720" rIns="54864" bIns="45720" anchor="ctr" upright="1"/>
        <a:lstStyle/>
        <a:p>
          <a:pPr algn="ctr" rtl="0">
            <a:defRPr sz="1000"/>
          </a:pPr>
          <a:r>
            <a:rPr lang="en-GB" sz="1600" b="1" i="0" u="none" strike="noStrike" baseline="0">
              <a:solidFill>
                <a:srgbClr val="FFFFFF"/>
              </a:solidFill>
              <a:latin typeface="Trebuchet MS"/>
            </a:rPr>
            <a:t>Clear</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279400</xdr:colOff>
      <xdr:row>0</xdr:row>
      <xdr:rowOff>101600</xdr:rowOff>
    </xdr:from>
    <xdr:to>
      <xdr:col>8</xdr:col>
      <xdr:colOff>209550</xdr:colOff>
      <xdr:row>3</xdr:row>
      <xdr:rowOff>114300</xdr:rowOff>
    </xdr:to>
    <xdr:sp macro="" textlink="">
      <xdr:nvSpPr>
        <xdr:cNvPr id="3073" name="AutoShape 1">
          <a:extLst>
            <a:ext uri="{FF2B5EF4-FFF2-40B4-BE49-F238E27FC236}">
              <a16:creationId xmlns:a16="http://schemas.microsoft.com/office/drawing/2014/main" id="{AB7D7A65-EE1B-4DDD-977A-CEEE2FEEFB40}"/>
            </a:ext>
          </a:extLst>
        </xdr:cNvPr>
        <xdr:cNvSpPr>
          <a:spLocks noChangeArrowheads="1"/>
        </xdr:cNvSpPr>
      </xdr:nvSpPr>
      <xdr:spPr bwMode="auto">
        <a:xfrm>
          <a:off x="1612900" y="101600"/>
          <a:ext cx="6584950" cy="488950"/>
        </a:xfrm>
        <a:prstGeom prst="roundRect">
          <a:avLst>
            <a:gd name="adj" fmla="val 16667"/>
          </a:avLst>
        </a:prstGeom>
        <a:solidFill>
          <a:srgbClr xmlns:mc="http://schemas.openxmlformats.org/markup-compatibility/2006" xmlns:a14="http://schemas.microsoft.com/office/drawing/2010/main" val="0000FF" mc:Ignorable="a14" a14:legacySpreadsheetColorIndex="12"/>
        </a:solidFill>
        <a:ln w="38100">
          <a:solidFill>
            <a:srgbClr xmlns:mc="http://schemas.openxmlformats.org/markup-compatibility/2006" xmlns:a14="http://schemas.microsoft.com/office/drawing/2010/main" val="FF0000" mc:Ignorable="a14" a14:legacySpreadsheetColorIndex="10"/>
          </a:solidFill>
          <a:round/>
          <a:headEnd/>
          <a:tailEnd/>
        </a:ln>
      </xdr:spPr>
    </xdr:sp>
    <xdr:clientData/>
  </xdr:twoCellAnchor>
  <xdr:oneCellAnchor>
    <xdr:from>
      <xdr:col>0</xdr:col>
      <xdr:colOff>69850</xdr:colOff>
      <xdr:row>12</xdr:row>
      <xdr:rowOff>0</xdr:rowOff>
    </xdr:from>
    <xdr:ext cx="393700" cy="222250"/>
    <xdr:sp macro="" textlink="">
      <xdr:nvSpPr>
        <xdr:cNvPr id="3074" name="Text Box 2">
          <a:extLst>
            <a:ext uri="{FF2B5EF4-FFF2-40B4-BE49-F238E27FC236}">
              <a16:creationId xmlns:a16="http://schemas.microsoft.com/office/drawing/2014/main" id="{3D2CF2CC-C3FA-47BB-B4EF-60B79FB40921}"/>
            </a:ext>
          </a:extLst>
        </xdr:cNvPr>
        <xdr:cNvSpPr txBox="1">
          <a:spLocks noChangeArrowheads="1"/>
        </xdr:cNvSpPr>
      </xdr:nvSpPr>
      <xdr:spPr bwMode="auto">
        <a:xfrm>
          <a:off x="69850" y="2330450"/>
          <a:ext cx="393700" cy="2222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36576" tIns="0" rIns="0" bIns="36576" anchor="b" upright="1">
          <a:spAutoFit/>
        </a:bodyPr>
        <a:lstStyle/>
        <a:p>
          <a:pPr algn="l" rtl="0">
            <a:defRPr sz="1000"/>
          </a:pPr>
          <a:r>
            <a:rPr lang="en-GB" sz="1200" b="1" i="0" u="none" strike="noStrike" baseline="0">
              <a:solidFill>
                <a:srgbClr val="0000FF"/>
              </a:solidFill>
              <a:latin typeface="Arial"/>
              <a:cs typeface="Arial"/>
            </a:rPr>
            <a:t>Year</a:t>
          </a:r>
        </a:p>
      </xdr:txBody>
    </xdr:sp>
    <xdr:clientData/>
  </xdr:oneCellAnchor>
  <xdr:oneCellAnchor>
    <xdr:from>
      <xdr:col>2</xdr:col>
      <xdr:colOff>361950</xdr:colOff>
      <xdr:row>10</xdr:row>
      <xdr:rowOff>120650</xdr:rowOff>
    </xdr:from>
    <xdr:ext cx="831850" cy="419100"/>
    <xdr:sp macro="" textlink="">
      <xdr:nvSpPr>
        <xdr:cNvPr id="3075" name="Text Box 3">
          <a:extLst>
            <a:ext uri="{FF2B5EF4-FFF2-40B4-BE49-F238E27FC236}">
              <a16:creationId xmlns:a16="http://schemas.microsoft.com/office/drawing/2014/main" id="{C471ADE0-B726-4F19-8278-511F4B0DFDDD}"/>
            </a:ext>
          </a:extLst>
        </xdr:cNvPr>
        <xdr:cNvSpPr txBox="1">
          <a:spLocks noChangeArrowheads="1"/>
        </xdr:cNvSpPr>
      </xdr:nvSpPr>
      <xdr:spPr bwMode="auto">
        <a:xfrm>
          <a:off x="1695450" y="2127250"/>
          <a:ext cx="831850" cy="419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36576" tIns="0" rIns="36576" bIns="36576" anchor="b" upright="1">
          <a:spAutoFit/>
        </a:bodyPr>
        <a:lstStyle/>
        <a:p>
          <a:pPr algn="ctr" rtl="0">
            <a:defRPr sz="1000"/>
          </a:pPr>
          <a:r>
            <a:rPr lang="en-GB" sz="1200" b="1" i="0" u="none" strike="noStrike" baseline="0">
              <a:solidFill>
                <a:srgbClr val="0000FF"/>
              </a:solidFill>
              <a:latin typeface="Arial"/>
              <a:cs typeface="Arial"/>
            </a:rPr>
            <a:t>Beginning</a:t>
          </a:r>
        </a:p>
        <a:p>
          <a:pPr algn="ctr" rtl="0">
            <a:defRPr sz="1000"/>
          </a:pPr>
          <a:r>
            <a:rPr lang="en-GB" sz="1200" b="1" i="0" u="none" strike="noStrike" baseline="0">
              <a:solidFill>
                <a:srgbClr val="0000FF"/>
              </a:solidFill>
              <a:latin typeface="Arial"/>
              <a:cs typeface="Arial"/>
            </a:rPr>
            <a:t>Balance</a:t>
          </a:r>
        </a:p>
      </xdr:txBody>
    </xdr:sp>
    <xdr:clientData/>
  </xdr:oneCellAnchor>
  <xdr:oneCellAnchor>
    <xdr:from>
      <xdr:col>4</xdr:col>
      <xdr:colOff>542356</xdr:colOff>
      <xdr:row>12</xdr:row>
      <xdr:rowOff>8281</xdr:rowOff>
    </xdr:from>
    <xdr:ext cx="629789" cy="213969"/>
    <xdr:sp macro="" textlink="">
      <xdr:nvSpPr>
        <xdr:cNvPr id="3076" name="Text Box 4">
          <a:extLst>
            <a:ext uri="{FF2B5EF4-FFF2-40B4-BE49-F238E27FC236}">
              <a16:creationId xmlns:a16="http://schemas.microsoft.com/office/drawing/2014/main" id="{59906915-FCB6-44DD-9603-B51D6E43A60B}"/>
            </a:ext>
          </a:extLst>
        </xdr:cNvPr>
        <xdr:cNvSpPr txBox="1">
          <a:spLocks noChangeArrowheads="1"/>
        </xdr:cNvSpPr>
      </xdr:nvSpPr>
      <xdr:spPr bwMode="auto">
        <a:xfrm>
          <a:off x="4034856" y="2338731"/>
          <a:ext cx="629789" cy="2139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36576" tIns="0" rIns="36576" bIns="36576" anchor="b" upright="1">
          <a:spAutoFit/>
        </a:bodyPr>
        <a:lstStyle/>
        <a:p>
          <a:pPr algn="ctr" rtl="0">
            <a:defRPr sz="1000"/>
          </a:pPr>
          <a:r>
            <a:rPr lang="en-GB" sz="1200" b="1" i="0" u="none" strike="noStrike" baseline="0">
              <a:solidFill>
                <a:srgbClr val="0000FF"/>
              </a:solidFill>
              <a:latin typeface="Arial"/>
              <a:cs typeface="Arial"/>
            </a:rPr>
            <a:t>Interest</a:t>
          </a:r>
        </a:p>
      </xdr:txBody>
    </xdr:sp>
    <xdr:clientData/>
  </xdr:oneCellAnchor>
  <xdr:oneCellAnchor>
    <xdr:from>
      <xdr:col>6</xdr:col>
      <xdr:colOff>596900</xdr:colOff>
      <xdr:row>12</xdr:row>
      <xdr:rowOff>0</xdr:rowOff>
    </xdr:from>
    <xdr:ext cx="723900" cy="222250"/>
    <xdr:sp macro="" textlink="">
      <xdr:nvSpPr>
        <xdr:cNvPr id="3077" name="Text Box 5">
          <a:extLst>
            <a:ext uri="{FF2B5EF4-FFF2-40B4-BE49-F238E27FC236}">
              <a16:creationId xmlns:a16="http://schemas.microsoft.com/office/drawing/2014/main" id="{1E3909DB-7054-45E2-9C49-BF7AE4BE9BD7}"/>
            </a:ext>
          </a:extLst>
        </xdr:cNvPr>
        <xdr:cNvSpPr txBox="1">
          <a:spLocks noChangeArrowheads="1"/>
        </xdr:cNvSpPr>
      </xdr:nvSpPr>
      <xdr:spPr bwMode="auto">
        <a:xfrm>
          <a:off x="6343650" y="2330450"/>
          <a:ext cx="723900" cy="2222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36576" tIns="0" rIns="36576" bIns="36576" anchor="b" upright="1">
          <a:spAutoFit/>
        </a:bodyPr>
        <a:lstStyle/>
        <a:p>
          <a:pPr algn="ctr" rtl="0">
            <a:defRPr sz="1000"/>
          </a:pPr>
          <a:r>
            <a:rPr lang="en-GB" sz="1200" b="1" i="0" u="none" strike="noStrike" baseline="0">
              <a:solidFill>
                <a:srgbClr val="0000FF"/>
              </a:solidFill>
              <a:latin typeface="Arial"/>
              <a:cs typeface="Arial"/>
            </a:rPr>
            <a:t>Principal</a:t>
          </a:r>
        </a:p>
      </xdr:txBody>
    </xdr:sp>
    <xdr:clientData/>
  </xdr:oneCellAnchor>
  <xdr:oneCellAnchor>
    <xdr:from>
      <xdr:col>8</xdr:col>
      <xdr:colOff>763297</xdr:colOff>
      <xdr:row>10</xdr:row>
      <xdr:rowOff>148746</xdr:rowOff>
    </xdr:from>
    <xdr:ext cx="664157" cy="391004"/>
    <xdr:sp macro="" textlink="">
      <xdr:nvSpPr>
        <xdr:cNvPr id="3078" name="Text Box 6">
          <a:extLst>
            <a:ext uri="{FF2B5EF4-FFF2-40B4-BE49-F238E27FC236}">
              <a16:creationId xmlns:a16="http://schemas.microsoft.com/office/drawing/2014/main" id="{E2A123A3-DC68-42EC-A4CF-879111983979}"/>
            </a:ext>
          </a:extLst>
        </xdr:cNvPr>
        <xdr:cNvSpPr txBox="1">
          <a:spLocks noChangeArrowheads="1"/>
        </xdr:cNvSpPr>
      </xdr:nvSpPr>
      <xdr:spPr bwMode="auto">
        <a:xfrm>
          <a:off x="8751597" y="2155346"/>
          <a:ext cx="664157" cy="39100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36576" tIns="0" rIns="36576" bIns="36576" anchor="b" upright="1">
          <a:spAutoFit/>
        </a:bodyPr>
        <a:lstStyle/>
        <a:p>
          <a:pPr algn="ctr" rtl="0">
            <a:lnSpc>
              <a:spcPts val="1300"/>
            </a:lnSpc>
            <a:defRPr sz="1000"/>
          </a:pPr>
          <a:r>
            <a:rPr lang="en-GB" sz="1200" b="1" i="0" u="none" strike="noStrike" baseline="0">
              <a:solidFill>
                <a:srgbClr val="0000FF"/>
              </a:solidFill>
              <a:latin typeface="Arial"/>
              <a:cs typeface="Arial"/>
            </a:rPr>
            <a:t>Ending</a:t>
          </a:r>
        </a:p>
        <a:p>
          <a:pPr algn="ctr" rtl="0">
            <a:lnSpc>
              <a:spcPts val="1300"/>
            </a:lnSpc>
            <a:defRPr sz="1000"/>
          </a:pPr>
          <a:r>
            <a:rPr lang="en-GB" sz="1200" b="1" i="0" u="none" strike="noStrike" baseline="0">
              <a:solidFill>
                <a:srgbClr val="0000FF"/>
              </a:solidFill>
              <a:latin typeface="Arial"/>
              <a:cs typeface="Arial"/>
            </a:rPr>
            <a:t>Balance</a:t>
          </a:r>
        </a:p>
      </xdr:txBody>
    </xdr:sp>
    <xdr:clientData/>
  </xdr:oneCellAnchor>
  <xdr:twoCellAnchor>
    <xdr:from>
      <xdr:col>0</xdr:col>
      <xdr:colOff>12700</xdr:colOff>
      <xdr:row>13</xdr:row>
      <xdr:rowOff>101600</xdr:rowOff>
    </xdr:from>
    <xdr:to>
      <xdr:col>13</xdr:col>
      <xdr:colOff>19050</xdr:colOff>
      <xdr:row>13</xdr:row>
      <xdr:rowOff>101600</xdr:rowOff>
    </xdr:to>
    <xdr:sp macro="" textlink="">
      <xdr:nvSpPr>
        <xdr:cNvPr id="3079" name="Line 7">
          <a:extLst>
            <a:ext uri="{FF2B5EF4-FFF2-40B4-BE49-F238E27FC236}">
              <a16:creationId xmlns:a16="http://schemas.microsoft.com/office/drawing/2014/main" id="{13EC1567-782D-4C3B-BE24-6A85405D0E25}"/>
            </a:ext>
          </a:extLst>
        </xdr:cNvPr>
        <xdr:cNvSpPr>
          <a:spLocks noChangeShapeType="1"/>
        </xdr:cNvSpPr>
      </xdr:nvSpPr>
      <xdr:spPr bwMode="auto">
        <a:xfrm>
          <a:off x="12700" y="2590800"/>
          <a:ext cx="12045950" cy="0"/>
        </a:xfrm>
        <a:prstGeom prst="line">
          <a:avLst/>
        </a:prstGeom>
        <a:noFill/>
        <a:ln w="76200" cmpd="tri">
          <a:solidFill>
            <a:srgbClr xmlns:mc="http://schemas.openxmlformats.org/markup-compatibility/2006" xmlns:a14="http://schemas.microsoft.com/office/drawing/2010/main" val="0000FF" mc:Ignorable="a14" a14:legacySpreadsheetColorIndex="12"/>
          </a:solidFill>
          <a:round/>
          <a:headEnd/>
          <a:tailEnd/>
        </a:ln>
        <a:extLst>
          <a:ext uri="{909E8E84-426E-40DD-AFC4-6F175D3DCCD1}">
            <a14:hiddenFill xmlns:a14="http://schemas.microsoft.com/office/drawing/2010/main">
              <a:noFill/>
            </a14:hiddenFill>
          </a:ext>
        </a:extLst>
      </xdr:spPr>
    </xdr:sp>
    <xdr:clientData/>
  </xdr:twoCellAnchor>
  <xdr:oneCellAnchor>
    <xdr:from>
      <xdr:col>2</xdr:col>
      <xdr:colOff>787400</xdr:colOff>
      <xdr:row>0</xdr:row>
      <xdr:rowOff>139700</xdr:rowOff>
    </xdr:from>
    <xdr:ext cx="5175250" cy="342900"/>
    <xdr:sp macro="" textlink="">
      <xdr:nvSpPr>
        <xdr:cNvPr id="3080" name="Text Box 8">
          <a:extLst>
            <a:ext uri="{FF2B5EF4-FFF2-40B4-BE49-F238E27FC236}">
              <a16:creationId xmlns:a16="http://schemas.microsoft.com/office/drawing/2014/main" id="{F6E41182-D34F-477E-BCD8-818353BB0455}"/>
            </a:ext>
          </a:extLst>
        </xdr:cNvPr>
        <xdr:cNvSpPr txBox="1">
          <a:spLocks noChangeArrowheads="1"/>
        </xdr:cNvSpPr>
      </xdr:nvSpPr>
      <xdr:spPr bwMode="auto">
        <a:xfrm>
          <a:off x="2120900" y="139700"/>
          <a:ext cx="517525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54864" tIns="50292" rIns="0" bIns="0" anchor="t" upright="1">
          <a:spAutoFit/>
        </a:bodyPr>
        <a:lstStyle/>
        <a:p>
          <a:pPr algn="l" rtl="0">
            <a:defRPr sz="1000"/>
          </a:pPr>
          <a:r>
            <a:rPr lang="en-GB" sz="2000" b="1" i="1" u="none" strike="noStrike" baseline="0">
              <a:solidFill>
                <a:srgbClr val="FFFFFF"/>
              </a:solidFill>
              <a:latin typeface="Arial"/>
              <a:cs typeface="Arial"/>
            </a:rPr>
            <a:t>Mortgage Amortization - Annual Summary</a:t>
          </a:r>
        </a:p>
      </xdr:txBody>
    </xdr:sp>
    <xdr:clientData/>
  </xdr:oneCellAnchor>
  <xdr:oneCellAnchor>
    <xdr:from>
      <xdr:col>6</xdr:col>
      <xdr:colOff>12700</xdr:colOff>
      <xdr:row>4</xdr:row>
      <xdr:rowOff>152033</xdr:rowOff>
    </xdr:from>
    <xdr:ext cx="1832681" cy="248017"/>
    <xdr:sp macro="" textlink="">
      <xdr:nvSpPr>
        <xdr:cNvPr id="3081" name="Text Box 9">
          <a:extLst>
            <a:ext uri="{FF2B5EF4-FFF2-40B4-BE49-F238E27FC236}">
              <a16:creationId xmlns:a16="http://schemas.microsoft.com/office/drawing/2014/main" id="{B711E909-175E-4AA0-8346-18C73CAF0A06}"/>
            </a:ext>
          </a:extLst>
        </xdr:cNvPr>
        <xdr:cNvSpPr txBox="1">
          <a:spLocks noChangeArrowheads="1"/>
        </xdr:cNvSpPr>
      </xdr:nvSpPr>
      <xdr:spPr bwMode="auto">
        <a:xfrm>
          <a:off x="5759450" y="787033"/>
          <a:ext cx="1832681" cy="24801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36576" tIns="0" rIns="0" bIns="41148" anchor="b" upright="1">
          <a:spAutoFit/>
        </a:bodyPr>
        <a:lstStyle/>
        <a:p>
          <a:pPr algn="l" rtl="0">
            <a:defRPr sz="1000"/>
          </a:pPr>
          <a:r>
            <a:rPr lang="en-GB" sz="1400" b="1" i="0" u="none" strike="noStrike" baseline="0">
              <a:solidFill>
                <a:srgbClr val="FFFFFF"/>
              </a:solidFill>
              <a:latin typeface="Arial"/>
              <a:cs typeface="Arial"/>
            </a:rPr>
            <a:t>Annual Debt Service </a:t>
          </a:r>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3</xdr:col>
      <xdr:colOff>438150</xdr:colOff>
      <xdr:row>15</xdr:row>
      <xdr:rowOff>38100</xdr:rowOff>
    </xdr:from>
    <xdr:to>
      <xdr:col>4</xdr:col>
      <xdr:colOff>1352550</xdr:colOff>
      <xdr:row>17</xdr:row>
      <xdr:rowOff>6350</xdr:rowOff>
    </xdr:to>
    <xdr:sp macro="[0]!calculate" textlink="">
      <xdr:nvSpPr>
        <xdr:cNvPr id="13313" name="AutoShape 1">
          <a:extLst>
            <a:ext uri="{FF2B5EF4-FFF2-40B4-BE49-F238E27FC236}">
              <a16:creationId xmlns:a16="http://schemas.microsoft.com/office/drawing/2014/main" id="{BEA8C572-CFD2-47EA-93E3-2458EB9F0A3E}"/>
            </a:ext>
          </a:extLst>
        </xdr:cNvPr>
        <xdr:cNvSpPr>
          <a:spLocks noChangeArrowheads="1"/>
        </xdr:cNvSpPr>
      </xdr:nvSpPr>
      <xdr:spPr bwMode="auto">
        <a:xfrm>
          <a:off x="4356100" y="3149600"/>
          <a:ext cx="1631950" cy="361950"/>
        </a:xfrm>
        <a:prstGeom prst="roundRect">
          <a:avLst>
            <a:gd name="adj" fmla="val 16667"/>
          </a:avLst>
        </a:prstGeom>
        <a:solidFill>
          <a:srgbClr xmlns:mc="http://schemas.openxmlformats.org/markup-compatibility/2006" xmlns:a14="http://schemas.microsoft.com/office/drawing/2010/main" val="0000FF" mc:Ignorable="a14" a14:legacySpreadsheetColorIndex="12"/>
        </a:solidFill>
        <a:ln w="38100">
          <a:solidFill>
            <a:srgbClr xmlns:mc="http://schemas.openxmlformats.org/markup-compatibility/2006" xmlns:a14="http://schemas.microsoft.com/office/drawing/2010/main" val="FF0000" mc:Ignorable="a14" a14:legacySpreadsheetColorIndex="10"/>
          </a:solidFill>
          <a:round/>
          <a:headEnd/>
          <a:tailEnd/>
        </a:ln>
      </xdr:spPr>
      <xdr:txBody>
        <a:bodyPr vertOverflow="clip" wrap="square" lIns="64008" tIns="54864" rIns="64008" bIns="54864" anchor="ctr" upright="1"/>
        <a:lstStyle/>
        <a:p>
          <a:pPr algn="ctr" rtl="0">
            <a:defRPr sz="1000"/>
          </a:pPr>
          <a:r>
            <a:rPr lang="en-GB" sz="2000" b="1" i="0" u="none" strike="noStrike" baseline="0">
              <a:solidFill>
                <a:srgbClr val="FFFFFF"/>
              </a:solidFill>
              <a:latin typeface="Trebuchet MS"/>
            </a:rPr>
            <a:t>Calculate</a:t>
          </a:r>
        </a:p>
      </xdr:txBody>
    </xdr:sp>
    <xdr:clientData/>
  </xdr:twoCellAnchor>
  <xdr:twoCellAnchor>
    <xdr:from>
      <xdr:col>5</xdr:col>
      <xdr:colOff>50800</xdr:colOff>
      <xdr:row>15</xdr:row>
      <xdr:rowOff>38100</xdr:rowOff>
    </xdr:from>
    <xdr:to>
      <xdr:col>5</xdr:col>
      <xdr:colOff>1835150</xdr:colOff>
      <xdr:row>17</xdr:row>
      <xdr:rowOff>6350</xdr:rowOff>
    </xdr:to>
    <xdr:sp macro="[0]!clearsts" textlink="">
      <xdr:nvSpPr>
        <xdr:cNvPr id="13314" name="AutoShape 2">
          <a:extLst>
            <a:ext uri="{FF2B5EF4-FFF2-40B4-BE49-F238E27FC236}">
              <a16:creationId xmlns:a16="http://schemas.microsoft.com/office/drawing/2014/main" id="{62B148D4-7675-4AF9-B0CB-2EC73A461311}"/>
            </a:ext>
          </a:extLst>
        </xdr:cNvPr>
        <xdr:cNvSpPr>
          <a:spLocks noChangeArrowheads="1"/>
        </xdr:cNvSpPr>
      </xdr:nvSpPr>
      <xdr:spPr bwMode="auto">
        <a:xfrm>
          <a:off x="6654800" y="3149600"/>
          <a:ext cx="1784350" cy="361950"/>
        </a:xfrm>
        <a:prstGeom prst="roundRect">
          <a:avLst>
            <a:gd name="adj" fmla="val 16667"/>
          </a:avLst>
        </a:prstGeom>
        <a:solidFill>
          <a:srgbClr xmlns:mc="http://schemas.openxmlformats.org/markup-compatibility/2006" xmlns:a14="http://schemas.microsoft.com/office/drawing/2010/main" val="0000FF" mc:Ignorable="a14" a14:legacySpreadsheetColorIndex="12"/>
        </a:solidFill>
        <a:ln w="38100">
          <a:solidFill>
            <a:srgbClr xmlns:mc="http://schemas.openxmlformats.org/markup-compatibility/2006" xmlns:a14="http://schemas.microsoft.com/office/drawing/2010/main" val="FF0000" mc:Ignorable="a14" a14:legacySpreadsheetColorIndex="10"/>
          </a:solidFill>
          <a:round/>
          <a:headEnd/>
          <a:tailEnd/>
        </a:ln>
      </xdr:spPr>
      <xdr:txBody>
        <a:bodyPr vertOverflow="clip" wrap="square" lIns="64008" tIns="54864" rIns="64008" bIns="54864" anchor="ctr" upright="1"/>
        <a:lstStyle/>
        <a:p>
          <a:pPr algn="ctr" rtl="0">
            <a:defRPr sz="1000"/>
          </a:pPr>
          <a:r>
            <a:rPr lang="en-GB" sz="2000" b="1" i="0" u="none" strike="noStrike" baseline="0">
              <a:solidFill>
                <a:srgbClr val="FFFFFF"/>
              </a:solidFill>
              <a:latin typeface="Trebuchet MS"/>
            </a:rPr>
            <a:t>Clear</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Microsoft_Word_97_-_2003_Document.doc"/></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dimension ref="A1:A47"/>
  <sheetViews>
    <sheetView showGridLines="0" tabSelected="1" zoomScaleNormal="100" workbookViewId="0"/>
  </sheetViews>
  <sheetFormatPr defaultColWidth="0" defaultRowHeight="12.5" zeroHeight="1" x14ac:dyDescent="0.25"/>
  <cols>
    <col min="1" max="13" width="9.1796875" style="114" customWidth="1"/>
    <col min="14" max="16384" width="0" style="114" hidden="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sheetData>
  <sheetProtection password="CF6C" sheet="1" objects="1" scenarios="1"/>
  <phoneticPr fontId="0" type="noConversion"/>
  <pageMargins left="0.75" right="0.75" top="1" bottom="1" header="0.5" footer="0.5"/>
  <pageSetup scale="89" orientation="portrait" r:id="rId1"/>
  <headerFooter alignWithMargins="0">
    <oddFooter>&amp;LFinancial Calculator&amp;CCopyright 2003 by CCIM Institute.&amp;RAll rights reserved.</oddFooter>
  </headerFooter>
  <drawing r:id="rId2"/>
  <legacyDrawing r:id="rId3"/>
  <oleObjects>
    <mc:AlternateContent xmlns:mc="http://schemas.openxmlformats.org/markup-compatibility/2006">
      <mc:Choice Requires="x14">
        <oleObject progId="Word.Document.8" shapeId="14337" r:id="rId4">
          <objectPr defaultSize="0" r:id="rId5">
            <anchor moveWithCells="1">
              <from>
                <xdr:col>1</xdr:col>
                <xdr:colOff>0</xdr:colOff>
                <xdr:row>1</xdr:row>
                <xdr:rowOff>0</xdr:rowOff>
              </from>
              <to>
                <xdr:col>10</xdr:col>
                <xdr:colOff>19050</xdr:colOff>
                <xdr:row>34</xdr:row>
                <xdr:rowOff>0</xdr:rowOff>
              </to>
            </anchor>
          </objectPr>
        </oleObject>
      </mc:Choice>
      <mc:Fallback>
        <oleObject progId="Word.Document.8" shapeId="14337"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indexed="37"/>
  </sheetPr>
  <dimension ref="A1:X64"/>
  <sheetViews>
    <sheetView showGridLines="0" showRowColHeaders="0" workbookViewId="0"/>
  </sheetViews>
  <sheetFormatPr defaultRowHeight="12.5" x14ac:dyDescent="0.25"/>
  <sheetData>
    <row r="1" spans="1:24" x14ac:dyDescent="0.25">
      <c r="A1" s="92"/>
      <c r="B1" s="92"/>
      <c r="C1" s="92"/>
      <c r="D1" s="92"/>
      <c r="E1" s="92"/>
      <c r="F1" s="92"/>
      <c r="G1" s="92"/>
      <c r="H1" s="92"/>
      <c r="I1" s="92"/>
      <c r="J1" s="92"/>
      <c r="K1" s="92"/>
      <c r="L1" s="92"/>
      <c r="M1" s="92"/>
      <c r="N1" s="92"/>
      <c r="O1" s="92"/>
      <c r="P1" s="92"/>
      <c r="Q1" s="92"/>
      <c r="R1" s="92"/>
      <c r="S1" s="92"/>
      <c r="T1" s="92"/>
      <c r="U1" s="92"/>
      <c r="V1" s="92"/>
      <c r="W1" s="92"/>
      <c r="X1" s="92"/>
    </row>
    <row r="2" spans="1:24" x14ac:dyDescent="0.25">
      <c r="A2" s="92"/>
      <c r="B2" s="92"/>
      <c r="C2" s="92"/>
      <c r="D2" s="92"/>
      <c r="E2" s="92"/>
      <c r="F2" s="92"/>
      <c r="G2" s="92"/>
      <c r="H2" s="92"/>
      <c r="I2" s="92"/>
      <c r="J2" s="92"/>
      <c r="K2" s="92"/>
      <c r="L2" s="92"/>
      <c r="M2" s="92"/>
      <c r="N2" s="92"/>
      <c r="O2" s="92"/>
      <c r="P2" s="92"/>
      <c r="Q2" s="92"/>
      <c r="R2" s="92"/>
      <c r="S2" s="92"/>
      <c r="T2" s="92"/>
      <c r="U2" s="92"/>
      <c r="V2" s="92"/>
      <c r="W2" s="92"/>
      <c r="X2" s="92"/>
    </row>
    <row r="3" spans="1:24" x14ac:dyDescent="0.25">
      <c r="A3" s="92"/>
      <c r="B3" s="92"/>
      <c r="C3" s="92"/>
      <c r="D3" s="92"/>
      <c r="E3" s="92"/>
      <c r="F3" s="92"/>
      <c r="G3" s="92"/>
      <c r="H3" s="92"/>
      <c r="I3" s="92"/>
      <c r="J3" s="92"/>
      <c r="K3" s="92"/>
      <c r="L3" s="92"/>
      <c r="M3" s="92"/>
      <c r="N3" s="92"/>
      <c r="O3" s="92"/>
      <c r="P3" s="92"/>
      <c r="Q3" s="92"/>
      <c r="R3" s="92"/>
      <c r="S3" s="92"/>
      <c r="T3" s="92"/>
      <c r="U3" s="92"/>
      <c r="V3" s="92"/>
      <c r="W3" s="92"/>
      <c r="X3" s="92"/>
    </row>
    <row r="4" spans="1:24" x14ac:dyDescent="0.25">
      <c r="A4" s="92"/>
      <c r="B4" s="92"/>
      <c r="C4" s="92"/>
      <c r="D4" s="92"/>
      <c r="E4" s="92"/>
      <c r="F4" s="92"/>
      <c r="G4" s="92"/>
      <c r="H4" s="92"/>
      <c r="I4" s="92"/>
      <c r="J4" s="92"/>
      <c r="K4" s="92"/>
      <c r="L4" s="92"/>
      <c r="M4" s="92"/>
      <c r="N4" s="92"/>
      <c r="O4" s="92"/>
      <c r="P4" s="92"/>
      <c r="Q4" s="92"/>
      <c r="R4" s="92"/>
      <c r="S4" s="92"/>
      <c r="T4" s="92"/>
      <c r="U4" s="92"/>
      <c r="V4" s="92"/>
      <c r="W4" s="92"/>
      <c r="X4" s="92"/>
    </row>
    <row r="5" spans="1:24" x14ac:dyDescent="0.25">
      <c r="A5" s="92"/>
      <c r="B5" s="92"/>
      <c r="C5" s="92"/>
      <c r="D5" s="92"/>
      <c r="E5" s="92"/>
      <c r="F5" s="92"/>
      <c r="G5" s="92"/>
      <c r="H5" s="92"/>
      <c r="I5" s="92"/>
      <c r="J5" s="92"/>
      <c r="K5" s="92"/>
      <c r="L5" s="92"/>
      <c r="M5" s="92"/>
      <c r="N5" s="92"/>
      <c r="O5" s="92"/>
      <c r="P5" s="92"/>
      <c r="Q5" s="92"/>
      <c r="R5" s="92"/>
      <c r="S5" s="92"/>
      <c r="T5" s="92"/>
      <c r="U5" s="92"/>
      <c r="V5" s="92"/>
      <c r="W5" s="92"/>
      <c r="X5" s="92"/>
    </row>
    <row r="6" spans="1:24" x14ac:dyDescent="0.25">
      <c r="A6" s="92"/>
      <c r="B6" s="92"/>
      <c r="C6" s="92"/>
      <c r="D6" s="92"/>
      <c r="E6" s="92"/>
      <c r="F6" s="92"/>
      <c r="G6" s="92"/>
      <c r="H6" s="92"/>
      <c r="I6" s="92"/>
      <c r="J6" s="92"/>
      <c r="K6" s="92"/>
      <c r="L6" s="92"/>
      <c r="M6" s="92"/>
      <c r="N6" s="92"/>
      <c r="O6" s="92"/>
      <c r="P6" s="92"/>
      <c r="Q6" s="92"/>
      <c r="R6" s="92"/>
      <c r="S6" s="92"/>
      <c r="T6" s="92"/>
      <c r="U6" s="92"/>
      <c r="V6" s="92"/>
      <c r="W6" s="92"/>
      <c r="X6" s="92"/>
    </row>
    <row r="7" spans="1:24" x14ac:dyDescent="0.25">
      <c r="A7" s="92"/>
      <c r="B7" s="92"/>
      <c r="C7" s="92"/>
      <c r="D7" s="92"/>
      <c r="E7" s="92"/>
      <c r="F7" s="92"/>
      <c r="G7" s="92"/>
      <c r="H7" s="92"/>
      <c r="I7" s="92"/>
      <c r="J7" s="92"/>
      <c r="K7" s="92"/>
      <c r="L7" s="92"/>
      <c r="M7" s="92"/>
      <c r="N7" s="92"/>
      <c r="O7" s="92"/>
      <c r="P7" s="92"/>
      <c r="Q7" s="92"/>
      <c r="R7" s="92"/>
      <c r="S7" s="92"/>
      <c r="T7" s="92"/>
      <c r="U7" s="92"/>
      <c r="V7" s="92"/>
      <c r="W7" s="92"/>
      <c r="X7" s="92"/>
    </row>
    <row r="8" spans="1:24" x14ac:dyDescent="0.25">
      <c r="A8" s="92"/>
      <c r="B8" s="92"/>
      <c r="C8" s="92"/>
      <c r="D8" s="92"/>
      <c r="E8" s="92"/>
      <c r="F8" s="92"/>
      <c r="G8" s="92"/>
      <c r="H8" s="92"/>
      <c r="I8" s="92"/>
      <c r="J8" s="92"/>
      <c r="K8" s="92"/>
      <c r="L8" s="92"/>
      <c r="M8" s="92"/>
      <c r="N8" s="92"/>
      <c r="O8" s="92"/>
      <c r="P8" s="92"/>
      <c r="Q8" s="92"/>
      <c r="R8" s="92"/>
      <c r="S8" s="92"/>
      <c r="T8" s="92"/>
      <c r="U8" s="92"/>
      <c r="V8" s="92"/>
      <c r="W8" s="92"/>
      <c r="X8" s="92"/>
    </row>
    <row r="9" spans="1:24" x14ac:dyDescent="0.25">
      <c r="A9" s="92"/>
      <c r="B9" s="92"/>
      <c r="C9" s="92"/>
      <c r="D9" s="92"/>
      <c r="E9" s="92"/>
      <c r="F9" s="92"/>
      <c r="G9" s="92"/>
      <c r="H9" s="92"/>
      <c r="I9" s="92"/>
      <c r="J9" s="92"/>
      <c r="K9" s="92"/>
      <c r="L9" s="92"/>
      <c r="M9" s="92"/>
      <c r="N9" s="92"/>
      <c r="O9" s="92"/>
      <c r="P9" s="92"/>
      <c r="Q9" s="92"/>
      <c r="R9" s="92"/>
      <c r="S9" s="92"/>
      <c r="T9" s="92"/>
      <c r="U9" s="92"/>
      <c r="V9" s="92"/>
      <c r="W9" s="92"/>
      <c r="X9" s="92"/>
    </row>
    <row r="10" spans="1:24" x14ac:dyDescent="0.25">
      <c r="A10" s="92"/>
      <c r="B10" s="92"/>
      <c r="C10" s="92"/>
      <c r="D10" s="92"/>
      <c r="E10" s="92"/>
      <c r="F10" s="92"/>
      <c r="G10" s="92"/>
      <c r="H10" s="92"/>
      <c r="I10" s="92"/>
      <c r="J10" s="92"/>
      <c r="K10" s="92"/>
      <c r="L10" s="92"/>
      <c r="M10" s="92"/>
      <c r="N10" s="92"/>
      <c r="O10" s="92"/>
      <c r="P10" s="92"/>
      <c r="Q10" s="92"/>
      <c r="R10" s="92"/>
      <c r="S10" s="92"/>
      <c r="T10" s="92"/>
      <c r="U10" s="92"/>
      <c r="V10" s="92"/>
      <c r="W10" s="92"/>
      <c r="X10" s="92"/>
    </row>
    <row r="11" spans="1:24" x14ac:dyDescent="0.25">
      <c r="A11" s="92"/>
      <c r="B11" s="92"/>
      <c r="C11" s="92"/>
      <c r="D11" s="92"/>
      <c r="E11" s="92"/>
      <c r="F11" s="92"/>
      <c r="G11" s="92"/>
      <c r="H11" s="92"/>
      <c r="I11" s="92"/>
      <c r="J11" s="92"/>
      <c r="K11" s="92"/>
      <c r="L11" s="92"/>
      <c r="M11" s="92"/>
      <c r="N11" s="92"/>
      <c r="O11" s="92"/>
      <c r="P11" s="92"/>
      <c r="Q11" s="92"/>
      <c r="R11" s="92"/>
      <c r="S11" s="92"/>
      <c r="T11" s="92"/>
      <c r="U11" s="92"/>
      <c r="V11" s="92"/>
      <c r="W11" s="92"/>
      <c r="X11" s="92"/>
    </row>
    <row r="12" spans="1:24" x14ac:dyDescent="0.25">
      <c r="A12" s="92"/>
      <c r="B12" s="92"/>
      <c r="C12" s="92"/>
      <c r="D12" s="92"/>
      <c r="E12" s="92"/>
      <c r="F12" s="92"/>
      <c r="G12" s="92"/>
      <c r="H12" s="92"/>
      <c r="I12" s="92"/>
      <c r="J12" s="92"/>
      <c r="K12" s="92"/>
      <c r="L12" s="92"/>
      <c r="M12" s="92"/>
      <c r="N12" s="92"/>
      <c r="O12" s="92"/>
      <c r="P12" s="92"/>
      <c r="Q12" s="92"/>
      <c r="R12" s="92"/>
      <c r="S12" s="92"/>
      <c r="T12" s="92"/>
      <c r="U12" s="92"/>
      <c r="V12" s="92"/>
      <c r="W12" s="92"/>
      <c r="X12" s="92"/>
    </row>
    <row r="13" spans="1:24" x14ac:dyDescent="0.25">
      <c r="A13" s="92"/>
      <c r="B13" s="92"/>
      <c r="C13" s="92"/>
      <c r="D13" s="92"/>
      <c r="E13" s="92"/>
      <c r="F13" s="92"/>
      <c r="G13" s="92"/>
      <c r="H13" s="92"/>
      <c r="I13" s="92"/>
      <c r="J13" s="92"/>
      <c r="K13" s="92"/>
      <c r="L13" s="92"/>
      <c r="M13" s="92"/>
      <c r="N13" s="92"/>
      <c r="O13" s="92"/>
      <c r="P13" s="92"/>
      <c r="Q13" s="92"/>
      <c r="R13" s="92"/>
      <c r="S13" s="92"/>
      <c r="T13" s="92"/>
      <c r="U13" s="92"/>
      <c r="V13" s="92"/>
      <c r="W13" s="92"/>
      <c r="X13" s="92"/>
    </row>
    <row r="14" spans="1:24" x14ac:dyDescent="0.25">
      <c r="A14" s="92"/>
      <c r="B14" s="92"/>
      <c r="C14" s="92"/>
      <c r="D14" s="92"/>
      <c r="E14" s="92"/>
      <c r="F14" s="92"/>
      <c r="G14" s="92"/>
      <c r="H14" s="92"/>
      <c r="I14" s="92"/>
      <c r="J14" s="92"/>
      <c r="K14" s="92"/>
      <c r="L14" s="92"/>
      <c r="M14" s="92"/>
      <c r="N14" s="92"/>
      <c r="O14" s="92"/>
      <c r="P14" s="92"/>
      <c r="Q14" s="92"/>
      <c r="R14" s="92"/>
      <c r="S14" s="92"/>
      <c r="T14" s="92"/>
      <c r="U14" s="92"/>
      <c r="V14" s="92"/>
      <c r="W14" s="92"/>
      <c r="X14" s="92"/>
    </row>
    <row r="15" spans="1:24" x14ac:dyDescent="0.25">
      <c r="A15" s="92"/>
      <c r="B15" s="92"/>
      <c r="C15" s="92"/>
      <c r="D15" s="92"/>
      <c r="E15" s="92"/>
      <c r="F15" s="92"/>
      <c r="G15" s="92"/>
      <c r="H15" s="92"/>
      <c r="I15" s="92"/>
      <c r="J15" s="92"/>
      <c r="K15" s="92"/>
      <c r="L15" s="92"/>
      <c r="M15" s="92"/>
      <c r="N15" s="92"/>
      <c r="O15" s="92"/>
      <c r="P15" s="92"/>
      <c r="Q15" s="92"/>
      <c r="R15" s="92"/>
      <c r="S15" s="92"/>
      <c r="T15" s="92"/>
      <c r="U15" s="92"/>
      <c r="V15" s="92"/>
      <c r="W15" s="92"/>
      <c r="X15" s="92"/>
    </row>
    <row r="16" spans="1:24" x14ac:dyDescent="0.25">
      <c r="A16" s="92"/>
      <c r="B16" s="92"/>
      <c r="C16" s="92"/>
      <c r="D16" s="92"/>
      <c r="E16" s="92"/>
      <c r="F16" s="92"/>
      <c r="G16" s="92"/>
      <c r="H16" s="92"/>
      <c r="I16" s="92"/>
      <c r="J16" s="92"/>
      <c r="K16" s="92"/>
      <c r="L16" s="92"/>
      <c r="M16" s="92"/>
      <c r="N16" s="92"/>
      <c r="O16" s="92"/>
      <c r="P16" s="92"/>
      <c r="Q16" s="92"/>
      <c r="R16" s="92"/>
      <c r="S16" s="92"/>
      <c r="T16" s="92"/>
      <c r="U16" s="92"/>
      <c r="V16" s="92"/>
      <c r="W16" s="92"/>
      <c r="X16" s="92"/>
    </row>
    <row r="17" spans="1:24" x14ac:dyDescent="0.25">
      <c r="A17" s="92"/>
      <c r="B17" s="92"/>
      <c r="C17" s="92"/>
      <c r="D17" s="92"/>
      <c r="E17" s="92"/>
      <c r="F17" s="92"/>
      <c r="G17" s="92"/>
      <c r="H17" s="92"/>
      <c r="I17" s="92"/>
      <c r="J17" s="92"/>
      <c r="K17" s="92"/>
      <c r="L17" s="92"/>
      <c r="M17" s="92"/>
      <c r="N17" s="92"/>
      <c r="O17" s="92"/>
      <c r="P17" s="92"/>
      <c r="Q17" s="92"/>
      <c r="R17" s="92"/>
      <c r="S17" s="92"/>
      <c r="T17" s="92"/>
      <c r="U17" s="92"/>
      <c r="V17" s="92"/>
      <c r="W17" s="92"/>
      <c r="X17" s="92"/>
    </row>
    <row r="18" spans="1:24" x14ac:dyDescent="0.25">
      <c r="A18" s="92"/>
      <c r="B18" s="92"/>
      <c r="C18" s="92"/>
      <c r="D18" s="92"/>
      <c r="E18" s="92"/>
      <c r="F18" s="92"/>
      <c r="G18" s="92"/>
      <c r="H18" s="92"/>
      <c r="I18" s="92"/>
      <c r="J18" s="92"/>
      <c r="K18" s="92"/>
      <c r="L18" s="92"/>
      <c r="M18" s="92"/>
      <c r="N18" s="92"/>
      <c r="O18" s="92"/>
      <c r="P18" s="92"/>
      <c r="Q18" s="92"/>
      <c r="R18" s="92"/>
      <c r="S18" s="92"/>
      <c r="T18" s="92"/>
      <c r="U18" s="92"/>
      <c r="V18" s="92"/>
      <c r="W18" s="92"/>
      <c r="X18" s="92"/>
    </row>
    <row r="19" spans="1:24" x14ac:dyDescent="0.25">
      <c r="A19" s="92"/>
      <c r="B19" s="92"/>
      <c r="C19" s="92"/>
      <c r="D19" s="92"/>
      <c r="E19" s="92"/>
      <c r="F19" s="92"/>
      <c r="G19" s="92"/>
      <c r="H19" s="92"/>
      <c r="I19" s="92"/>
      <c r="J19" s="92"/>
      <c r="K19" s="92"/>
      <c r="L19" s="92"/>
      <c r="M19" s="92"/>
      <c r="N19" s="92"/>
      <c r="O19" s="92"/>
      <c r="P19" s="92"/>
      <c r="Q19" s="92"/>
      <c r="R19" s="92"/>
      <c r="S19" s="92"/>
      <c r="T19" s="92"/>
      <c r="U19" s="92"/>
      <c r="V19" s="92"/>
      <c r="W19" s="92"/>
      <c r="X19" s="92"/>
    </row>
    <row r="20" spans="1:24" x14ac:dyDescent="0.25">
      <c r="A20" s="92"/>
      <c r="B20" s="92"/>
      <c r="C20" s="92"/>
      <c r="D20" s="92"/>
      <c r="E20" s="92"/>
      <c r="F20" s="92"/>
      <c r="G20" s="92"/>
      <c r="H20" s="92"/>
      <c r="I20" s="92"/>
      <c r="J20" s="92"/>
      <c r="K20" s="92"/>
      <c r="L20" s="92"/>
      <c r="M20" s="92"/>
      <c r="N20" s="92"/>
      <c r="O20" s="92"/>
      <c r="P20" s="92"/>
      <c r="Q20" s="92"/>
      <c r="R20" s="92"/>
      <c r="S20" s="92"/>
      <c r="T20" s="92"/>
      <c r="U20" s="92"/>
      <c r="V20" s="92"/>
      <c r="W20" s="92"/>
      <c r="X20" s="92"/>
    </row>
    <row r="21" spans="1:24" x14ac:dyDescent="0.25">
      <c r="A21" s="92"/>
      <c r="B21" s="92"/>
      <c r="C21" s="92"/>
      <c r="D21" s="92"/>
      <c r="E21" s="92"/>
      <c r="F21" s="92"/>
      <c r="G21" s="92"/>
      <c r="H21" s="92"/>
      <c r="I21" s="92"/>
      <c r="J21" s="92"/>
      <c r="K21" s="92"/>
      <c r="L21" s="92"/>
      <c r="M21" s="92"/>
      <c r="N21" s="92"/>
      <c r="O21" s="92"/>
      <c r="P21" s="92"/>
      <c r="Q21" s="92"/>
      <c r="R21" s="92"/>
      <c r="S21" s="92"/>
      <c r="T21" s="92"/>
      <c r="U21" s="92"/>
      <c r="V21" s="92"/>
      <c r="W21" s="92"/>
      <c r="X21" s="92"/>
    </row>
    <row r="22" spans="1:24" x14ac:dyDescent="0.25">
      <c r="A22" s="92"/>
      <c r="B22" s="92"/>
      <c r="C22" s="92"/>
      <c r="D22" s="92"/>
      <c r="E22" s="92"/>
      <c r="F22" s="92"/>
      <c r="G22" s="92"/>
      <c r="H22" s="92"/>
      <c r="I22" s="92"/>
      <c r="J22" s="92"/>
      <c r="K22" s="92"/>
      <c r="L22" s="92"/>
      <c r="M22" s="92"/>
      <c r="N22" s="92"/>
      <c r="O22" s="92"/>
      <c r="P22" s="92"/>
      <c r="Q22" s="92"/>
      <c r="R22" s="92"/>
      <c r="S22" s="92"/>
      <c r="T22" s="92"/>
      <c r="U22" s="92"/>
      <c r="V22" s="92"/>
      <c r="W22" s="92"/>
      <c r="X22" s="92"/>
    </row>
    <row r="23" spans="1:24" x14ac:dyDescent="0.25">
      <c r="A23" s="92"/>
      <c r="B23" s="92"/>
      <c r="C23" s="92"/>
      <c r="D23" s="92"/>
      <c r="E23" s="92"/>
      <c r="F23" s="92"/>
      <c r="G23" s="92"/>
      <c r="H23" s="92"/>
      <c r="I23" s="92"/>
      <c r="J23" s="92"/>
      <c r="K23" s="92"/>
      <c r="L23" s="92"/>
      <c r="M23" s="92"/>
      <c r="N23" s="92"/>
      <c r="O23" s="92"/>
      <c r="P23" s="92"/>
      <c r="Q23" s="92"/>
      <c r="R23" s="92"/>
      <c r="S23" s="92"/>
      <c r="T23" s="92"/>
      <c r="U23" s="92"/>
      <c r="V23" s="92"/>
      <c r="W23" s="92"/>
      <c r="X23" s="92"/>
    </row>
    <row r="24" spans="1:24" x14ac:dyDescent="0.25">
      <c r="A24" s="92"/>
      <c r="B24" s="92"/>
      <c r="C24" s="92"/>
      <c r="D24" s="92"/>
      <c r="E24" s="92"/>
      <c r="F24" s="92"/>
      <c r="G24" s="92"/>
      <c r="H24" s="92"/>
      <c r="I24" s="92"/>
      <c r="J24" s="92"/>
      <c r="K24" s="92"/>
      <c r="L24" s="92"/>
      <c r="M24" s="92"/>
      <c r="N24" s="92"/>
      <c r="O24" s="92"/>
      <c r="P24" s="92"/>
      <c r="Q24" s="92"/>
      <c r="R24" s="92"/>
      <c r="S24" s="92"/>
      <c r="T24" s="92"/>
      <c r="U24" s="92"/>
      <c r="V24" s="92"/>
      <c r="W24" s="92"/>
      <c r="X24" s="92"/>
    </row>
    <row r="25" spans="1:24" x14ac:dyDescent="0.25">
      <c r="A25" s="92"/>
      <c r="B25" s="92"/>
      <c r="C25" s="92"/>
      <c r="D25" s="92"/>
      <c r="E25" s="92"/>
      <c r="F25" s="92"/>
      <c r="G25" s="92"/>
      <c r="H25" s="92"/>
      <c r="I25" s="92"/>
      <c r="J25" s="92"/>
      <c r="K25" s="92"/>
      <c r="L25" s="92"/>
      <c r="M25" s="92"/>
      <c r="N25" s="92"/>
      <c r="O25" s="92"/>
      <c r="P25" s="92"/>
      <c r="Q25" s="92"/>
      <c r="R25" s="92"/>
      <c r="S25" s="92"/>
      <c r="T25" s="92"/>
      <c r="U25" s="92"/>
      <c r="V25" s="92"/>
      <c r="W25" s="92"/>
      <c r="X25" s="92"/>
    </row>
    <row r="26" spans="1:24" x14ac:dyDescent="0.25">
      <c r="A26" s="92"/>
      <c r="B26" s="92"/>
      <c r="C26" s="92"/>
      <c r="D26" s="92"/>
      <c r="E26" s="92"/>
      <c r="F26" s="92"/>
      <c r="G26" s="92"/>
      <c r="H26" s="92"/>
      <c r="I26" s="92"/>
      <c r="J26" s="92"/>
      <c r="K26" s="92"/>
      <c r="L26" s="92"/>
      <c r="M26" s="92"/>
      <c r="N26" s="92"/>
      <c r="O26" s="92"/>
      <c r="P26" s="92"/>
      <c r="Q26" s="92"/>
      <c r="R26" s="92"/>
      <c r="S26" s="92"/>
      <c r="T26" s="92"/>
      <c r="U26" s="92"/>
      <c r="V26" s="92"/>
      <c r="W26" s="92"/>
      <c r="X26" s="92"/>
    </row>
    <row r="27" spans="1:24" x14ac:dyDescent="0.25">
      <c r="A27" s="92"/>
      <c r="B27" s="92"/>
      <c r="C27" s="92"/>
      <c r="D27" s="92"/>
      <c r="E27" s="92"/>
      <c r="F27" s="92"/>
      <c r="G27" s="92"/>
      <c r="H27" s="92"/>
      <c r="I27" s="92"/>
      <c r="J27" s="92"/>
      <c r="K27" s="92"/>
      <c r="L27" s="92"/>
      <c r="M27" s="92"/>
      <c r="N27" s="92"/>
      <c r="O27" s="92"/>
      <c r="P27" s="92"/>
      <c r="Q27" s="92"/>
      <c r="R27" s="92"/>
      <c r="S27" s="92"/>
      <c r="T27" s="92"/>
      <c r="U27" s="92"/>
      <c r="V27" s="92"/>
      <c r="W27" s="92"/>
      <c r="X27" s="92"/>
    </row>
    <row r="28" spans="1:24" x14ac:dyDescent="0.25">
      <c r="A28" s="92"/>
      <c r="B28" s="92"/>
      <c r="C28" s="92"/>
      <c r="D28" s="92"/>
      <c r="E28" s="92"/>
      <c r="F28" s="92"/>
      <c r="G28" s="92"/>
      <c r="H28" s="92"/>
      <c r="I28" s="92"/>
      <c r="J28" s="92"/>
      <c r="K28" s="92"/>
      <c r="L28" s="92"/>
      <c r="M28" s="92"/>
      <c r="N28" s="92"/>
      <c r="O28" s="92"/>
      <c r="P28" s="92"/>
      <c r="Q28" s="92"/>
      <c r="R28" s="92"/>
      <c r="S28" s="92"/>
      <c r="T28" s="92"/>
      <c r="U28" s="92"/>
      <c r="V28" s="92"/>
      <c r="W28" s="92"/>
      <c r="X28" s="92"/>
    </row>
    <row r="29" spans="1:24" x14ac:dyDescent="0.25">
      <c r="A29" s="92"/>
      <c r="B29" s="92"/>
      <c r="C29" s="92"/>
      <c r="D29" s="92"/>
      <c r="E29" s="92"/>
      <c r="F29" s="92"/>
      <c r="G29" s="92"/>
      <c r="H29" s="92"/>
      <c r="I29" s="92"/>
      <c r="J29" s="92"/>
      <c r="K29" s="92"/>
      <c r="L29" s="92"/>
      <c r="M29" s="92"/>
      <c r="N29" s="92"/>
      <c r="O29" s="92"/>
      <c r="P29" s="92"/>
      <c r="Q29" s="92"/>
      <c r="R29" s="92"/>
      <c r="S29" s="92"/>
      <c r="T29" s="92"/>
      <c r="U29" s="92"/>
      <c r="V29" s="92"/>
      <c r="W29" s="92"/>
      <c r="X29" s="92"/>
    </row>
    <row r="30" spans="1:24" x14ac:dyDescent="0.25">
      <c r="A30" s="92"/>
      <c r="B30" s="92"/>
      <c r="C30" s="92"/>
      <c r="D30" s="92"/>
      <c r="E30" s="92"/>
      <c r="F30" s="92"/>
      <c r="G30" s="92"/>
      <c r="H30" s="92"/>
      <c r="I30" s="92"/>
      <c r="J30" s="92"/>
      <c r="K30" s="92"/>
      <c r="L30" s="92"/>
      <c r="M30" s="92"/>
      <c r="N30" s="92"/>
      <c r="O30" s="92"/>
      <c r="P30" s="92"/>
      <c r="Q30" s="92"/>
      <c r="R30" s="92"/>
      <c r="S30" s="92"/>
      <c r="T30" s="92"/>
      <c r="U30" s="92"/>
      <c r="V30" s="92"/>
      <c r="W30" s="92"/>
      <c r="X30" s="92"/>
    </row>
    <row r="31" spans="1:24" x14ac:dyDescent="0.25">
      <c r="A31" s="92"/>
      <c r="B31" s="92"/>
      <c r="C31" s="92"/>
      <c r="D31" s="92"/>
      <c r="E31" s="92"/>
      <c r="F31" s="92"/>
      <c r="G31" s="92"/>
      <c r="H31" s="92"/>
      <c r="I31" s="92"/>
      <c r="J31" s="92"/>
      <c r="K31" s="92"/>
      <c r="L31" s="92"/>
      <c r="M31" s="92"/>
      <c r="N31" s="92"/>
      <c r="O31" s="92"/>
      <c r="P31" s="92"/>
      <c r="Q31" s="92"/>
      <c r="R31" s="92"/>
      <c r="S31" s="92"/>
      <c r="T31" s="92"/>
      <c r="U31" s="92"/>
      <c r="V31" s="92"/>
      <c r="W31" s="92"/>
      <c r="X31" s="92"/>
    </row>
    <row r="32" spans="1:24" x14ac:dyDescent="0.25">
      <c r="A32" s="92"/>
      <c r="B32" s="92"/>
      <c r="C32" s="92"/>
      <c r="D32" s="92"/>
      <c r="E32" s="92"/>
      <c r="F32" s="92"/>
      <c r="G32" s="92"/>
      <c r="H32" s="92"/>
      <c r="I32" s="92"/>
      <c r="J32" s="92"/>
      <c r="K32" s="92"/>
      <c r="L32" s="92"/>
      <c r="M32" s="92"/>
      <c r="N32" s="92"/>
      <c r="O32" s="92"/>
      <c r="P32" s="92"/>
      <c r="Q32" s="92"/>
      <c r="R32" s="92"/>
      <c r="S32" s="92"/>
      <c r="T32" s="92"/>
      <c r="U32" s="92"/>
      <c r="V32" s="92"/>
      <c r="W32" s="92"/>
      <c r="X32" s="92"/>
    </row>
    <row r="33" spans="1:24" x14ac:dyDescent="0.25">
      <c r="A33" s="92"/>
      <c r="B33" s="92"/>
      <c r="C33" s="92"/>
      <c r="D33" s="92"/>
      <c r="E33" s="92"/>
      <c r="F33" s="92"/>
      <c r="G33" s="92"/>
      <c r="H33" s="92"/>
      <c r="I33" s="92"/>
      <c r="J33" s="92"/>
      <c r="K33" s="92"/>
      <c r="L33" s="92"/>
      <c r="M33" s="92"/>
      <c r="N33" s="92"/>
      <c r="O33" s="92"/>
      <c r="P33" s="92"/>
      <c r="Q33" s="92"/>
      <c r="R33" s="92"/>
      <c r="S33" s="92"/>
      <c r="T33" s="92"/>
      <c r="U33" s="92"/>
      <c r="V33" s="92"/>
      <c r="W33" s="92"/>
      <c r="X33" s="92"/>
    </row>
    <row r="34" spans="1:24" x14ac:dyDescent="0.25">
      <c r="A34" s="92"/>
      <c r="B34" s="92"/>
      <c r="C34" s="92"/>
      <c r="D34" s="92"/>
      <c r="E34" s="92"/>
      <c r="F34" s="92"/>
      <c r="G34" s="92"/>
      <c r="H34" s="92"/>
      <c r="I34" s="92"/>
      <c r="J34" s="92"/>
      <c r="K34" s="92"/>
      <c r="L34" s="92"/>
      <c r="M34" s="92"/>
      <c r="N34" s="92"/>
      <c r="O34" s="92"/>
      <c r="P34" s="92"/>
      <c r="Q34" s="92"/>
      <c r="R34" s="92"/>
      <c r="S34" s="92"/>
      <c r="T34" s="92"/>
      <c r="U34" s="92"/>
      <c r="V34" s="92"/>
      <c r="W34" s="92"/>
      <c r="X34" s="92"/>
    </row>
    <row r="35" spans="1:24" x14ac:dyDescent="0.25">
      <c r="A35" s="92"/>
      <c r="B35" s="92"/>
      <c r="C35" s="92"/>
      <c r="D35" s="92"/>
      <c r="E35" s="92"/>
      <c r="F35" s="92"/>
      <c r="G35" s="92"/>
      <c r="H35" s="92"/>
      <c r="I35" s="92"/>
      <c r="J35" s="92"/>
      <c r="K35" s="92"/>
      <c r="L35" s="92"/>
      <c r="M35" s="92"/>
      <c r="N35" s="92"/>
      <c r="O35" s="92"/>
      <c r="P35" s="92"/>
      <c r="Q35" s="92"/>
      <c r="R35" s="92"/>
      <c r="S35" s="92"/>
      <c r="T35" s="92"/>
      <c r="U35" s="92"/>
      <c r="V35" s="92"/>
      <c r="W35" s="92"/>
      <c r="X35" s="92"/>
    </row>
    <row r="36" spans="1:24" x14ac:dyDescent="0.25">
      <c r="A36" s="92"/>
      <c r="B36" s="92"/>
      <c r="C36" s="92"/>
      <c r="D36" s="92"/>
      <c r="E36" s="92"/>
      <c r="F36" s="92"/>
      <c r="G36" s="92"/>
      <c r="H36" s="92"/>
      <c r="I36" s="92"/>
      <c r="J36" s="92"/>
      <c r="K36" s="92"/>
      <c r="L36" s="92"/>
      <c r="M36" s="92"/>
      <c r="N36" s="92"/>
      <c r="O36" s="92"/>
      <c r="P36" s="92"/>
      <c r="Q36" s="92"/>
      <c r="R36" s="92"/>
      <c r="S36" s="92"/>
      <c r="T36" s="92"/>
      <c r="U36" s="92"/>
      <c r="V36" s="92"/>
      <c r="W36" s="92"/>
      <c r="X36" s="92"/>
    </row>
    <row r="37" spans="1:24" x14ac:dyDescent="0.25">
      <c r="A37" s="92"/>
      <c r="B37" s="92"/>
      <c r="C37" s="92"/>
      <c r="D37" s="92"/>
      <c r="E37" s="92"/>
      <c r="F37" s="92"/>
      <c r="G37" s="92"/>
      <c r="H37" s="92"/>
      <c r="I37" s="92"/>
      <c r="J37" s="92"/>
      <c r="K37" s="92"/>
      <c r="L37" s="92"/>
      <c r="M37" s="92"/>
      <c r="N37" s="92"/>
      <c r="O37" s="92"/>
      <c r="P37" s="92"/>
      <c r="Q37" s="92"/>
      <c r="R37" s="92"/>
      <c r="S37" s="92"/>
      <c r="T37" s="92"/>
      <c r="U37" s="92"/>
      <c r="V37" s="92"/>
      <c r="W37" s="92"/>
      <c r="X37" s="92"/>
    </row>
    <row r="38" spans="1:24" x14ac:dyDescent="0.25">
      <c r="A38" s="92"/>
      <c r="B38" s="92"/>
      <c r="C38" s="92"/>
      <c r="D38" s="92"/>
      <c r="E38" s="92"/>
      <c r="F38" s="92"/>
      <c r="G38" s="92"/>
      <c r="H38" s="92"/>
      <c r="I38" s="92"/>
      <c r="J38" s="92"/>
      <c r="K38" s="92"/>
      <c r="L38" s="92"/>
      <c r="M38" s="92"/>
      <c r="N38" s="92"/>
      <c r="O38" s="92"/>
      <c r="P38" s="92"/>
      <c r="Q38" s="92"/>
      <c r="R38" s="92"/>
      <c r="S38" s="92"/>
      <c r="T38" s="92"/>
      <c r="U38" s="92"/>
      <c r="V38" s="92"/>
      <c r="W38" s="92"/>
      <c r="X38" s="92"/>
    </row>
    <row r="39" spans="1:24" x14ac:dyDescent="0.25">
      <c r="A39" s="92"/>
      <c r="B39" s="92"/>
      <c r="C39" s="92"/>
      <c r="D39" s="92"/>
      <c r="E39" s="92"/>
      <c r="F39" s="92"/>
      <c r="G39" s="92"/>
      <c r="H39" s="92"/>
      <c r="I39" s="92"/>
      <c r="J39" s="92"/>
      <c r="K39" s="92"/>
      <c r="L39" s="92"/>
      <c r="M39" s="92"/>
      <c r="N39" s="92"/>
      <c r="O39" s="92"/>
      <c r="P39" s="92"/>
      <c r="Q39" s="92"/>
      <c r="R39" s="92"/>
      <c r="S39" s="92"/>
      <c r="T39" s="92"/>
      <c r="U39" s="92"/>
      <c r="V39" s="92"/>
      <c r="W39" s="92"/>
      <c r="X39" s="92"/>
    </row>
    <row r="40" spans="1:24" x14ac:dyDescent="0.25">
      <c r="A40" s="92"/>
      <c r="B40" s="92"/>
      <c r="C40" s="92"/>
      <c r="D40" s="92"/>
      <c r="E40" s="92"/>
      <c r="F40" s="92"/>
      <c r="G40" s="92"/>
      <c r="H40" s="92"/>
      <c r="I40" s="92"/>
      <c r="J40" s="92"/>
      <c r="K40" s="92"/>
      <c r="L40" s="92"/>
      <c r="M40" s="92"/>
      <c r="N40" s="92"/>
      <c r="O40" s="92"/>
      <c r="P40" s="92"/>
      <c r="Q40" s="92"/>
      <c r="R40" s="92"/>
      <c r="S40" s="92"/>
      <c r="T40" s="92"/>
      <c r="U40" s="92"/>
      <c r="V40" s="92"/>
      <c r="W40" s="92"/>
      <c r="X40" s="92"/>
    </row>
    <row r="41" spans="1:24" x14ac:dyDescent="0.25">
      <c r="A41" s="92"/>
      <c r="B41" s="92"/>
      <c r="C41" s="92"/>
      <c r="D41" s="92"/>
      <c r="E41" s="92"/>
      <c r="F41" s="92"/>
      <c r="G41" s="92"/>
      <c r="H41" s="92"/>
      <c r="I41" s="92"/>
      <c r="J41" s="92"/>
      <c r="K41" s="92"/>
      <c r="L41" s="92"/>
      <c r="M41" s="92"/>
      <c r="N41" s="92"/>
      <c r="O41" s="92"/>
      <c r="P41" s="92"/>
      <c r="Q41" s="92"/>
      <c r="R41" s="92"/>
      <c r="S41" s="92"/>
      <c r="T41" s="92"/>
      <c r="U41" s="92"/>
      <c r="V41" s="92"/>
      <c r="W41" s="92"/>
      <c r="X41" s="92"/>
    </row>
    <row r="42" spans="1:24" x14ac:dyDescent="0.25">
      <c r="A42" s="92"/>
      <c r="B42" s="92"/>
      <c r="C42" s="92"/>
      <c r="D42" s="92"/>
      <c r="E42" s="92"/>
      <c r="F42" s="92"/>
      <c r="G42" s="92"/>
      <c r="H42" s="92"/>
      <c r="I42" s="92"/>
      <c r="J42" s="92"/>
      <c r="K42" s="92"/>
      <c r="L42" s="92"/>
      <c r="M42" s="92"/>
      <c r="N42" s="92"/>
      <c r="O42" s="92"/>
      <c r="P42" s="92"/>
      <c r="Q42" s="92"/>
      <c r="R42" s="92"/>
      <c r="S42" s="92"/>
      <c r="T42" s="92"/>
      <c r="U42" s="92"/>
      <c r="V42" s="92"/>
      <c r="W42" s="92"/>
      <c r="X42" s="92"/>
    </row>
    <row r="43" spans="1:24" x14ac:dyDescent="0.25">
      <c r="A43" s="92"/>
      <c r="B43" s="92"/>
      <c r="C43" s="92"/>
      <c r="D43" s="92"/>
      <c r="E43" s="92"/>
      <c r="F43" s="92"/>
      <c r="G43" s="92"/>
      <c r="H43" s="92"/>
      <c r="I43" s="92"/>
      <c r="J43" s="92"/>
      <c r="K43" s="92"/>
      <c r="L43" s="92"/>
      <c r="M43" s="92"/>
      <c r="N43" s="92"/>
      <c r="O43" s="92"/>
      <c r="P43" s="92"/>
      <c r="Q43" s="92"/>
      <c r="R43" s="92"/>
      <c r="S43" s="92"/>
      <c r="T43" s="92"/>
      <c r="U43" s="92"/>
      <c r="V43" s="92"/>
      <c r="W43" s="92"/>
      <c r="X43" s="92"/>
    </row>
    <row r="44" spans="1:24" x14ac:dyDescent="0.25">
      <c r="A44" s="92"/>
      <c r="B44" s="92"/>
      <c r="C44" s="92"/>
      <c r="D44" s="92"/>
      <c r="E44" s="92"/>
      <c r="F44" s="92"/>
      <c r="G44" s="92"/>
      <c r="H44" s="92"/>
      <c r="I44" s="92"/>
      <c r="J44" s="92"/>
      <c r="K44" s="92"/>
      <c r="L44" s="92"/>
      <c r="M44" s="92"/>
      <c r="N44" s="92"/>
      <c r="O44" s="92"/>
      <c r="P44" s="92"/>
      <c r="Q44" s="92"/>
      <c r="R44" s="92"/>
      <c r="S44" s="92"/>
      <c r="T44" s="92"/>
      <c r="U44" s="92"/>
      <c r="V44" s="92"/>
      <c r="W44" s="92"/>
      <c r="X44" s="92"/>
    </row>
    <row r="45" spans="1:24" x14ac:dyDescent="0.25">
      <c r="A45" s="92"/>
      <c r="B45" s="92"/>
      <c r="C45" s="92"/>
      <c r="D45" s="92"/>
      <c r="E45" s="92"/>
      <c r="F45" s="92"/>
      <c r="G45" s="92"/>
      <c r="H45" s="92"/>
      <c r="I45" s="92"/>
      <c r="J45" s="92"/>
      <c r="K45" s="92"/>
      <c r="L45" s="92"/>
      <c r="M45" s="92"/>
      <c r="N45" s="92"/>
      <c r="O45" s="92"/>
      <c r="P45" s="92"/>
      <c r="Q45" s="92"/>
      <c r="R45" s="92"/>
      <c r="S45" s="92"/>
      <c r="T45" s="92"/>
      <c r="U45" s="92"/>
      <c r="V45" s="92"/>
      <c r="W45" s="92"/>
      <c r="X45" s="92"/>
    </row>
    <row r="46" spans="1:24" x14ac:dyDescent="0.25">
      <c r="A46" s="92"/>
      <c r="B46" s="92"/>
      <c r="C46" s="92"/>
      <c r="D46" s="92"/>
      <c r="E46" s="92"/>
      <c r="F46" s="92"/>
      <c r="G46" s="92"/>
      <c r="H46" s="92"/>
      <c r="I46" s="92"/>
      <c r="J46" s="92"/>
      <c r="K46" s="92"/>
      <c r="L46" s="92"/>
      <c r="M46" s="92"/>
      <c r="N46" s="92"/>
      <c r="O46" s="92"/>
      <c r="P46" s="92"/>
      <c r="Q46" s="92"/>
      <c r="R46" s="92"/>
      <c r="S46" s="92"/>
      <c r="T46" s="92"/>
      <c r="U46" s="92"/>
      <c r="V46" s="92"/>
      <c r="W46" s="92"/>
      <c r="X46" s="92"/>
    </row>
    <row r="47" spans="1:24" x14ac:dyDescent="0.25">
      <c r="A47" s="92"/>
      <c r="B47" s="92"/>
      <c r="C47" s="92"/>
      <c r="D47" s="92"/>
      <c r="E47" s="92"/>
      <c r="F47" s="92"/>
      <c r="G47" s="92"/>
      <c r="H47" s="92"/>
      <c r="I47" s="92"/>
      <c r="J47" s="92"/>
      <c r="K47" s="92"/>
      <c r="L47" s="92"/>
      <c r="M47" s="92"/>
      <c r="N47" s="92"/>
      <c r="O47" s="92"/>
      <c r="P47" s="92"/>
      <c r="Q47" s="92"/>
      <c r="R47" s="92"/>
      <c r="S47" s="92"/>
      <c r="T47" s="92"/>
      <c r="U47" s="92"/>
      <c r="V47" s="92"/>
      <c r="W47" s="92"/>
      <c r="X47" s="92"/>
    </row>
    <row r="48" spans="1:24" x14ac:dyDescent="0.25">
      <c r="A48" s="92"/>
      <c r="B48" s="92"/>
      <c r="C48" s="92"/>
      <c r="D48" s="92"/>
      <c r="E48" s="92"/>
      <c r="F48" s="92"/>
      <c r="G48" s="92"/>
      <c r="H48" s="92"/>
      <c r="I48" s="92"/>
      <c r="J48" s="92"/>
      <c r="K48" s="92"/>
      <c r="L48" s="92"/>
      <c r="M48" s="92"/>
      <c r="N48" s="92"/>
      <c r="O48" s="92"/>
      <c r="P48" s="92"/>
      <c r="Q48" s="92"/>
      <c r="R48" s="92"/>
      <c r="S48" s="92"/>
      <c r="T48" s="92"/>
      <c r="U48" s="92"/>
      <c r="V48" s="92"/>
      <c r="W48" s="92"/>
      <c r="X48" s="92"/>
    </row>
    <row r="49" spans="1:24" x14ac:dyDescent="0.25">
      <c r="A49" s="92"/>
      <c r="B49" s="92"/>
      <c r="C49" s="92"/>
      <c r="D49" s="92"/>
      <c r="E49" s="92"/>
      <c r="F49" s="92"/>
      <c r="G49" s="92"/>
      <c r="H49" s="92"/>
      <c r="I49" s="92"/>
      <c r="J49" s="92"/>
      <c r="K49" s="92"/>
      <c r="L49" s="92"/>
      <c r="M49" s="92"/>
      <c r="N49" s="92"/>
      <c r="O49" s="92"/>
      <c r="P49" s="92"/>
      <c r="Q49" s="92"/>
      <c r="R49" s="92"/>
      <c r="S49" s="92"/>
      <c r="T49" s="92"/>
      <c r="U49" s="92"/>
      <c r="V49" s="92"/>
      <c r="W49" s="92"/>
      <c r="X49" s="92"/>
    </row>
    <row r="50" spans="1:24" x14ac:dyDescent="0.25">
      <c r="A50" s="92"/>
      <c r="B50" s="92"/>
      <c r="C50" s="92"/>
      <c r="D50" s="92"/>
      <c r="E50" s="92"/>
      <c r="F50" s="92"/>
      <c r="G50" s="92"/>
      <c r="H50" s="92"/>
      <c r="I50" s="92"/>
      <c r="J50" s="92"/>
      <c r="K50" s="92"/>
      <c r="L50" s="92"/>
      <c r="M50" s="92"/>
      <c r="N50" s="92"/>
      <c r="O50" s="92"/>
      <c r="P50" s="92"/>
      <c r="Q50" s="92"/>
      <c r="R50" s="92"/>
      <c r="S50" s="92"/>
      <c r="T50" s="92"/>
      <c r="U50" s="92"/>
      <c r="V50" s="92"/>
      <c r="W50" s="92"/>
      <c r="X50" s="92"/>
    </row>
    <row r="51" spans="1:24" x14ac:dyDescent="0.25">
      <c r="A51" s="92"/>
      <c r="B51" s="92"/>
      <c r="C51" s="92"/>
      <c r="D51" s="92"/>
      <c r="E51" s="92"/>
      <c r="F51" s="92"/>
      <c r="G51" s="92"/>
      <c r="H51" s="92"/>
      <c r="I51" s="92"/>
      <c r="J51" s="92"/>
      <c r="K51" s="92"/>
      <c r="L51" s="92"/>
      <c r="M51" s="92"/>
      <c r="N51" s="92"/>
      <c r="O51" s="92"/>
      <c r="P51" s="92"/>
      <c r="Q51" s="92"/>
      <c r="R51" s="92"/>
      <c r="S51" s="92"/>
      <c r="T51" s="92"/>
      <c r="U51" s="92"/>
      <c r="V51" s="92"/>
      <c r="W51" s="92"/>
      <c r="X51" s="92"/>
    </row>
    <row r="52" spans="1:24" x14ac:dyDescent="0.25">
      <c r="A52" s="92"/>
      <c r="B52" s="92"/>
      <c r="C52" s="92"/>
      <c r="D52" s="92"/>
      <c r="E52" s="92"/>
      <c r="F52" s="92"/>
      <c r="G52" s="92"/>
      <c r="H52" s="92"/>
      <c r="I52" s="92"/>
      <c r="J52" s="92"/>
      <c r="K52" s="92"/>
      <c r="L52" s="92"/>
      <c r="M52" s="92"/>
      <c r="N52" s="92"/>
      <c r="O52" s="92"/>
      <c r="P52" s="92"/>
      <c r="Q52" s="92"/>
      <c r="R52" s="92"/>
      <c r="S52" s="92"/>
      <c r="T52" s="92"/>
      <c r="U52" s="92"/>
      <c r="V52" s="92"/>
      <c r="W52" s="92"/>
      <c r="X52" s="92"/>
    </row>
    <row r="53" spans="1:24" x14ac:dyDescent="0.25">
      <c r="A53" s="92"/>
      <c r="B53" s="92"/>
      <c r="C53" s="92"/>
      <c r="D53" s="92"/>
      <c r="E53" s="92"/>
      <c r="F53" s="92"/>
      <c r="G53" s="92"/>
      <c r="H53" s="92"/>
      <c r="I53" s="92"/>
      <c r="J53" s="92"/>
      <c r="K53" s="92"/>
      <c r="L53" s="92"/>
      <c r="M53" s="92"/>
      <c r="N53" s="92"/>
      <c r="O53" s="92"/>
      <c r="P53" s="92"/>
      <c r="Q53" s="92"/>
      <c r="R53" s="92"/>
      <c r="S53" s="92"/>
      <c r="T53" s="92"/>
      <c r="U53" s="92"/>
      <c r="V53" s="92"/>
      <c r="W53" s="92"/>
      <c r="X53" s="92"/>
    </row>
    <row r="54" spans="1:24" x14ac:dyDescent="0.25">
      <c r="A54" s="92"/>
      <c r="B54" s="92"/>
      <c r="C54" s="92"/>
      <c r="D54" s="92"/>
      <c r="E54" s="92"/>
      <c r="F54" s="92"/>
      <c r="G54" s="92"/>
      <c r="H54" s="92"/>
      <c r="I54" s="92"/>
      <c r="J54" s="92"/>
      <c r="K54" s="92"/>
      <c r="L54" s="92"/>
      <c r="M54" s="92"/>
      <c r="N54" s="92"/>
      <c r="O54" s="92"/>
      <c r="P54" s="92"/>
      <c r="Q54" s="92"/>
      <c r="R54" s="92"/>
      <c r="S54" s="92"/>
      <c r="T54" s="92"/>
      <c r="U54" s="92"/>
      <c r="V54" s="92"/>
      <c r="W54" s="92"/>
      <c r="X54" s="92"/>
    </row>
    <row r="55" spans="1:24" x14ac:dyDescent="0.25">
      <c r="A55" s="92"/>
      <c r="B55" s="92"/>
      <c r="C55" s="92"/>
      <c r="D55" s="92"/>
      <c r="E55" s="92"/>
      <c r="F55" s="92"/>
      <c r="G55" s="92"/>
      <c r="H55" s="92"/>
      <c r="I55" s="92"/>
      <c r="J55" s="92"/>
      <c r="K55" s="92"/>
      <c r="L55" s="92"/>
      <c r="M55" s="92"/>
      <c r="N55" s="92"/>
      <c r="O55" s="92"/>
      <c r="P55" s="92"/>
      <c r="Q55" s="92"/>
      <c r="R55" s="92"/>
      <c r="S55" s="92"/>
      <c r="T55" s="92"/>
      <c r="U55" s="92"/>
      <c r="V55" s="92"/>
      <c r="W55" s="92"/>
      <c r="X55" s="92"/>
    </row>
    <row r="56" spans="1:24" x14ac:dyDescent="0.25">
      <c r="A56" s="92"/>
      <c r="B56" s="92"/>
      <c r="C56" s="92"/>
      <c r="D56" s="92"/>
      <c r="E56" s="92"/>
      <c r="F56" s="92"/>
      <c r="G56" s="92"/>
      <c r="H56" s="92"/>
      <c r="I56" s="92"/>
      <c r="J56" s="92"/>
      <c r="K56" s="92"/>
      <c r="L56" s="92"/>
      <c r="M56" s="92"/>
      <c r="N56" s="92"/>
      <c r="O56" s="92"/>
      <c r="P56" s="92"/>
      <c r="Q56" s="92"/>
      <c r="R56" s="92"/>
      <c r="S56" s="92"/>
      <c r="T56" s="92"/>
      <c r="U56" s="92"/>
      <c r="V56" s="92"/>
      <c r="W56" s="92"/>
      <c r="X56" s="92"/>
    </row>
    <row r="57" spans="1:24" x14ac:dyDescent="0.25">
      <c r="A57" s="92"/>
      <c r="B57" s="92"/>
      <c r="C57" s="92"/>
      <c r="D57" s="92"/>
      <c r="E57" s="92"/>
      <c r="F57" s="92"/>
      <c r="G57" s="92"/>
      <c r="H57" s="92"/>
      <c r="I57" s="92"/>
      <c r="J57" s="92"/>
      <c r="K57" s="92"/>
      <c r="L57" s="92"/>
      <c r="M57" s="92"/>
      <c r="N57" s="92"/>
      <c r="O57" s="92"/>
      <c r="P57" s="92"/>
      <c r="Q57" s="92"/>
      <c r="R57" s="92"/>
      <c r="S57" s="92"/>
      <c r="T57" s="92"/>
      <c r="U57" s="92"/>
      <c r="V57" s="92"/>
      <c r="W57" s="92"/>
      <c r="X57" s="92"/>
    </row>
    <row r="58" spans="1:24" x14ac:dyDescent="0.25">
      <c r="A58" s="92"/>
      <c r="B58" s="92"/>
      <c r="C58" s="92"/>
      <c r="D58" s="92"/>
      <c r="E58" s="92"/>
      <c r="F58" s="92"/>
      <c r="G58" s="92"/>
      <c r="H58" s="92"/>
      <c r="I58" s="92"/>
      <c r="J58" s="92"/>
      <c r="K58" s="92"/>
      <c r="L58" s="92"/>
      <c r="M58" s="92"/>
      <c r="N58" s="92"/>
      <c r="O58" s="92"/>
      <c r="P58" s="92"/>
      <c r="Q58" s="92"/>
      <c r="R58" s="92"/>
      <c r="S58" s="92"/>
      <c r="T58" s="92"/>
      <c r="U58" s="92"/>
      <c r="V58" s="92"/>
      <c r="W58" s="92"/>
      <c r="X58" s="92"/>
    </row>
    <row r="59" spans="1:24" x14ac:dyDescent="0.25">
      <c r="A59" s="92"/>
      <c r="B59" s="92"/>
      <c r="C59" s="92"/>
      <c r="D59" s="92"/>
      <c r="E59" s="92"/>
      <c r="F59" s="92"/>
      <c r="G59" s="92"/>
      <c r="H59" s="92"/>
      <c r="I59" s="92"/>
      <c r="J59" s="92"/>
      <c r="K59" s="92"/>
      <c r="L59" s="92"/>
      <c r="M59" s="92"/>
      <c r="N59" s="92"/>
      <c r="O59" s="92"/>
      <c r="P59" s="92"/>
      <c r="Q59" s="92"/>
      <c r="R59" s="92"/>
      <c r="S59" s="92"/>
      <c r="T59" s="92"/>
      <c r="U59" s="92"/>
      <c r="V59" s="92"/>
      <c r="W59" s="92"/>
      <c r="X59" s="92"/>
    </row>
    <row r="60" spans="1:24" x14ac:dyDescent="0.25">
      <c r="A60" s="92"/>
      <c r="B60" s="92"/>
      <c r="C60" s="92"/>
      <c r="D60" s="92"/>
      <c r="E60" s="92"/>
      <c r="F60" s="92"/>
      <c r="G60" s="92"/>
      <c r="H60" s="92"/>
      <c r="I60" s="92"/>
      <c r="J60" s="92"/>
      <c r="K60" s="92"/>
      <c r="L60" s="92"/>
      <c r="M60" s="92"/>
      <c r="N60" s="92"/>
      <c r="O60" s="92"/>
      <c r="P60" s="92"/>
      <c r="Q60" s="92"/>
      <c r="R60" s="92"/>
      <c r="S60" s="92"/>
      <c r="T60" s="92"/>
      <c r="U60" s="92"/>
      <c r="V60" s="92"/>
      <c r="W60" s="92"/>
      <c r="X60" s="92"/>
    </row>
    <row r="61" spans="1:24" x14ac:dyDescent="0.25">
      <c r="A61" s="92"/>
      <c r="B61" s="92"/>
      <c r="C61" s="92"/>
      <c r="D61" s="92"/>
      <c r="E61" s="92"/>
      <c r="F61" s="92"/>
      <c r="G61" s="92"/>
      <c r="H61" s="92"/>
      <c r="I61" s="92"/>
      <c r="J61" s="92"/>
      <c r="K61" s="92"/>
      <c r="L61" s="92"/>
      <c r="M61" s="92"/>
      <c r="N61" s="92"/>
      <c r="O61" s="92"/>
      <c r="P61" s="92"/>
      <c r="Q61" s="92"/>
      <c r="R61" s="92"/>
      <c r="S61" s="92"/>
      <c r="T61" s="92"/>
      <c r="U61" s="92"/>
      <c r="V61" s="92"/>
      <c r="W61" s="92"/>
      <c r="X61" s="92"/>
    </row>
    <row r="62" spans="1:24" x14ac:dyDescent="0.25">
      <c r="A62" s="92"/>
      <c r="B62" s="92"/>
      <c r="C62" s="92"/>
      <c r="D62" s="92"/>
      <c r="E62" s="92"/>
      <c r="F62" s="92"/>
      <c r="G62" s="92"/>
      <c r="H62" s="92"/>
      <c r="I62" s="92"/>
      <c r="J62" s="92"/>
      <c r="K62" s="92"/>
      <c r="L62" s="92"/>
      <c r="M62" s="92"/>
      <c r="N62" s="92"/>
      <c r="O62" s="92"/>
      <c r="P62" s="92"/>
      <c r="Q62" s="92"/>
      <c r="R62" s="92"/>
      <c r="S62" s="92"/>
      <c r="T62" s="92"/>
      <c r="U62" s="92"/>
      <c r="V62" s="92"/>
      <c r="W62" s="92"/>
      <c r="X62" s="92"/>
    </row>
    <row r="63" spans="1:24" x14ac:dyDescent="0.25">
      <c r="A63" s="92"/>
      <c r="B63" s="92"/>
      <c r="C63" s="92"/>
      <c r="D63" s="92"/>
      <c r="E63" s="92"/>
      <c r="F63" s="92"/>
      <c r="G63" s="92"/>
      <c r="H63" s="92"/>
      <c r="I63" s="92"/>
      <c r="J63" s="92"/>
      <c r="K63" s="92"/>
      <c r="L63" s="92"/>
      <c r="M63" s="92"/>
      <c r="N63" s="92"/>
      <c r="O63" s="92"/>
      <c r="P63" s="92"/>
      <c r="Q63" s="92"/>
      <c r="R63" s="92"/>
      <c r="S63" s="92"/>
      <c r="T63" s="92"/>
      <c r="U63" s="92"/>
      <c r="V63" s="92"/>
      <c r="W63" s="92"/>
      <c r="X63" s="92"/>
    </row>
    <row r="64" spans="1:24" x14ac:dyDescent="0.25">
      <c r="A64" s="92"/>
      <c r="B64" s="92"/>
      <c r="C64" s="92"/>
      <c r="D64" s="92"/>
      <c r="E64" s="92"/>
      <c r="F64" s="92"/>
      <c r="G64" s="92"/>
      <c r="H64" s="92"/>
      <c r="I64" s="92"/>
      <c r="J64" s="92"/>
      <c r="K64" s="92"/>
      <c r="L64" s="92"/>
      <c r="M64" s="92"/>
      <c r="N64" s="92"/>
      <c r="O64" s="92"/>
      <c r="P64" s="92"/>
      <c r="Q64" s="92"/>
      <c r="R64" s="92"/>
      <c r="S64" s="92"/>
      <c r="T64" s="92"/>
      <c r="U64" s="92"/>
      <c r="V64" s="92"/>
      <c r="W64" s="92"/>
      <c r="X64" s="92"/>
    </row>
  </sheetData>
  <sheetProtection sheet="1" objects="1" scenarios="1" selectLockedCells="1" selectUnlockedCells="1"/>
  <phoneticPr fontId="0" type="noConversion"/>
  <pageMargins left="0.75" right="0.75" top="1" bottom="1" header="0.5" footer="0.5"/>
  <pageSetup scale="89" orientation="portrait" r:id="rId1"/>
  <headerFooter alignWithMargins="0">
    <oddFooter>&amp;LFinancial Calculator&amp;CCopyright 2003 by CCIM Institute.&amp;RAll rights reserved.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37"/>
  </sheetPr>
  <dimension ref="A1:W115"/>
  <sheetViews>
    <sheetView showGridLines="0" showRowColHeaders="0" workbookViewId="0"/>
  </sheetViews>
  <sheetFormatPr defaultRowHeight="12.5" x14ac:dyDescent="0.25"/>
  <sheetData>
    <row r="1" spans="1:23" x14ac:dyDescent="0.25">
      <c r="A1" s="92"/>
      <c r="B1" s="92"/>
      <c r="C1" s="92"/>
      <c r="D1" s="92"/>
      <c r="E1" s="92"/>
      <c r="F1" s="92"/>
      <c r="G1" s="92"/>
      <c r="H1" s="92"/>
      <c r="I1" s="92"/>
      <c r="J1" s="92"/>
      <c r="K1" s="92"/>
      <c r="L1" s="92"/>
      <c r="M1" s="92"/>
      <c r="N1" s="92"/>
      <c r="O1" s="92"/>
      <c r="P1" s="92"/>
      <c r="Q1" s="92"/>
      <c r="R1" s="92"/>
      <c r="S1" s="92"/>
      <c r="T1" s="92"/>
      <c r="U1" s="92"/>
      <c r="V1" s="92"/>
      <c r="W1" s="92"/>
    </row>
    <row r="2" spans="1:23" x14ac:dyDescent="0.25">
      <c r="A2" s="92"/>
      <c r="B2" s="92"/>
      <c r="C2" s="92"/>
      <c r="D2" s="92"/>
      <c r="E2" s="92"/>
      <c r="F2" s="92"/>
      <c r="G2" s="92"/>
      <c r="H2" s="92"/>
      <c r="I2" s="92"/>
      <c r="J2" s="92"/>
      <c r="K2" s="92"/>
      <c r="L2" s="92"/>
      <c r="M2" s="92"/>
      <c r="N2" s="92"/>
      <c r="O2" s="92"/>
      <c r="P2" s="92"/>
      <c r="Q2" s="92"/>
      <c r="R2" s="92"/>
      <c r="S2" s="92"/>
      <c r="T2" s="92"/>
      <c r="U2" s="92"/>
      <c r="V2" s="92"/>
      <c r="W2" s="92"/>
    </row>
    <row r="3" spans="1:23" x14ac:dyDescent="0.25">
      <c r="A3" s="92"/>
      <c r="B3" s="92"/>
      <c r="C3" s="92"/>
      <c r="D3" s="92"/>
      <c r="E3" s="92"/>
      <c r="F3" s="92"/>
      <c r="G3" s="92"/>
      <c r="H3" s="92"/>
      <c r="I3" s="92"/>
      <c r="J3" s="92"/>
      <c r="K3" s="92"/>
      <c r="L3" s="92"/>
      <c r="M3" s="92"/>
      <c r="N3" s="92"/>
      <c r="O3" s="92"/>
      <c r="P3" s="92"/>
      <c r="Q3" s="92"/>
      <c r="R3" s="92"/>
      <c r="S3" s="92"/>
      <c r="T3" s="92"/>
      <c r="U3" s="92"/>
      <c r="V3" s="92"/>
      <c r="W3" s="92"/>
    </row>
    <row r="4" spans="1:23" x14ac:dyDescent="0.25">
      <c r="A4" s="92"/>
      <c r="B4" s="92"/>
      <c r="C4" s="92"/>
      <c r="D4" s="92"/>
      <c r="E4" s="92"/>
      <c r="F4" s="92"/>
      <c r="G4" s="92"/>
      <c r="H4" s="92"/>
      <c r="I4" s="92"/>
      <c r="J4" s="92"/>
      <c r="K4" s="92"/>
      <c r="L4" s="92"/>
      <c r="M4" s="92"/>
      <c r="N4" s="92"/>
      <c r="O4" s="92"/>
      <c r="P4" s="92"/>
      <c r="Q4" s="92"/>
      <c r="R4" s="92"/>
      <c r="S4" s="92"/>
      <c r="T4" s="92"/>
      <c r="U4" s="92"/>
      <c r="V4" s="92"/>
      <c r="W4" s="92"/>
    </row>
    <row r="5" spans="1:23" x14ac:dyDescent="0.25">
      <c r="A5" s="92"/>
      <c r="B5" s="92"/>
      <c r="C5" s="92"/>
      <c r="D5" s="92"/>
      <c r="E5" s="92"/>
      <c r="F5" s="92"/>
      <c r="G5" s="92"/>
      <c r="H5" s="92"/>
      <c r="I5" s="92"/>
      <c r="J5" s="92"/>
      <c r="K5" s="92"/>
      <c r="L5" s="92"/>
      <c r="M5" s="92"/>
      <c r="N5" s="92"/>
      <c r="O5" s="92"/>
      <c r="P5" s="92"/>
      <c r="Q5" s="92"/>
      <c r="R5" s="92"/>
      <c r="S5" s="92"/>
      <c r="T5" s="92"/>
      <c r="U5" s="92"/>
      <c r="V5" s="92"/>
      <c r="W5" s="92"/>
    </row>
    <row r="6" spans="1:23" x14ac:dyDescent="0.25">
      <c r="A6" s="92"/>
      <c r="B6" s="92"/>
      <c r="C6" s="92"/>
      <c r="D6" s="92"/>
      <c r="E6" s="92"/>
      <c r="F6" s="92"/>
      <c r="G6" s="92"/>
      <c r="H6" s="92"/>
      <c r="I6" s="92"/>
      <c r="J6" s="92"/>
      <c r="K6" s="92"/>
      <c r="L6" s="92"/>
      <c r="M6" s="92"/>
      <c r="N6" s="92"/>
      <c r="O6" s="92"/>
      <c r="P6" s="92"/>
      <c r="Q6" s="92"/>
      <c r="R6" s="92"/>
      <c r="S6" s="92"/>
      <c r="T6" s="92"/>
      <c r="U6" s="92"/>
      <c r="V6" s="92"/>
      <c r="W6" s="92"/>
    </row>
    <row r="7" spans="1:23" x14ac:dyDescent="0.25">
      <c r="A7" s="92"/>
      <c r="B7" s="92"/>
      <c r="C7" s="92"/>
      <c r="D7" s="92"/>
      <c r="E7" s="92"/>
      <c r="F7" s="92"/>
      <c r="G7" s="92"/>
      <c r="H7" s="92"/>
      <c r="I7" s="92"/>
      <c r="J7" s="92"/>
      <c r="K7" s="92"/>
      <c r="L7" s="92"/>
      <c r="M7" s="92"/>
      <c r="N7" s="92"/>
      <c r="O7" s="92"/>
      <c r="P7" s="92"/>
      <c r="Q7" s="92"/>
      <c r="R7" s="92"/>
      <c r="S7" s="92"/>
      <c r="T7" s="92"/>
      <c r="U7" s="92"/>
      <c r="V7" s="92"/>
      <c r="W7" s="92"/>
    </row>
    <row r="8" spans="1:23" x14ac:dyDescent="0.25">
      <c r="A8" s="92"/>
      <c r="B8" s="92"/>
      <c r="C8" s="92"/>
      <c r="D8" s="92"/>
      <c r="E8" s="92"/>
      <c r="F8" s="92"/>
      <c r="G8" s="92"/>
      <c r="H8" s="92"/>
      <c r="I8" s="92"/>
      <c r="J8" s="92"/>
      <c r="K8" s="92"/>
      <c r="L8" s="92"/>
      <c r="M8" s="92"/>
      <c r="N8" s="92"/>
      <c r="O8" s="92"/>
      <c r="P8" s="92"/>
      <c r="Q8" s="92"/>
      <c r="R8" s="92"/>
      <c r="S8" s="92"/>
      <c r="T8" s="92"/>
      <c r="U8" s="92"/>
      <c r="V8" s="92"/>
      <c r="W8" s="92"/>
    </row>
    <row r="9" spans="1:23" x14ac:dyDescent="0.25">
      <c r="A9" s="92"/>
      <c r="B9" s="92"/>
      <c r="C9" s="92"/>
      <c r="D9" s="92"/>
      <c r="E9" s="92"/>
      <c r="F9" s="92"/>
      <c r="G9" s="92"/>
      <c r="H9" s="92"/>
      <c r="I9" s="92"/>
      <c r="J9" s="92"/>
      <c r="K9" s="92"/>
      <c r="L9" s="92"/>
      <c r="M9" s="92"/>
      <c r="N9" s="92"/>
      <c r="O9" s="92"/>
      <c r="P9" s="92"/>
      <c r="Q9" s="92"/>
      <c r="R9" s="92"/>
      <c r="S9" s="92"/>
      <c r="T9" s="92"/>
      <c r="U9" s="92"/>
      <c r="V9" s="92"/>
      <c r="W9" s="92"/>
    </row>
    <row r="10" spans="1:23" x14ac:dyDescent="0.25">
      <c r="A10" s="92"/>
      <c r="B10" s="92"/>
      <c r="C10" s="92"/>
      <c r="D10" s="92"/>
      <c r="E10" s="92"/>
      <c r="F10" s="92"/>
      <c r="G10" s="92"/>
      <c r="H10" s="92"/>
      <c r="I10" s="92"/>
      <c r="J10" s="92"/>
      <c r="K10" s="92"/>
      <c r="L10" s="92"/>
      <c r="M10" s="92"/>
      <c r="N10" s="92"/>
      <c r="O10" s="92"/>
      <c r="P10" s="92"/>
      <c r="Q10" s="92"/>
      <c r="R10" s="92"/>
      <c r="S10" s="92"/>
      <c r="T10" s="92"/>
      <c r="U10" s="92"/>
      <c r="V10" s="92"/>
      <c r="W10" s="92"/>
    </row>
    <row r="11" spans="1:23" x14ac:dyDescent="0.25">
      <c r="A11" s="92"/>
      <c r="B11" s="92"/>
      <c r="C11" s="92"/>
      <c r="D11" s="92"/>
      <c r="E11" s="92"/>
      <c r="F11" s="92"/>
      <c r="G11" s="92"/>
      <c r="H11" s="92"/>
      <c r="I11" s="92"/>
      <c r="J11" s="92"/>
      <c r="K11" s="92"/>
      <c r="L11" s="92"/>
      <c r="M11" s="92"/>
      <c r="N11" s="92"/>
      <c r="O11" s="92"/>
      <c r="P11" s="92"/>
      <c r="Q11" s="92"/>
      <c r="R11" s="92"/>
      <c r="S11" s="92"/>
      <c r="T11" s="92"/>
      <c r="U11" s="92"/>
      <c r="V11" s="92"/>
      <c r="W11" s="92"/>
    </row>
    <row r="12" spans="1:23" x14ac:dyDescent="0.25">
      <c r="A12" s="92"/>
      <c r="B12" s="92"/>
      <c r="C12" s="92"/>
      <c r="D12" s="92"/>
      <c r="E12" s="92"/>
      <c r="F12" s="92"/>
      <c r="G12" s="92"/>
      <c r="H12" s="92"/>
      <c r="I12" s="92"/>
      <c r="J12" s="92"/>
      <c r="K12" s="92"/>
      <c r="L12" s="92"/>
      <c r="M12" s="92"/>
      <c r="N12" s="92"/>
      <c r="O12" s="92"/>
      <c r="P12" s="92"/>
      <c r="Q12" s="92"/>
      <c r="R12" s="92"/>
      <c r="S12" s="92"/>
      <c r="T12" s="92"/>
      <c r="U12" s="92"/>
      <c r="V12" s="92"/>
      <c r="W12" s="92"/>
    </row>
    <row r="13" spans="1:23" x14ac:dyDescent="0.25">
      <c r="A13" s="92"/>
      <c r="B13" s="92"/>
      <c r="C13" s="92"/>
      <c r="D13" s="92"/>
      <c r="E13" s="92"/>
      <c r="F13" s="92"/>
      <c r="G13" s="92"/>
      <c r="H13" s="92"/>
      <c r="I13" s="92"/>
      <c r="J13" s="92"/>
      <c r="K13" s="92"/>
      <c r="L13" s="92"/>
      <c r="M13" s="92"/>
      <c r="N13" s="92"/>
      <c r="O13" s="92"/>
      <c r="P13" s="92"/>
      <c r="Q13" s="92"/>
      <c r="R13" s="92"/>
      <c r="S13" s="92"/>
      <c r="T13" s="92"/>
      <c r="U13" s="92"/>
      <c r="V13" s="92"/>
      <c r="W13" s="92"/>
    </row>
    <row r="14" spans="1:23" x14ac:dyDescent="0.25">
      <c r="A14" s="92"/>
      <c r="B14" s="92"/>
      <c r="C14" s="92"/>
      <c r="D14" s="92"/>
      <c r="E14" s="92"/>
      <c r="F14" s="92"/>
      <c r="G14" s="92"/>
      <c r="H14" s="92"/>
      <c r="I14" s="92"/>
      <c r="J14" s="92"/>
      <c r="K14" s="92"/>
      <c r="L14" s="92"/>
      <c r="M14" s="92"/>
      <c r="N14" s="92"/>
      <c r="O14" s="92"/>
      <c r="P14" s="92"/>
      <c r="Q14" s="92"/>
      <c r="R14" s="92"/>
      <c r="S14" s="92"/>
      <c r="T14" s="92"/>
      <c r="U14" s="92"/>
      <c r="V14" s="92"/>
      <c r="W14" s="92"/>
    </row>
    <row r="15" spans="1:23" x14ac:dyDescent="0.25">
      <c r="A15" s="92"/>
      <c r="B15" s="92"/>
      <c r="C15" s="92"/>
      <c r="D15" s="92"/>
      <c r="E15" s="92"/>
      <c r="F15" s="92"/>
      <c r="G15" s="92"/>
      <c r="H15" s="92"/>
      <c r="I15" s="92"/>
      <c r="J15" s="92"/>
      <c r="K15" s="92"/>
      <c r="L15" s="92"/>
      <c r="M15" s="92"/>
      <c r="N15" s="92"/>
      <c r="O15" s="92"/>
      <c r="P15" s="92"/>
      <c r="Q15" s="92"/>
      <c r="R15" s="92"/>
      <c r="S15" s="92"/>
      <c r="T15" s="92"/>
      <c r="U15" s="92"/>
      <c r="V15" s="92"/>
      <c r="W15" s="92"/>
    </row>
    <row r="16" spans="1:23" x14ac:dyDescent="0.25">
      <c r="A16" s="92"/>
      <c r="B16" s="92"/>
      <c r="C16" s="92"/>
      <c r="D16" s="92"/>
      <c r="E16" s="92"/>
      <c r="F16" s="92"/>
      <c r="G16" s="92"/>
      <c r="H16" s="92"/>
      <c r="I16" s="92"/>
      <c r="J16" s="92"/>
      <c r="K16" s="92"/>
      <c r="L16" s="92"/>
      <c r="M16" s="92"/>
      <c r="N16" s="92"/>
      <c r="O16" s="92"/>
      <c r="P16" s="92"/>
      <c r="Q16" s="92"/>
      <c r="R16" s="92"/>
      <c r="S16" s="92"/>
      <c r="T16" s="92"/>
      <c r="U16" s="92"/>
      <c r="V16" s="92"/>
      <c r="W16" s="92"/>
    </row>
    <row r="17" spans="1:23" x14ac:dyDescent="0.25">
      <c r="A17" s="92"/>
      <c r="B17" s="92"/>
      <c r="C17" s="92"/>
      <c r="D17" s="92"/>
      <c r="E17" s="92"/>
      <c r="F17" s="92"/>
      <c r="G17" s="92"/>
      <c r="H17" s="92"/>
      <c r="I17" s="92"/>
      <c r="J17" s="92"/>
      <c r="K17" s="92"/>
      <c r="L17" s="92"/>
      <c r="M17" s="92"/>
      <c r="N17" s="92"/>
      <c r="O17" s="92"/>
      <c r="P17" s="92"/>
      <c r="Q17" s="92"/>
      <c r="R17" s="92"/>
      <c r="S17" s="92"/>
      <c r="T17" s="92"/>
      <c r="U17" s="92"/>
      <c r="V17" s="92"/>
      <c r="W17" s="92"/>
    </row>
    <row r="18" spans="1:23" x14ac:dyDescent="0.25">
      <c r="A18" s="92"/>
      <c r="B18" s="92"/>
      <c r="C18" s="92"/>
      <c r="D18" s="92"/>
      <c r="E18" s="92"/>
      <c r="F18" s="92"/>
      <c r="G18" s="92"/>
      <c r="H18" s="92"/>
      <c r="I18" s="92"/>
      <c r="J18" s="92"/>
      <c r="K18" s="92"/>
      <c r="L18" s="92"/>
      <c r="M18" s="92"/>
      <c r="N18" s="92"/>
      <c r="O18" s="92"/>
      <c r="P18" s="92"/>
      <c r="Q18" s="92"/>
      <c r="R18" s="92"/>
      <c r="S18" s="92"/>
      <c r="T18" s="92"/>
      <c r="U18" s="92"/>
      <c r="V18" s="92"/>
      <c r="W18" s="92"/>
    </row>
    <row r="19" spans="1:23" x14ac:dyDescent="0.25">
      <c r="A19" s="92"/>
      <c r="B19" s="92"/>
      <c r="C19" s="92"/>
      <c r="D19" s="92"/>
      <c r="E19" s="92"/>
      <c r="F19" s="92"/>
      <c r="G19" s="92"/>
      <c r="H19" s="92"/>
      <c r="I19" s="92"/>
      <c r="J19" s="92"/>
      <c r="K19" s="92"/>
      <c r="L19" s="92"/>
      <c r="M19" s="92"/>
      <c r="N19" s="92"/>
      <c r="O19" s="92"/>
      <c r="P19" s="92"/>
      <c r="Q19" s="92"/>
      <c r="R19" s="92"/>
      <c r="S19" s="92"/>
      <c r="T19" s="92"/>
      <c r="U19" s="92"/>
      <c r="V19" s="92"/>
      <c r="W19" s="92"/>
    </row>
    <row r="20" spans="1:23" x14ac:dyDescent="0.25">
      <c r="A20" s="92"/>
      <c r="B20" s="92"/>
      <c r="C20" s="92"/>
      <c r="D20" s="92"/>
      <c r="E20" s="92"/>
      <c r="F20" s="92"/>
      <c r="G20" s="92"/>
      <c r="H20" s="92"/>
      <c r="I20" s="92"/>
      <c r="J20" s="92"/>
      <c r="K20" s="92"/>
      <c r="L20" s="92"/>
      <c r="M20" s="92"/>
      <c r="N20" s="92"/>
      <c r="O20" s="92"/>
      <c r="P20" s="92"/>
      <c r="Q20" s="92"/>
      <c r="R20" s="92"/>
      <c r="S20" s="92"/>
      <c r="T20" s="92"/>
      <c r="U20" s="92"/>
      <c r="V20" s="92"/>
      <c r="W20" s="92"/>
    </row>
    <row r="21" spans="1:23" x14ac:dyDescent="0.25">
      <c r="A21" s="92"/>
      <c r="B21" s="92"/>
      <c r="C21" s="92"/>
      <c r="D21" s="92"/>
      <c r="E21" s="92"/>
      <c r="F21" s="92"/>
      <c r="G21" s="92"/>
      <c r="H21" s="92"/>
      <c r="I21" s="92"/>
      <c r="J21" s="92"/>
      <c r="K21" s="92"/>
      <c r="L21" s="92"/>
      <c r="M21" s="92"/>
      <c r="N21" s="92"/>
      <c r="O21" s="92"/>
      <c r="P21" s="92"/>
      <c r="Q21" s="92"/>
      <c r="R21" s="92"/>
      <c r="S21" s="92"/>
      <c r="T21" s="92"/>
      <c r="U21" s="92"/>
      <c r="V21" s="92"/>
      <c r="W21" s="92"/>
    </row>
    <row r="22" spans="1:23" x14ac:dyDescent="0.25">
      <c r="A22" s="92"/>
      <c r="B22" s="92"/>
      <c r="C22" s="92"/>
      <c r="D22" s="92"/>
      <c r="E22" s="92"/>
      <c r="F22" s="92"/>
      <c r="G22" s="92"/>
      <c r="H22" s="92"/>
      <c r="I22" s="92"/>
      <c r="J22" s="92"/>
      <c r="K22" s="92"/>
      <c r="L22" s="92"/>
      <c r="M22" s="92"/>
      <c r="N22" s="92"/>
      <c r="O22" s="92"/>
      <c r="P22" s="92"/>
      <c r="Q22" s="92"/>
      <c r="R22" s="92"/>
      <c r="S22" s="92"/>
      <c r="T22" s="92"/>
      <c r="U22" s="92"/>
      <c r="V22" s="92"/>
      <c r="W22" s="92"/>
    </row>
    <row r="23" spans="1:23" x14ac:dyDescent="0.25">
      <c r="A23" s="92"/>
      <c r="B23" s="92"/>
      <c r="C23" s="92"/>
      <c r="D23" s="92"/>
      <c r="E23" s="92"/>
      <c r="F23" s="92"/>
      <c r="G23" s="92"/>
      <c r="H23" s="92"/>
      <c r="I23" s="92"/>
      <c r="J23" s="92"/>
      <c r="K23" s="92"/>
      <c r="L23" s="92"/>
      <c r="M23" s="92"/>
      <c r="N23" s="92"/>
      <c r="O23" s="92"/>
      <c r="P23" s="92"/>
      <c r="Q23" s="92"/>
      <c r="R23" s="92"/>
      <c r="S23" s="92"/>
      <c r="T23" s="92"/>
      <c r="U23" s="92"/>
      <c r="V23" s="92"/>
      <c r="W23" s="92"/>
    </row>
    <row r="24" spans="1:23" x14ac:dyDescent="0.25">
      <c r="A24" s="92"/>
      <c r="B24" s="92"/>
      <c r="C24" s="92"/>
      <c r="D24" s="92"/>
      <c r="E24" s="92"/>
      <c r="F24" s="92"/>
      <c r="G24" s="92"/>
      <c r="H24" s="92"/>
      <c r="I24" s="92"/>
      <c r="J24" s="92"/>
      <c r="K24" s="92"/>
      <c r="L24" s="92"/>
      <c r="M24" s="92"/>
      <c r="N24" s="92"/>
      <c r="O24" s="92"/>
      <c r="P24" s="92"/>
      <c r="Q24" s="92"/>
      <c r="R24" s="92"/>
      <c r="S24" s="92"/>
      <c r="T24" s="92"/>
      <c r="U24" s="92"/>
      <c r="V24" s="92"/>
      <c r="W24" s="92"/>
    </row>
    <row r="25" spans="1:23" x14ac:dyDescent="0.25">
      <c r="A25" s="92"/>
      <c r="B25" s="92"/>
      <c r="C25" s="92"/>
      <c r="D25" s="92"/>
      <c r="E25" s="92"/>
      <c r="F25" s="92"/>
      <c r="G25" s="92"/>
      <c r="H25" s="92"/>
      <c r="I25" s="92"/>
      <c r="J25" s="92"/>
      <c r="K25" s="92"/>
      <c r="L25" s="92"/>
      <c r="M25" s="92"/>
      <c r="N25" s="92"/>
      <c r="O25" s="92"/>
      <c r="P25" s="92"/>
      <c r="Q25" s="92"/>
      <c r="R25" s="92"/>
      <c r="S25" s="92"/>
      <c r="T25" s="92"/>
      <c r="U25" s="92"/>
      <c r="V25" s="92"/>
      <c r="W25" s="92"/>
    </row>
    <row r="26" spans="1:23" x14ac:dyDescent="0.25">
      <c r="A26" s="92"/>
      <c r="B26" s="92"/>
      <c r="C26" s="92"/>
      <c r="D26" s="92"/>
      <c r="E26" s="92"/>
      <c r="F26" s="92"/>
      <c r="G26" s="92"/>
      <c r="H26" s="92"/>
      <c r="I26" s="92"/>
      <c r="J26" s="92"/>
      <c r="K26" s="92"/>
      <c r="L26" s="92"/>
      <c r="M26" s="92"/>
      <c r="N26" s="92"/>
      <c r="O26" s="92"/>
      <c r="P26" s="92"/>
      <c r="Q26" s="92"/>
      <c r="R26" s="92"/>
      <c r="S26" s="92"/>
      <c r="T26" s="92"/>
      <c r="U26" s="92"/>
      <c r="V26" s="92"/>
      <c r="W26" s="92"/>
    </row>
    <row r="27" spans="1:23" x14ac:dyDescent="0.25">
      <c r="A27" s="92"/>
      <c r="B27" s="92"/>
      <c r="C27" s="92"/>
      <c r="D27" s="92"/>
      <c r="E27" s="92"/>
      <c r="F27" s="92"/>
      <c r="G27" s="92"/>
      <c r="H27" s="92"/>
      <c r="I27" s="92"/>
      <c r="J27" s="92"/>
      <c r="K27" s="92"/>
      <c r="L27" s="92"/>
      <c r="M27" s="92"/>
      <c r="N27" s="92"/>
      <c r="O27" s="92"/>
      <c r="P27" s="92"/>
      <c r="Q27" s="92"/>
      <c r="R27" s="92"/>
      <c r="S27" s="92"/>
      <c r="T27" s="92"/>
      <c r="U27" s="92"/>
      <c r="V27" s="92"/>
      <c r="W27" s="92"/>
    </row>
    <row r="28" spans="1:23" x14ac:dyDescent="0.25">
      <c r="A28" s="92"/>
      <c r="B28" s="92"/>
      <c r="C28" s="92"/>
      <c r="D28" s="92"/>
      <c r="E28" s="92"/>
      <c r="F28" s="92"/>
      <c r="G28" s="92"/>
      <c r="H28" s="92"/>
      <c r="I28" s="92"/>
      <c r="J28" s="92"/>
      <c r="K28" s="92"/>
      <c r="L28" s="92"/>
      <c r="M28" s="92"/>
      <c r="N28" s="92"/>
      <c r="O28" s="92"/>
      <c r="P28" s="92"/>
      <c r="Q28" s="92"/>
      <c r="R28" s="92"/>
      <c r="S28" s="92"/>
      <c r="T28" s="92"/>
      <c r="U28" s="92"/>
      <c r="V28" s="92"/>
      <c r="W28" s="92"/>
    </row>
    <row r="29" spans="1:23" x14ac:dyDescent="0.25">
      <c r="A29" s="92"/>
      <c r="B29" s="92"/>
      <c r="C29" s="92"/>
      <c r="D29" s="92"/>
      <c r="E29" s="92"/>
      <c r="F29" s="92"/>
      <c r="G29" s="92"/>
      <c r="H29" s="92"/>
      <c r="I29" s="92"/>
      <c r="J29" s="92"/>
      <c r="K29" s="92"/>
      <c r="L29" s="92"/>
      <c r="M29" s="92"/>
      <c r="N29" s="92"/>
      <c r="O29" s="92"/>
      <c r="P29" s="92"/>
      <c r="Q29" s="92"/>
      <c r="R29" s="92"/>
      <c r="S29" s="92"/>
      <c r="T29" s="92"/>
      <c r="U29" s="92"/>
      <c r="V29" s="92"/>
      <c r="W29" s="92"/>
    </row>
    <row r="30" spans="1:23" x14ac:dyDescent="0.25">
      <c r="A30" s="92"/>
      <c r="B30" s="92"/>
      <c r="C30" s="92"/>
      <c r="D30" s="92"/>
      <c r="E30" s="92"/>
      <c r="F30" s="92"/>
      <c r="G30" s="92"/>
      <c r="H30" s="92"/>
      <c r="I30" s="92"/>
      <c r="J30" s="92"/>
      <c r="K30" s="92"/>
      <c r="L30" s="92"/>
      <c r="M30" s="92"/>
      <c r="N30" s="92"/>
      <c r="O30" s="92"/>
      <c r="P30" s="92"/>
      <c r="Q30" s="92"/>
      <c r="R30" s="92"/>
      <c r="S30" s="92"/>
      <c r="T30" s="92"/>
      <c r="U30" s="92"/>
      <c r="V30" s="92"/>
      <c r="W30" s="92"/>
    </row>
    <row r="31" spans="1:23" x14ac:dyDescent="0.25">
      <c r="A31" s="92"/>
      <c r="B31" s="92"/>
      <c r="C31" s="92"/>
      <c r="D31" s="92"/>
      <c r="E31" s="92"/>
      <c r="F31" s="92"/>
      <c r="G31" s="92"/>
      <c r="H31" s="92"/>
      <c r="I31" s="92"/>
      <c r="J31" s="92"/>
      <c r="K31" s="92"/>
      <c r="L31" s="92"/>
      <c r="M31" s="92"/>
      <c r="N31" s="92"/>
      <c r="O31" s="92"/>
      <c r="P31" s="92"/>
      <c r="Q31" s="92"/>
      <c r="R31" s="92"/>
      <c r="S31" s="92"/>
      <c r="T31" s="92"/>
      <c r="U31" s="92"/>
      <c r="V31" s="92"/>
      <c r="W31" s="92"/>
    </row>
    <row r="32" spans="1:23" x14ac:dyDescent="0.25">
      <c r="A32" s="92"/>
      <c r="B32" s="92"/>
      <c r="C32" s="92"/>
      <c r="D32" s="92"/>
      <c r="E32" s="92"/>
      <c r="F32" s="92"/>
      <c r="G32" s="92"/>
      <c r="H32" s="92"/>
      <c r="I32" s="92"/>
      <c r="J32" s="92"/>
      <c r="K32" s="92"/>
      <c r="L32" s="92"/>
      <c r="M32" s="92"/>
      <c r="N32" s="92"/>
      <c r="O32" s="92"/>
      <c r="P32" s="92"/>
      <c r="Q32" s="92"/>
      <c r="R32" s="92"/>
      <c r="S32" s="92"/>
      <c r="T32" s="92"/>
      <c r="U32" s="92"/>
      <c r="V32" s="92"/>
      <c r="W32" s="92"/>
    </row>
    <row r="33" spans="1:23" x14ac:dyDescent="0.25">
      <c r="A33" s="92"/>
      <c r="B33" s="92"/>
      <c r="C33" s="92"/>
      <c r="D33" s="92"/>
      <c r="E33" s="92"/>
      <c r="F33" s="92"/>
      <c r="G33" s="92"/>
      <c r="H33" s="92"/>
      <c r="I33" s="92"/>
      <c r="J33" s="92"/>
      <c r="K33" s="92"/>
      <c r="L33" s="92"/>
      <c r="M33" s="92"/>
      <c r="N33" s="92"/>
      <c r="O33" s="92"/>
      <c r="P33" s="92"/>
      <c r="Q33" s="92"/>
      <c r="R33" s="92"/>
      <c r="S33" s="92"/>
      <c r="T33" s="92"/>
      <c r="U33" s="92"/>
      <c r="V33" s="92"/>
      <c r="W33" s="92"/>
    </row>
    <row r="34" spans="1:23" x14ac:dyDescent="0.25">
      <c r="A34" s="92"/>
      <c r="B34" s="92"/>
      <c r="C34" s="92"/>
      <c r="D34" s="92"/>
      <c r="E34" s="92"/>
      <c r="F34" s="92"/>
      <c r="G34" s="92"/>
      <c r="H34" s="92"/>
      <c r="I34" s="92"/>
      <c r="J34" s="92"/>
      <c r="K34" s="92"/>
      <c r="L34" s="92"/>
      <c r="M34" s="92"/>
      <c r="N34" s="92"/>
      <c r="O34" s="92"/>
      <c r="P34" s="92"/>
      <c r="Q34" s="92"/>
      <c r="R34" s="92"/>
      <c r="S34" s="92"/>
      <c r="T34" s="92"/>
      <c r="U34" s="92"/>
      <c r="V34" s="92"/>
      <c r="W34" s="92"/>
    </row>
    <row r="35" spans="1:23" x14ac:dyDescent="0.25">
      <c r="A35" s="92"/>
      <c r="B35" s="92"/>
      <c r="C35" s="92"/>
      <c r="D35" s="92"/>
      <c r="E35" s="92"/>
      <c r="F35" s="92"/>
      <c r="G35" s="92"/>
      <c r="H35" s="92"/>
      <c r="I35" s="92"/>
      <c r="J35" s="92"/>
      <c r="K35" s="92"/>
      <c r="L35" s="92"/>
      <c r="M35" s="92"/>
      <c r="N35" s="92"/>
      <c r="O35" s="92"/>
      <c r="P35" s="92"/>
      <c r="Q35" s="92"/>
      <c r="R35" s="92"/>
      <c r="S35" s="92"/>
      <c r="T35" s="92"/>
      <c r="U35" s="92"/>
      <c r="V35" s="92"/>
      <c r="W35" s="92"/>
    </row>
    <row r="36" spans="1:23" x14ac:dyDescent="0.25">
      <c r="A36" s="92"/>
      <c r="B36" s="92"/>
      <c r="C36" s="92"/>
      <c r="D36" s="92"/>
      <c r="E36" s="92"/>
      <c r="F36" s="92"/>
      <c r="G36" s="92"/>
      <c r="H36" s="92"/>
      <c r="I36" s="92"/>
      <c r="J36" s="92"/>
      <c r="K36" s="92"/>
      <c r="L36" s="92"/>
      <c r="M36" s="92"/>
      <c r="N36" s="92"/>
      <c r="O36" s="92"/>
      <c r="P36" s="92"/>
      <c r="Q36" s="92"/>
      <c r="R36" s="92"/>
      <c r="S36" s="92"/>
      <c r="T36" s="92"/>
      <c r="U36" s="92"/>
      <c r="V36" s="92"/>
      <c r="W36" s="92"/>
    </row>
    <row r="37" spans="1:23" x14ac:dyDescent="0.25">
      <c r="A37" s="92"/>
      <c r="B37" s="92"/>
      <c r="C37" s="92"/>
      <c r="D37" s="92"/>
      <c r="E37" s="92"/>
      <c r="F37" s="92"/>
      <c r="G37" s="92"/>
      <c r="H37" s="92"/>
      <c r="I37" s="92"/>
      <c r="J37" s="92"/>
      <c r="K37" s="92"/>
      <c r="L37" s="92"/>
      <c r="M37" s="92"/>
      <c r="N37" s="92"/>
      <c r="O37" s="92"/>
      <c r="P37" s="92"/>
      <c r="Q37" s="92"/>
      <c r="R37" s="92"/>
      <c r="S37" s="92"/>
      <c r="T37" s="92"/>
      <c r="U37" s="92"/>
      <c r="V37" s="92"/>
      <c r="W37" s="92"/>
    </row>
    <row r="38" spans="1:23" x14ac:dyDescent="0.25">
      <c r="A38" s="92"/>
      <c r="B38" s="92"/>
      <c r="C38" s="92"/>
      <c r="D38" s="92"/>
      <c r="E38" s="92"/>
      <c r="F38" s="92"/>
      <c r="G38" s="92"/>
      <c r="H38" s="92"/>
      <c r="I38" s="92"/>
      <c r="J38" s="92"/>
      <c r="K38" s="92"/>
      <c r="L38" s="92"/>
      <c r="M38" s="92"/>
      <c r="N38" s="92"/>
      <c r="O38" s="92"/>
      <c r="P38" s="92"/>
      <c r="Q38" s="92"/>
      <c r="R38" s="92"/>
      <c r="S38" s="92"/>
      <c r="T38" s="92"/>
      <c r="U38" s="92"/>
      <c r="V38" s="92"/>
      <c r="W38" s="92"/>
    </row>
    <row r="39" spans="1:23" x14ac:dyDescent="0.25">
      <c r="A39" s="92"/>
      <c r="B39" s="92"/>
      <c r="C39" s="92"/>
      <c r="D39" s="92"/>
      <c r="E39" s="92"/>
      <c r="F39" s="92"/>
      <c r="G39" s="92"/>
      <c r="H39" s="92"/>
      <c r="I39" s="92"/>
      <c r="J39" s="92"/>
      <c r="K39" s="92"/>
      <c r="L39" s="92"/>
      <c r="M39" s="92"/>
      <c r="N39" s="92"/>
      <c r="O39" s="92"/>
      <c r="P39" s="92"/>
      <c r="Q39" s="92"/>
      <c r="R39" s="92"/>
      <c r="S39" s="92"/>
      <c r="T39" s="92"/>
      <c r="U39" s="92"/>
      <c r="V39" s="92"/>
      <c r="W39" s="92"/>
    </row>
    <row r="40" spans="1:23" x14ac:dyDescent="0.25">
      <c r="A40" s="92"/>
      <c r="B40" s="92"/>
      <c r="C40" s="92"/>
      <c r="D40" s="92"/>
      <c r="E40" s="92"/>
      <c r="F40" s="92"/>
      <c r="G40" s="92"/>
      <c r="H40" s="92"/>
      <c r="I40" s="92"/>
      <c r="J40" s="92"/>
      <c r="K40" s="92"/>
      <c r="L40" s="92"/>
      <c r="M40" s="92"/>
      <c r="N40" s="92"/>
      <c r="O40" s="92"/>
      <c r="P40" s="92"/>
      <c r="Q40" s="92"/>
      <c r="R40" s="92"/>
      <c r="S40" s="92"/>
      <c r="T40" s="92"/>
      <c r="U40" s="92"/>
      <c r="V40" s="92"/>
      <c r="W40" s="92"/>
    </row>
    <row r="41" spans="1:23" x14ac:dyDescent="0.25">
      <c r="A41" s="92"/>
      <c r="B41" s="92"/>
      <c r="C41" s="92"/>
      <c r="D41" s="92"/>
      <c r="E41" s="92"/>
      <c r="F41" s="92"/>
      <c r="G41" s="92"/>
      <c r="H41" s="92"/>
      <c r="I41" s="92"/>
      <c r="J41" s="92"/>
      <c r="K41" s="92"/>
      <c r="L41" s="92"/>
      <c r="M41" s="92"/>
      <c r="N41" s="92"/>
      <c r="O41" s="92"/>
      <c r="P41" s="92"/>
      <c r="Q41" s="92"/>
      <c r="R41" s="92"/>
      <c r="S41" s="92"/>
      <c r="T41" s="92"/>
      <c r="U41" s="92"/>
      <c r="V41" s="92"/>
      <c r="W41" s="92"/>
    </row>
    <row r="42" spans="1:23" x14ac:dyDescent="0.25">
      <c r="A42" s="92"/>
      <c r="B42" s="92"/>
      <c r="C42" s="92"/>
      <c r="D42" s="92"/>
      <c r="E42" s="92"/>
      <c r="F42" s="92"/>
      <c r="G42" s="92"/>
      <c r="H42" s="92"/>
      <c r="I42" s="92"/>
      <c r="J42" s="92"/>
      <c r="K42" s="92"/>
      <c r="L42" s="92"/>
      <c r="M42" s="92"/>
      <c r="N42" s="92"/>
      <c r="O42" s="92"/>
      <c r="P42" s="92"/>
      <c r="Q42" s="92"/>
      <c r="R42" s="92"/>
      <c r="S42" s="92"/>
      <c r="T42" s="92"/>
      <c r="U42" s="92"/>
      <c r="V42" s="92"/>
      <c r="W42" s="92"/>
    </row>
    <row r="43" spans="1:23" x14ac:dyDescent="0.25">
      <c r="A43" s="92"/>
      <c r="B43" s="92"/>
      <c r="C43" s="92"/>
      <c r="D43" s="92"/>
      <c r="E43" s="92"/>
      <c r="F43" s="92"/>
      <c r="G43" s="92"/>
      <c r="H43" s="92"/>
      <c r="I43" s="92"/>
      <c r="J43" s="92"/>
      <c r="K43" s="92"/>
      <c r="L43" s="92"/>
      <c r="M43" s="92"/>
      <c r="N43" s="92"/>
      <c r="O43" s="92"/>
      <c r="P43" s="92"/>
      <c r="Q43" s="92"/>
      <c r="R43" s="92"/>
      <c r="S43" s="92"/>
      <c r="T43" s="92"/>
      <c r="U43" s="92"/>
      <c r="V43" s="92"/>
      <c r="W43" s="92"/>
    </row>
    <row r="44" spans="1:23" x14ac:dyDescent="0.25">
      <c r="A44" s="92"/>
      <c r="B44" s="92"/>
      <c r="C44" s="92"/>
      <c r="D44" s="92"/>
      <c r="E44" s="92"/>
      <c r="F44" s="92"/>
      <c r="G44" s="92"/>
      <c r="H44" s="92"/>
      <c r="I44" s="92"/>
      <c r="J44" s="92"/>
      <c r="K44" s="92"/>
      <c r="L44" s="92"/>
      <c r="M44" s="92"/>
      <c r="N44" s="92"/>
      <c r="O44" s="92"/>
      <c r="P44" s="92"/>
      <c r="Q44" s="92"/>
      <c r="R44" s="92"/>
      <c r="S44" s="92"/>
      <c r="T44" s="92"/>
      <c r="U44" s="92"/>
      <c r="V44" s="92"/>
      <c r="W44" s="92"/>
    </row>
    <row r="45" spans="1:23" x14ac:dyDescent="0.25">
      <c r="A45" s="92"/>
      <c r="B45" s="92"/>
      <c r="C45" s="92"/>
      <c r="D45" s="92"/>
      <c r="E45" s="92"/>
      <c r="F45" s="92"/>
      <c r="G45" s="92"/>
      <c r="H45" s="92"/>
      <c r="I45" s="92"/>
      <c r="J45" s="92"/>
      <c r="K45" s="92"/>
      <c r="L45" s="92"/>
      <c r="M45" s="92"/>
      <c r="N45" s="92"/>
      <c r="O45" s="92"/>
      <c r="P45" s="92"/>
      <c r="Q45" s="92"/>
      <c r="R45" s="92"/>
      <c r="S45" s="92"/>
      <c r="T45" s="92"/>
      <c r="U45" s="92"/>
      <c r="V45" s="92"/>
      <c r="W45" s="92"/>
    </row>
    <row r="46" spans="1:23" x14ac:dyDescent="0.25">
      <c r="A46" s="92"/>
      <c r="B46" s="92"/>
      <c r="C46" s="92"/>
      <c r="D46" s="92"/>
      <c r="E46" s="92"/>
      <c r="F46" s="92"/>
      <c r="G46" s="92"/>
      <c r="H46" s="92"/>
      <c r="I46" s="92"/>
      <c r="J46" s="92"/>
      <c r="K46" s="92"/>
      <c r="L46" s="92"/>
      <c r="M46" s="92"/>
      <c r="N46" s="92"/>
      <c r="O46" s="92"/>
      <c r="P46" s="92"/>
      <c r="Q46" s="92"/>
      <c r="R46" s="92"/>
      <c r="S46" s="92"/>
      <c r="T46" s="92"/>
      <c r="U46" s="92"/>
      <c r="V46" s="92"/>
      <c r="W46" s="92"/>
    </row>
    <row r="47" spans="1:23" x14ac:dyDescent="0.25">
      <c r="A47" s="92"/>
      <c r="B47" s="92"/>
      <c r="C47" s="92"/>
      <c r="D47" s="92"/>
      <c r="E47" s="92"/>
      <c r="F47" s="92"/>
      <c r="G47" s="92"/>
      <c r="H47" s="92"/>
      <c r="I47" s="92"/>
      <c r="J47" s="92"/>
      <c r="K47" s="92"/>
      <c r="L47" s="92"/>
      <c r="M47" s="92"/>
      <c r="N47" s="92"/>
      <c r="O47" s="92"/>
      <c r="P47" s="92"/>
      <c r="Q47" s="92"/>
      <c r="R47" s="92"/>
      <c r="S47" s="92"/>
      <c r="T47" s="92"/>
      <c r="U47" s="92"/>
      <c r="V47" s="92"/>
      <c r="W47" s="92"/>
    </row>
    <row r="48" spans="1:23" x14ac:dyDescent="0.25">
      <c r="A48" s="92"/>
      <c r="B48" s="92"/>
      <c r="C48" s="92"/>
      <c r="D48" s="92"/>
      <c r="E48" s="92"/>
      <c r="F48" s="92"/>
      <c r="G48" s="92"/>
      <c r="H48" s="92"/>
      <c r="I48" s="92"/>
      <c r="J48" s="92"/>
      <c r="K48" s="92"/>
      <c r="L48" s="92"/>
      <c r="M48" s="92"/>
      <c r="N48" s="92"/>
      <c r="O48" s="92"/>
      <c r="P48" s="92"/>
      <c r="Q48" s="92"/>
      <c r="R48" s="92"/>
      <c r="S48" s="92"/>
      <c r="T48" s="92"/>
      <c r="U48" s="92"/>
      <c r="V48" s="92"/>
      <c r="W48" s="92"/>
    </row>
    <row r="49" spans="1:23" x14ac:dyDescent="0.25">
      <c r="A49" s="92"/>
      <c r="B49" s="92"/>
      <c r="C49" s="92"/>
      <c r="D49" s="92"/>
      <c r="E49" s="92"/>
      <c r="F49" s="92"/>
      <c r="G49" s="92"/>
      <c r="H49" s="92"/>
      <c r="I49" s="92"/>
      <c r="J49" s="92"/>
      <c r="K49" s="92"/>
      <c r="L49" s="92"/>
      <c r="M49" s="92"/>
      <c r="N49" s="92"/>
      <c r="O49" s="92"/>
      <c r="P49" s="92"/>
      <c r="Q49" s="92"/>
      <c r="R49" s="92"/>
      <c r="S49" s="92"/>
      <c r="T49" s="92"/>
      <c r="U49" s="92"/>
      <c r="V49" s="92"/>
      <c r="W49" s="92"/>
    </row>
    <row r="50" spans="1:23" x14ac:dyDescent="0.25">
      <c r="A50" s="92"/>
      <c r="B50" s="92"/>
      <c r="C50" s="92"/>
      <c r="D50" s="92"/>
      <c r="E50" s="92"/>
      <c r="F50" s="92"/>
      <c r="G50" s="92"/>
      <c r="H50" s="92"/>
      <c r="I50" s="92"/>
      <c r="J50" s="92"/>
      <c r="K50" s="92"/>
      <c r="L50" s="92"/>
      <c r="M50" s="92"/>
      <c r="N50" s="92"/>
      <c r="O50" s="92"/>
      <c r="P50" s="92"/>
      <c r="Q50" s="92"/>
      <c r="R50" s="92"/>
      <c r="S50" s="92"/>
      <c r="T50" s="92"/>
      <c r="U50" s="92"/>
      <c r="V50" s="92"/>
      <c r="W50" s="92"/>
    </row>
    <row r="51" spans="1:23" x14ac:dyDescent="0.25">
      <c r="A51" s="92"/>
      <c r="B51" s="92"/>
      <c r="C51" s="92"/>
      <c r="D51" s="92"/>
      <c r="E51" s="92"/>
      <c r="F51" s="92"/>
      <c r="G51" s="92"/>
      <c r="H51" s="92"/>
      <c r="I51" s="92"/>
      <c r="J51" s="92"/>
      <c r="K51" s="92"/>
      <c r="L51" s="92"/>
      <c r="M51" s="92"/>
      <c r="N51" s="92"/>
      <c r="O51" s="92"/>
      <c r="P51" s="92"/>
      <c r="Q51" s="92"/>
      <c r="R51" s="92"/>
      <c r="S51" s="92"/>
      <c r="T51" s="92"/>
      <c r="U51" s="92"/>
      <c r="V51" s="92"/>
      <c r="W51" s="92"/>
    </row>
    <row r="52" spans="1:23" x14ac:dyDescent="0.25">
      <c r="A52" s="92"/>
      <c r="B52" s="92"/>
      <c r="C52" s="92"/>
      <c r="D52" s="92"/>
      <c r="E52" s="92"/>
      <c r="F52" s="92"/>
      <c r="G52" s="92"/>
      <c r="H52" s="92"/>
      <c r="I52" s="92"/>
      <c r="J52" s="92"/>
      <c r="K52" s="92"/>
      <c r="L52" s="92"/>
      <c r="M52" s="92"/>
      <c r="N52" s="92"/>
      <c r="O52" s="92"/>
      <c r="P52" s="92"/>
      <c r="Q52" s="92"/>
      <c r="R52" s="92"/>
      <c r="S52" s="92"/>
      <c r="T52" s="92"/>
      <c r="U52" s="92"/>
      <c r="V52" s="92"/>
      <c r="W52" s="92"/>
    </row>
    <row r="53" spans="1:23" x14ac:dyDescent="0.25">
      <c r="A53" s="92"/>
      <c r="B53" s="92"/>
      <c r="C53" s="92"/>
      <c r="D53" s="92"/>
      <c r="E53" s="92"/>
      <c r="F53" s="92"/>
      <c r="G53" s="92"/>
      <c r="H53" s="92"/>
      <c r="I53" s="92"/>
      <c r="J53" s="92"/>
      <c r="K53" s="92"/>
      <c r="L53" s="92"/>
      <c r="M53" s="92"/>
      <c r="N53" s="92"/>
      <c r="O53" s="92"/>
      <c r="P53" s="92"/>
      <c r="Q53" s="92"/>
      <c r="R53" s="92"/>
      <c r="S53" s="92"/>
      <c r="T53" s="92"/>
      <c r="U53" s="92"/>
      <c r="V53" s="92"/>
      <c r="W53" s="92"/>
    </row>
    <row r="54" spans="1:23" x14ac:dyDescent="0.25">
      <c r="A54" s="92"/>
      <c r="B54" s="92"/>
      <c r="C54" s="92"/>
      <c r="D54" s="92"/>
      <c r="E54" s="92"/>
      <c r="F54" s="92"/>
      <c r="G54" s="92"/>
      <c r="H54" s="92"/>
      <c r="I54" s="92"/>
      <c r="J54" s="92"/>
      <c r="K54" s="92"/>
      <c r="L54" s="92"/>
      <c r="M54" s="92"/>
      <c r="N54" s="92"/>
      <c r="O54" s="92"/>
      <c r="P54" s="92"/>
      <c r="Q54" s="92"/>
      <c r="R54" s="92"/>
      <c r="S54" s="92"/>
      <c r="T54" s="92"/>
      <c r="U54" s="92"/>
      <c r="V54" s="92"/>
      <c r="W54" s="92"/>
    </row>
    <row r="55" spans="1:23" x14ac:dyDescent="0.25">
      <c r="A55" s="92"/>
      <c r="B55" s="92"/>
      <c r="C55" s="92"/>
      <c r="D55" s="92"/>
      <c r="E55" s="92"/>
      <c r="F55" s="92"/>
      <c r="G55" s="92"/>
      <c r="H55" s="92"/>
      <c r="I55" s="92"/>
      <c r="J55" s="92"/>
      <c r="K55" s="92"/>
      <c r="L55" s="92"/>
      <c r="M55" s="92"/>
      <c r="N55" s="92"/>
      <c r="O55" s="92"/>
      <c r="P55" s="92"/>
      <c r="Q55" s="92"/>
      <c r="R55" s="92"/>
      <c r="S55" s="92"/>
      <c r="T55" s="92"/>
      <c r="U55" s="92"/>
      <c r="V55" s="92"/>
      <c r="W55" s="92"/>
    </row>
    <row r="56" spans="1:23" x14ac:dyDescent="0.25">
      <c r="A56" s="92"/>
      <c r="B56" s="92"/>
      <c r="C56" s="92"/>
      <c r="D56" s="92"/>
      <c r="E56" s="92"/>
      <c r="F56" s="92"/>
      <c r="G56" s="92"/>
      <c r="H56" s="92"/>
      <c r="I56" s="92"/>
      <c r="J56" s="92"/>
      <c r="K56" s="92"/>
      <c r="L56" s="92"/>
      <c r="M56" s="92"/>
      <c r="N56" s="92"/>
      <c r="O56" s="92"/>
      <c r="P56" s="92"/>
      <c r="Q56" s="92"/>
      <c r="R56" s="92"/>
      <c r="S56" s="92"/>
      <c r="T56" s="92"/>
      <c r="U56" s="92"/>
      <c r="V56" s="92"/>
      <c r="W56" s="92"/>
    </row>
    <row r="57" spans="1:23" x14ac:dyDescent="0.25">
      <c r="A57" s="92"/>
      <c r="B57" s="92"/>
      <c r="C57" s="92"/>
      <c r="D57" s="92"/>
      <c r="E57" s="92"/>
      <c r="F57" s="92"/>
      <c r="G57" s="92"/>
      <c r="H57" s="92"/>
      <c r="I57" s="92"/>
      <c r="J57" s="92"/>
      <c r="K57" s="92"/>
      <c r="L57" s="92"/>
      <c r="M57" s="92"/>
      <c r="N57" s="92"/>
      <c r="O57" s="92"/>
      <c r="P57" s="92"/>
      <c r="Q57" s="92"/>
      <c r="R57" s="92"/>
      <c r="S57" s="92"/>
      <c r="T57" s="92"/>
      <c r="U57" s="92"/>
      <c r="V57" s="92"/>
      <c r="W57" s="92"/>
    </row>
    <row r="58" spans="1:23" x14ac:dyDescent="0.25">
      <c r="A58" s="92"/>
      <c r="B58" s="92"/>
      <c r="C58" s="92"/>
      <c r="D58" s="92"/>
      <c r="E58" s="92"/>
      <c r="F58" s="92"/>
      <c r="G58" s="92"/>
      <c r="H58" s="92"/>
      <c r="I58" s="92"/>
      <c r="J58" s="92"/>
      <c r="K58" s="92"/>
      <c r="L58" s="92"/>
      <c r="M58" s="92"/>
      <c r="N58" s="92"/>
      <c r="O58" s="92"/>
      <c r="P58" s="92"/>
      <c r="Q58" s="92"/>
      <c r="R58" s="92"/>
      <c r="S58" s="92"/>
      <c r="T58" s="92"/>
      <c r="U58" s="92"/>
      <c r="V58" s="92"/>
      <c r="W58" s="92"/>
    </row>
    <row r="59" spans="1:23" x14ac:dyDescent="0.25">
      <c r="A59" s="92"/>
      <c r="B59" s="92"/>
      <c r="C59" s="92"/>
      <c r="D59" s="92"/>
      <c r="E59" s="92"/>
      <c r="F59" s="92"/>
      <c r="G59" s="92"/>
      <c r="H59" s="92"/>
      <c r="I59" s="92"/>
      <c r="J59" s="92"/>
      <c r="K59" s="92"/>
      <c r="L59" s="92"/>
      <c r="M59" s="92"/>
      <c r="N59" s="92"/>
      <c r="O59" s="92"/>
      <c r="P59" s="92"/>
      <c r="Q59" s="92"/>
      <c r="R59" s="92"/>
      <c r="S59" s="92"/>
      <c r="T59" s="92"/>
      <c r="U59" s="92"/>
      <c r="V59" s="92"/>
      <c r="W59" s="92"/>
    </row>
    <row r="60" spans="1:23" x14ac:dyDescent="0.25">
      <c r="A60" s="92"/>
      <c r="B60" s="92"/>
      <c r="C60" s="92"/>
      <c r="D60" s="92"/>
      <c r="E60" s="92"/>
      <c r="F60" s="92"/>
      <c r="G60" s="92"/>
      <c r="H60" s="92"/>
      <c r="I60" s="92"/>
      <c r="J60" s="92"/>
      <c r="K60" s="92"/>
      <c r="L60" s="92"/>
      <c r="M60" s="92"/>
      <c r="N60" s="92"/>
      <c r="O60" s="92"/>
      <c r="P60" s="92"/>
      <c r="Q60" s="92"/>
      <c r="R60" s="92"/>
      <c r="S60" s="92"/>
      <c r="T60" s="92"/>
      <c r="U60" s="92"/>
      <c r="V60" s="92"/>
      <c r="W60" s="92"/>
    </row>
    <row r="61" spans="1:23" x14ac:dyDescent="0.25">
      <c r="A61" s="92"/>
      <c r="B61" s="92"/>
      <c r="C61" s="92"/>
      <c r="D61" s="92"/>
      <c r="E61" s="92"/>
      <c r="F61" s="92"/>
      <c r="G61" s="92"/>
      <c r="H61" s="92"/>
      <c r="I61" s="92"/>
      <c r="J61" s="92"/>
      <c r="K61" s="92"/>
      <c r="L61" s="92"/>
      <c r="M61" s="92"/>
      <c r="N61" s="92"/>
      <c r="O61" s="92"/>
      <c r="P61" s="92"/>
      <c r="Q61" s="92"/>
      <c r="R61" s="92"/>
      <c r="S61" s="92"/>
      <c r="T61" s="92"/>
      <c r="U61" s="92"/>
      <c r="V61" s="92"/>
      <c r="W61" s="92"/>
    </row>
    <row r="62" spans="1:23" x14ac:dyDescent="0.25">
      <c r="A62" s="92"/>
      <c r="B62" s="92"/>
      <c r="C62" s="92"/>
      <c r="D62" s="92"/>
      <c r="E62" s="92"/>
      <c r="F62" s="92"/>
      <c r="G62" s="92"/>
      <c r="H62" s="92"/>
      <c r="I62" s="92"/>
      <c r="J62" s="92"/>
      <c r="K62" s="92"/>
      <c r="L62" s="92"/>
      <c r="M62" s="92"/>
      <c r="N62" s="92"/>
      <c r="O62" s="92"/>
      <c r="P62" s="92"/>
      <c r="Q62" s="92"/>
      <c r="R62" s="92"/>
      <c r="S62" s="92"/>
      <c r="T62" s="92"/>
      <c r="U62" s="92"/>
      <c r="V62" s="92"/>
      <c r="W62" s="92"/>
    </row>
    <row r="63" spans="1:23" x14ac:dyDescent="0.25">
      <c r="A63" s="92"/>
      <c r="B63" s="92"/>
      <c r="C63" s="92"/>
      <c r="D63" s="92"/>
      <c r="E63" s="92"/>
      <c r="F63" s="92"/>
      <c r="G63" s="92"/>
      <c r="H63" s="92"/>
      <c r="I63" s="92"/>
      <c r="J63" s="92"/>
      <c r="K63" s="92"/>
      <c r="L63" s="92"/>
      <c r="M63" s="92"/>
      <c r="N63" s="92"/>
      <c r="O63" s="92"/>
      <c r="P63" s="92"/>
      <c r="Q63" s="92"/>
      <c r="R63" s="92"/>
      <c r="S63" s="92"/>
      <c r="T63" s="92"/>
      <c r="U63" s="92"/>
      <c r="V63" s="92"/>
      <c r="W63" s="92"/>
    </row>
    <row r="64" spans="1:23" x14ac:dyDescent="0.25">
      <c r="A64" s="92"/>
      <c r="B64" s="92"/>
      <c r="C64" s="92"/>
      <c r="D64" s="92"/>
      <c r="E64" s="92"/>
      <c r="F64" s="92"/>
      <c r="G64" s="92"/>
      <c r="H64" s="92"/>
      <c r="I64" s="92"/>
      <c r="J64" s="92"/>
      <c r="K64" s="92"/>
      <c r="L64" s="92"/>
      <c r="M64" s="92"/>
      <c r="N64" s="92"/>
      <c r="O64" s="92"/>
      <c r="P64" s="92"/>
      <c r="Q64" s="92"/>
      <c r="R64" s="92"/>
      <c r="S64" s="92"/>
      <c r="T64" s="92"/>
      <c r="U64" s="92"/>
      <c r="V64" s="92"/>
      <c r="W64" s="92"/>
    </row>
    <row r="65" spans="1:23" x14ac:dyDescent="0.25">
      <c r="A65" s="92"/>
      <c r="B65" s="92"/>
      <c r="C65" s="92"/>
      <c r="D65" s="92"/>
      <c r="E65" s="92"/>
      <c r="F65" s="92"/>
      <c r="G65" s="92"/>
      <c r="H65" s="92"/>
      <c r="I65" s="92"/>
      <c r="J65" s="92"/>
      <c r="K65" s="92"/>
      <c r="L65" s="92"/>
      <c r="M65" s="92"/>
      <c r="N65" s="92"/>
      <c r="O65" s="92"/>
      <c r="P65" s="92"/>
      <c r="Q65" s="92"/>
      <c r="R65" s="92"/>
      <c r="S65" s="92"/>
      <c r="T65" s="92"/>
      <c r="U65" s="92"/>
      <c r="V65" s="92"/>
      <c r="W65" s="92"/>
    </row>
    <row r="66" spans="1:23" x14ac:dyDescent="0.25">
      <c r="A66" s="92"/>
      <c r="B66" s="92"/>
      <c r="C66" s="92"/>
      <c r="D66" s="92"/>
      <c r="E66" s="92"/>
      <c r="F66" s="92"/>
      <c r="G66" s="92"/>
      <c r="H66" s="92"/>
      <c r="I66" s="92"/>
      <c r="J66" s="92"/>
      <c r="K66" s="92"/>
      <c r="L66" s="92"/>
      <c r="M66" s="92"/>
      <c r="N66" s="92"/>
      <c r="O66" s="92"/>
      <c r="P66" s="92"/>
      <c r="Q66" s="92"/>
      <c r="R66" s="92"/>
      <c r="S66" s="92"/>
      <c r="T66" s="92"/>
      <c r="U66" s="92"/>
      <c r="V66" s="92"/>
      <c r="W66" s="92"/>
    </row>
    <row r="67" spans="1:23" x14ac:dyDescent="0.25">
      <c r="A67" s="92"/>
      <c r="B67" s="92"/>
      <c r="C67" s="92"/>
      <c r="D67" s="92"/>
      <c r="E67" s="92"/>
      <c r="F67" s="92"/>
      <c r="G67" s="92"/>
      <c r="H67" s="92"/>
      <c r="I67" s="92"/>
      <c r="J67" s="92"/>
      <c r="K67" s="92"/>
      <c r="L67" s="92"/>
      <c r="M67" s="92"/>
      <c r="N67" s="92"/>
      <c r="O67" s="92"/>
      <c r="P67" s="92"/>
      <c r="Q67" s="92"/>
      <c r="R67" s="92"/>
      <c r="S67" s="92"/>
      <c r="T67" s="92"/>
      <c r="U67" s="92"/>
      <c r="V67" s="92"/>
      <c r="W67" s="92"/>
    </row>
    <row r="68" spans="1:23" x14ac:dyDescent="0.25">
      <c r="A68" s="92"/>
      <c r="B68" s="92"/>
      <c r="C68" s="92"/>
      <c r="D68" s="92"/>
      <c r="E68" s="92"/>
      <c r="F68" s="92"/>
      <c r="G68" s="92"/>
      <c r="H68" s="92"/>
      <c r="I68" s="92"/>
      <c r="J68" s="92"/>
      <c r="K68" s="92"/>
      <c r="L68" s="92"/>
      <c r="M68" s="92"/>
      <c r="N68" s="92"/>
      <c r="O68" s="92"/>
      <c r="P68" s="92"/>
      <c r="Q68" s="92"/>
      <c r="R68" s="92"/>
      <c r="S68" s="92"/>
      <c r="T68" s="92"/>
      <c r="U68" s="92"/>
      <c r="V68" s="92"/>
      <c r="W68" s="92"/>
    </row>
    <row r="69" spans="1:23" x14ac:dyDescent="0.25">
      <c r="A69" s="92"/>
      <c r="B69" s="92"/>
      <c r="C69" s="92"/>
      <c r="D69" s="92"/>
      <c r="E69" s="92"/>
      <c r="F69" s="92"/>
      <c r="G69" s="92"/>
      <c r="H69" s="92"/>
      <c r="I69" s="92"/>
      <c r="J69" s="92"/>
      <c r="K69" s="92"/>
      <c r="L69" s="92"/>
      <c r="M69" s="92"/>
      <c r="N69" s="92"/>
      <c r="O69" s="92"/>
      <c r="P69" s="92"/>
      <c r="Q69" s="92"/>
      <c r="R69" s="92"/>
      <c r="S69" s="92"/>
      <c r="T69" s="92"/>
      <c r="U69" s="92"/>
      <c r="V69" s="92"/>
      <c r="W69" s="92"/>
    </row>
    <row r="70" spans="1:23" x14ac:dyDescent="0.25">
      <c r="A70" s="92"/>
      <c r="B70" s="92"/>
      <c r="C70" s="92"/>
      <c r="D70" s="92"/>
      <c r="E70" s="92"/>
      <c r="F70" s="92"/>
      <c r="G70" s="92"/>
      <c r="H70" s="92"/>
      <c r="I70" s="92"/>
      <c r="J70" s="92"/>
      <c r="K70" s="92"/>
      <c r="L70" s="92"/>
      <c r="M70" s="92"/>
      <c r="N70" s="92"/>
      <c r="O70" s="92"/>
      <c r="P70" s="92"/>
      <c r="Q70" s="92"/>
      <c r="R70" s="92"/>
      <c r="S70" s="92"/>
      <c r="T70" s="92"/>
      <c r="U70" s="92"/>
      <c r="V70" s="92"/>
      <c r="W70" s="92"/>
    </row>
    <row r="71" spans="1:23" x14ac:dyDescent="0.25">
      <c r="A71" s="92"/>
      <c r="B71" s="92"/>
      <c r="C71" s="92"/>
      <c r="D71" s="92"/>
      <c r="E71" s="92"/>
      <c r="F71" s="92"/>
      <c r="G71" s="92"/>
      <c r="H71" s="92"/>
      <c r="I71" s="92"/>
      <c r="J71" s="92"/>
      <c r="K71" s="92"/>
      <c r="L71" s="92"/>
      <c r="M71" s="92"/>
      <c r="N71" s="92"/>
      <c r="O71" s="92"/>
      <c r="P71" s="92"/>
      <c r="Q71" s="92"/>
      <c r="R71" s="92"/>
      <c r="S71" s="92"/>
      <c r="T71" s="92"/>
      <c r="U71" s="92"/>
      <c r="V71" s="92"/>
      <c r="W71" s="92"/>
    </row>
    <row r="72" spans="1:23" x14ac:dyDescent="0.25">
      <c r="A72" s="92"/>
      <c r="B72" s="92"/>
      <c r="C72" s="92"/>
      <c r="D72" s="92"/>
      <c r="E72" s="92"/>
      <c r="F72" s="92"/>
      <c r="G72" s="92"/>
      <c r="H72" s="92"/>
      <c r="I72" s="92"/>
      <c r="J72" s="92"/>
      <c r="K72" s="92"/>
      <c r="L72" s="92"/>
      <c r="M72" s="92"/>
      <c r="N72" s="92"/>
      <c r="O72" s="92"/>
      <c r="P72" s="92"/>
      <c r="Q72" s="92"/>
      <c r="R72" s="92"/>
      <c r="S72" s="92"/>
      <c r="T72" s="92"/>
      <c r="U72" s="92"/>
      <c r="V72" s="92"/>
      <c r="W72" s="92"/>
    </row>
    <row r="73" spans="1:23" x14ac:dyDescent="0.25">
      <c r="A73" s="92"/>
      <c r="B73" s="92"/>
      <c r="C73" s="92"/>
      <c r="D73" s="92"/>
      <c r="E73" s="92"/>
      <c r="F73" s="92"/>
      <c r="G73" s="92"/>
      <c r="H73" s="92"/>
      <c r="I73" s="92"/>
      <c r="J73" s="92"/>
      <c r="K73" s="92"/>
      <c r="L73" s="92"/>
      <c r="M73" s="92"/>
      <c r="N73" s="92"/>
      <c r="O73" s="92"/>
      <c r="P73" s="92"/>
      <c r="Q73" s="92"/>
      <c r="R73" s="92"/>
      <c r="S73" s="92"/>
      <c r="T73" s="92"/>
      <c r="U73" s="92"/>
      <c r="V73" s="92"/>
      <c r="W73" s="92"/>
    </row>
    <row r="74" spans="1:23" x14ac:dyDescent="0.25">
      <c r="A74" s="92"/>
      <c r="B74" s="92"/>
      <c r="C74" s="92"/>
      <c r="D74" s="92"/>
      <c r="E74" s="92"/>
      <c r="F74" s="92"/>
      <c r="G74" s="92"/>
      <c r="H74" s="92"/>
      <c r="I74" s="92"/>
      <c r="J74" s="92"/>
      <c r="K74" s="92"/>
      <c r="L74" s="92"/>
      <c r="M74" s="92"/>
      <c r="N74" s="92"/>
      <c r="O74" s="92"/>
      <c r="P74" s="92"/>
      <c r="Q74" s="92"/>
      <c r="R74" s="92"/>
      <c r="S74" s="92"/>
      <c r="T74" s="92"/>
      <c r="U74" s="92"/>
      <c r="V74" s="92"/>
      <c r="W74" s="92"/>
    </row>
    <row r="75" spans="1:23" x14ac:dyDescent="0.25">
      <c r="A75" s="92"/>
      <c r="B75" s="92"/>
      <c r="C75" s="92"/>
      <c r="D75" s="92"/>
      <c r="E75" s="92"/>
      <c r="F75" s="92"/>
      <c r="G75" s="92"/>
      <c r="H75" s="92"/>
      <c r="I75" s="92"/>
      <c r="J75" s="92"/>
      <c r="K75" s="92"/>
      <c r="L75" s="92"/>
      <c r="M75" s="92"/>
      <c r="N75" s="92"/>
      <c r="O75" s="92"/>
      <c r="P75" s="92"/>
      <c r="Q75" s="92"/>
      <c r="R75" s="92"/>
      <c r="S75" s="92"/>
      <c r="T75" s="92"/>
      <c r="U75" s="92"/>
      <c r="V75" s="92"/>
      <c r="W75" s="92"/>
    </row>
    <row r="76" spans="1:23" x14ac:dyDescent="0.25">
      <c r="A76" s="92"/>
      <c r="B76" s="92"/>
      <c r="C76" s="92"/>
      <c r="D76" s="92"/>
      <c r="E76" s="92"/>
      <c r="F76" s="92"/>
      <c r="G76" s="92"/>
      <c r="H76" s="92"/>
      <c r="I76" s="92"/>
      <c r="J76" s="92"/>
      <c r="K76" s="92"/>
      <c r="L76" s="92"/>
      <c r="M76" s="92"/>
      <c r="N76" s="92"/>
      <c r="O76" s="92"/>
      <c r="P76" s="92"/>
      <c r="Q76" s="92"/>
      <c r="R76" s="92"/>
      <c r="S76" s="92"/>
      <c r="T76" s="92"/>
      <c r="U76" s="92"/>
      <c r="V76" s="92"/>
      <c r="W76" s="92"/>
    </row>
    <row r="77" spans="1:23" x14ac:dyDescent="0.25">
      <c r="A77" s="92"/>
      <c r="B77" s="92"/>
      <c r="C77" s="92"/>
      <c r="D77" s="92"/>
      <c r="E77" s="92"/>
      <c r="F77" s="92"/>
      <c r="G77" s="92"/>
      <c r="H77" s="92"/>
      <c r="I77" s="92"/>
      <c r="J77" s="92"/>
      <c r="K77" s="92"/>
      <c r="L77" s="92"/>
      <c r="M77" s="92"/>
      <c r="N77" s="92"/>
      <c r="O77" s="92"/>
      <c r="P77" s="92"/>
      <c r="Q77" s="92"/>
      <c r="R77" s="92"/>
      <c r="S77" s="92"/>
      <c r="T77" s="92"/>
      <c r="U77" s="92"/>
      <c r="V77" s="92"/>
      <c r="W77" s="92"/>
    </row>
    <row r="78" spans="1:23" x14ac:dyDescent="0.25">
      <c r="A78" s="92"/>
      <c r="B78" s="92"/>
      <c r="C78" s="92"/>
      <c r="D78" s="92"/>
      <c r="E78" s="92"/>
      <c r="F78" s="92"/>
      <c r="G78" s="92"/>
      <c r="H78" s="92"/>
      <c r="I78" s="92"/>
      <c r="J78" s="92"/>
      <c r="K78" s="92"/>
      <c r="L78" s="92"/>
      <c r="M78" s="92"/>
      <c r="N78" s="92"/>
      <c r="O78" s="92"/>
      <c r="P78" s="92"/>
      <c r="Q78" s="92"/>
      <c r="R78" s="92"/>
      <c r="S78" s="92"/>
      <c r="T78" s="92"/>
      <c r="U78" s="92"/>
      <c r="V78" s="92"/>
      <c r="W78" s="92"/>
    </row>
    <row r="79" spans="1:23" x14ac:dyDescent="0.25">
      <c r="A79" s="92"/>
      <c r="B79" s="92"/>
      <c r="C79" s="92"/>
      <c r="D79" s="92"/>
      <c r="E79" s="92"/>
      <c r="F79" s="92"/>
      <c r="G79" s="92"/>
      <c r="H79" s="92"/>
      <c r="I79" s="92"/>
      <c r="J79" s="92"/>
      <c r="K79" s="92"/>
      <c r="L79" s="92"/>
      <c r="M79" s="92"/>
      <c r="N79" s="92"/>
      <c r="O79" s="92"/>
      <c r="P79" s="92"/>
      <c r="Q79" s="92"/>
      <c r="R79" s="92"/>
      <c r="S79" s="92"/>
      <c r="T79" s="92"/>
      <c r="U79" s="92"/>
      <c r="V79" s="92"/>
      <c r="W79" s="92"/>
    </row>
    <row r="80" spans="1:23" x14ac:dyDescent="0.25">
      <c r="A80" s="92"/>
      <c r="B80" s="92"/>
      <c r="C80" s="92"/>
      <c r="D80" s="92"/>
      <c r="E80" s="92"/>
      <c r="F80" s="92"/>
      <c r="G80" s="92"/>
      <c r="H80" s="92"/>
      <c r="I80" s="92"/>
      <c r="J80" s="92"/>
      <c r="K80" s="92"/>
      <c r="L80" s="92"/>
      <c r="M80" s="92"/>
      <c r="N80" s="92"/>
      <c r="O80" s="92"/>
      <c r="P80" s="92"/>
      <c r="Q80" s="92"/>
      <c r="R80" s="92"/>
      <c r="S80" s="92"/>
      <c r="T80" s="92"/>
      <c r="U80" s="92"/>
      <c r="V80" s="92"/>
      <c r="W80" s="92"/>
    </row>
    <row r="81" spans="1:23" x14ac:dyDescent="0.25">
      <c r="A81" s="92"/>
      <c r="B81" s="92"/>
      <c r="C81" s="92"/>
      <c r="D81" s="92"/>
      <c r="E81" s="92"/>
      <c r="F81" s="92"/>
      <c r="G81" s="92"/>
      <c r="H81" s="92"/>
      <c r="I81" s="92"/>
      <c r="J81" s="92"/>
      <c r="K81" s="92"/>
      <c r="L81" s="92"/>
      <c r="M81" s="92"/>
      <c r="N81" s="92"/>
      <c r="O81" s="92"/>
      <c r="P81" s="92"/>
      <c r="Q81" s="92"/>
      <c r="R81" s="92"/>
      <c r="S81" s="92"/>
      <c r="T81" s="92"/>
      <c r="U81" s="92"/>
      <c r="V81" s="92"/>
      <c r="W81" s="92"/>
    </row>
    <row r="82" spans="1:23" x14ac:dyDescent="0.25">
      <c r="A82" s="92"/>
      <c r="B82" s="92"/>
      <c r="C82" s="92"/>
      <c r="D82" s="92"/>
      <c r="E82" s="92"/>
      <c r="F82" s="92"/>
      <c r="G82" s="92"/>
      <c r="H82" s="92"/>
      <c r="I82" s="92"/>
      <c r="J82" s="92"/>
      <c r="K82" s="92"/>
      <c r="L82" s="92"/>
      <c r="M82" s="92"/>
      <c r="N82" s="92"/>
      <c r="O82" s="92"/>
      <c r="P82" s="92"/>
      <c r="Q82" s="92"/>
      <c r="R82" s="92"/>
      <c r="S82" s="92"/>
      <c r="T82" s="92"/>
      <c r="U82" s="92"/>
      <c r="V82" s="92"/>
      <c r="W82" s="92"/>
    </row>
    <row r="83" spans="1:23" x14ac:dyDescent="0.25">
      <c r="A83" s="92"/>
      <c r="B83" s="92"/>
      <c r="C83" s="92"/>
      <c r="D83" s="92"/>
      <c r="E83" s="92"/>
      <c r="F83" s="92"/>
      <c r="G83" s="92"/>
      <c r="H83" s="92"/>
      <c r="I83" s="92"/>
      <c r="J83" s="92"/>
      <c r="K83" s="92"/>
      <c r="L83" s="92"/>
      <c r="M83" s="92"/>
      <c r="N83" s="92"/>
      <c r="O83" s="92"/>
      <c r="P83" s="92"/>
      <c r="Q83" s="92"/>
      <c r="R83" s="92"/>
      <c r="S83" s="92"/>
      <c r="T83" s="92"/>
      <c r="U83" s="92"/>
      <c r="V83" s="92"/>
      <c r="W83" s="92"/>
    </row>
    <row r="84" spans="1:23" x14ac:dyDescent="0.25">
      <c r="A84" s="92"/>
      <c r="B84" s="92"/>
      <c r="C84" s="92"/>
      <c r="D84" s="92"/>
      <c r="E84" s="92"/>
      <c r="F84" s="92"/>
      <c r="G84" s="92"/>
      <c r="H84" s="92"/>
      <c r="I84" s="92"/>
      <c r="J84" s="92"/>
      <c r="K84" s="92"/>
      <c r="L84" s="92"/>
      <c r="M84" s="92"/>
      <c r="N84" s="92"/>
      <c r="O84" s="92"/>
      <c r="P84" s="92"/>
      <c r="Q84" s="92"/>
      <c r="R84" s="92"/>
      <c r="S84" s="92"/>
      <c r="T84" s="92"/>
      <c r="U84" s="92"/>
      <c r="V84" s="92"/>
      <c r="W84" s="92"/>
    </row>
    <row r="85" spans="1:23" x14ac:dyDescent="0.25">
      <c r="A85" s="92"/>
      <c r="B85" s="92"/>
      <c r="C85" s="92"/>
      <c r="D85" s="92"/>
      <c r="E85" s="92"/>
      <c r="F85" s="92"/>
      <c r="G85" s="92"/>
      <c r="H85" s="92"/>
      <c r="I85" s="92"/>
      <c r="J85" s="92"/>
      <c r="K85" s="92"/>
      <c r="L85" s="92"/>
      <c r="M85" s="92"/>
      <c r="N85" s="92"/>
      <c r="O85" s="92"/>
      <c r="P85" s="92"/>
      <c r="Q85" s="92"/>
      <c r="R85" s="92"/>
      <c r="S85" s="92"/>
      <c r="T85" s="92"/>
      <c r="U85" s="92"/>
      <c r="V85" s="92"/>
      <c r="W85" s="92"/>
    </row>
    <row r="86" spans="1:23" x14ac:dyDescent="0.25">
      <c r="A86" s="92"/>
      <c r="B86" s="92"/>
      <c r="C86" s="92"/>
      <c r="D86" s="92"/>
      <c r="E86" s="92"/>
      <c r="F86" s="92"/>
      <c r="G86" s="92"/>
      <c r="H86" s="92"/>
      <c r="I86" s="92"/>
      <c r="J86" s="92"/>
      <c r="K86" s="92"/>
      <c r="L86" s="92"/>
      <c r="M86" s="92"/>
      <c r="N86" s="92"/>
      <c r="O86" s="92"/>
      <c r="P86" s="92"/>
      <c r="Q86" s="92"/>
      <c r="R86" s="92"/>
      <c r="S86" s="92"/>
      <c r="T86" s="92"/>
      <c r="U86" s="92"/>
      <c r="V86" s="92"/>
      <c r="W86" s="92"/>
    </row>
    <row r="87" spans="1:23" x14ac:dyDescent="0.25">
      <c r="A87" s="92"/>
      <c r="B87" s="92"/>
      <c r="C87" s="92"/>
      <c r="D87" s="92"/>
      <c r="E87" s="92"/>
      <c r="F87" s="92"/>
      <c r="G87" s="92"/>
      <c r="H87" s="92"/>
      <c r="I87" s="92"/>
      <c r="J87" s="92"/>
      <c r="K87" s="92"/>
      <c r="L87" s="92"/>
      <c r="M87" s="92"/>
      <c r="N87" s="92"/>
      <c r="O87" s="92"/>
      <c r="P87" s="92"/>
      <c r="Q87" s="92"/>
      <c r="R87" s="92"/>
      <c r="S87" s="92"/>
      <c r="T87" s="92"/>
      <c r="U87" s="92"/>
      <c r="V87" s="92"/>
      <c r="W87" s="92"/>
    </row>
    <row r="88" spans="1:23" x14ac:dyDescent="0.25">
      <c r="A88" s="92"/>
      <c r="B88" s="92"/>
      <c r="C88" s="92"/>
      <c r="D88" s="92"/>
      <c r="E88" s="92"/>
      <c r="F88" s="92"/>
      <c r="G88" s="92"/>
      <c r="H88" s="92"/>
      <c r="I88" s="92"/>
      <c r="J88" s="92"/>
      <c r="K88" s="92"/>
      <c r="L88" s="92"/>
      <c r="M88" s="92"/>
      <c r="N88" s="92"/>
      <c r="O88" s="92"/>
      <c r="P88" s="92"/>
      <c r="Q88" s="92"/>
      <c r="R88" s="92"/>
      <c r="S88" s="92"/>
      <c r="T88" s="92"/>
      <c r="U88" s="92"/>
      <c r="V88" s="92"/>
      <c r="W88" s="92"/>
    </row>
    <row r="89" spans="1:23" x14ac:dyDescent="0.25">
      <c r="A89" s="92"/>
      <c r="B89" s="92"/>
      <c r="C89" s="92"/>
      <c r="D89" s="92"/>
      <c r="E89" s="92"/>
      <c r="F89" s="92"/>
      <c r="G89" s="92"/>
      <c r="H89" s="92"/>
      <c r="I89" s="92"/>
      <c r="J89" s="92"/>
      <c r="K89" s="92"/>
      <c r="L89" s="92"/>
      <c r="M89" s="92"/>
      <c r="N89" s="92"/>
      <c r="O89" s="92"/>
      <c r="P89" s="92"/>
      <c r="Q89" s="92"/>
      <c r="R89" s="92"/>
      <c r="S89" s="92"/>
      <c r="T89" s="92"/>
      <c r="U89" s="92"/>
      <c r="V89" s="92"/>
      <c r="W89" s="92"/>
    </row>
    <row r="90" spans="1:23" x14ac:dyDescent="0.25">
      <c r="A90" s="92"/>
      <c r="B90" s="92"/>
      <c r="C90" s="92"/>
      <c r="D90" s="92"/>
      <c r="E90" s="92"/>
      <c r="F90" s="92"/>
      <c r="G90" s="92"/>
      <c r="H90" s="92"/>
      <c r="I90" s="92"/>
      <c r="J90" s="92"/>
      <c r="K90" s="92"/>
      <c r="L90" s="92"/>
      <c r="M90" s="92"/>
      <c r="N90" s="92"/>
      <c r="O90" s="92"/>
      <c r="P90" s="92"/>
      <c r="Q90" s="92"/>
      <c r="R90" s="92"/>
      <c r="S90" s="92"/>
      <c r="T90" s="92"/>
      <c r="U90" s="92"/>
      <c r="V90" s="92"/>
      <c r="W90" s="92"/>
    </row>
    <row r="91" spans="1:23" x14ac:dyDescent="0.25">
      <c r="A91" s="92"/>
      <c r="B91" s="92"/>
      <c r="C91" s="92"/>
      <c r="D91" s="92"/>
      <c r="E91" s="92"/>
      <c r="F91" s="92"/>
      <c r="G91" s="92"/>
      <c r="H91" s="92"/>
      <c r="I91" s="92"/>
      <c r="J91" s="92"/>
      <c r="K91" s="92"/>
      <c r="L91" s="92"/>
      <c r="M91" s="92"/>
      <c r="N91" s="92"/>
      <c r="O91" s="92"/>
      <c r="P91" s="92"/>
      <c r="Q91" s="92"/>
      <c r="R91" s="92"/>
      <c r="S91" s="92"/>
      <c r="T91" s="92"/>
      <c r="U91" s="92"/>
      <c r="V91" s="92"/>
      <c r="W91" s="92"/>
    </row>
    <row r="92" spans="1:23" x14ac:dyDescent="0.25">
      <c r="A92" s="92"/>
      <c r="B92" s="92"/>
      <c r="C92" s="92"/>
      <c r="D92" s="92"/>
      <c r="E92" s="92"/>
      <c r="F92" s="92"/>
      <c r="G92" s="92"/>
      <c r="H92" s="92"/>
      <c r="I92" s="92"/>
      <c r="J92" s="92"/>
      <c r="K92" s="92"/>
      <c r="L92" s="92"/>
      <c r="M92" s="92"/>
      <c r="N92" s="92"/>
      <c r="O92" s="92"/>
      <c r="P92" s="92"/>
      <c r="Q92" s="92"/>
      <c r="R92" s="92"/>
      <c r="S92" s="92"/>
      <c r="T92" s="92"/>
      <c r="U92" s="92"/>
      <c r="V92" s="92"/>
      <c r="W92" s="92"/>
    </row>
    <row r="93" spans="1:23" x14ac:dyDescent="0.25">
      <c r="A93" s="92"/>
      <c r="B93" s="92"/>
      <c r="C93" s="92"/>
      <c r="D93" s="92"/>
      <c r="E93" s="92"/>
      <c r="F93" s="92"/>
      <c r="G93" s="92"/>
      <c r="H93" s="92"/>
      <c r="I93" s="92"/>
      <c r="J93" s="92"/>
      <c r="K93" s="92"/>
      <c r="L93" s="92"/>
      <c r="M93" s="92"/>
      <c r="N93" s="92"/>
      <c r="O93" s="92"/>
      <c r="P93" s="92"/>
      <c r="Q93" s="92"/>
      <c r="R93" s="92"/>
      <c r="S93" s="92"/>
      <c r="T93" s="92"/>
      <c r="U93" s="92"/>
      <c r="V93" s="92"/>
      <c r="W93" s="92"/>
    </row>
    <row r="94" spans="1:23" x14ac:dyDescent="0.25">
      <c r="A94" s="92"/>
      <c r="B94" s="92"/>
      <c r="C94" s="92"/>
      <c r="D94" s="92"/>
      <c r="E94" s="92"/>
      <c r="F94" s="92"/>
      <c r="G94" s="92"/>
      <c r="H94" s="92"/>
      <c r="I94" s="92"/>
      <c r="J94" s="92"/>
      <c r="K94" s="92"/>
      <c r="L94" s="92"/>
      <c r="M94" s="92"/>
      <c r="N94" s="92"/>
      <c r="O94" s="92"/>
      <c r="P94" s="92"/>
      <c r="Q94" s="92"/>
      <c r="R94" s="92"/>
      <c r="S94" s="92"/>
      <c r="T94" s="92"/>
      <c r="U94" s="92"/>
      <c r="V94" s="92"/>
      <c r="W94" s="92"/>
    </row>
    <row r="95" spans="1:23" x14ac:dyDescent="0.25">
      <c r="A95" s="92"/>
      <c r="B95" s="92"/>
      <c r="C95" s="92"/>
      <c r="D95" s="92"/>
      <c r="E95" s="92"/>
      <c r="F95" s="92"/>
      <c r="G95" s="92"/>
      <c r="H95" s="92"/>
      <c r="I95" s="92"/>
      <c r="J95" s="92"/>
      <c r="K95" s="92"/>
      <c r="L95" s="92"/>
      <c r="M95" s="92"/>
      <c r="N95" s="92"/>
      <c r="O95" s="92"/>
      <c r="P95" s="92"/>
      <c r="Q95" s="92"/>
      <c r="R95" s="92"/>
      <c r="S95" s="92"/>
      <c r="T95" s="92"/>
      <c r="U95" s="92"/>
      <c r="V95" s="92"/>
      <c r="W95" s="92"/>
    </row>
    <row r="96" spans="1:23" x14ac:dyDescent="0.25">
      <c r="A96" s="92"/>
      <c r="B96" s="92"/>
      <c r="C96" s="92"/>
      <c r="D96" s="92"/>
      <c r="E96" s="92"/>
      <c r="F96" s="92"/>
      <c r="G96" s="92"/>
      <c r="H96" s="92"/>
      <c r="I96" s="92"/>
      <c r="J96" s="92"/>
      <c r="K96" s="92"/>
      <c r="L96" s="92"/>
      <c r="M96" s="92"/>
      <c r="N96" s="92"/>
      <c r="O96" s="92"/>
      <c r="P96" s="92"/>
      <c r="Q96" s="92"/>
      <c r="R96" s="92"/>
      <c r="S96" s="92"/>
      <c r="T96" s="92"/>
      <c r="U96" s="92"/>
      <c r="V96" s="92"/>
      <c r="W96" s="92"/>
    </row>
    <row r="97" spans="1:23" x14ac:dyDescent="0.25">
      <c r="A97" s="92"/>
      <c r="B97" s="92"/>
      <c r="C97" s="92"/>
      <c r="D97" s="92"/>
      <c r="E97" s="92"/>
      <c r="F97" s="92"/>
      <c r="G97" s="92"/>
      <c r="H97" s="92"/>
      <c r="I97" s="92"/>
      <c r="J97" s="92"/>
      <c r="K97" s="92"/>
      <c r="L97" s="92"/>
      <c r="M97" s="92"/>
      <c r="N97" s="92"/>
      <c r="O97" s="92"/>
      <c r="P97" s="92"/>
      <c r="Q97" s="92"/>
      <c r="R97" s="92"/>
      <c r="S97" s="92"/>
      <c r="T97" s="92"/>
      <c r="U97" s="92"/>
      <c r="V97" s="92"/>
      <c r="W97" s="92"/>
    </row>
    <row r="98" spans="1:23" x14ac:dyDescent="0.25">
      <c r="A98" s="92"/>
      <c r="B98" s="92"/>
      <c r="C98" s="92"/>
      <c r="D98" s="92"/>
      <c r="E98" s="92"/>
      <c r="F98" s="92"/>
      <c r="G98" s="92"/>
      <c r="H98" s="92"/>
      <c r="I98" s="92"/>
      <c r="J98" s="92"/>
      <c r="K98" s="92"/>
      <c r="L98" s="92"/>
      <c r="M98" s="92"/>
      <c r="N98" s="92"/>
      <c r="O98" s="92"/>
      <c r="P98" s="92"/>
      <c r="Q98" s="92"/>
      <c r="R98" s="92"/>
      <c r="S98" s="92"/>
      <c r="T98" s="92"/>
      <c r="U98" s="92"/>
      <c r="V98" s="92"/>
      <c r="W98" s="92"/>
    </row>
    <row r="99" spans="1:23" x14ac:dyDescent="0.25">
      <c r="A99" s="92"/>
      <c r="B99" s="92"/>
      <c r="C99" s="92"/>
      <c r="D99" s="92"/>
      <c r="E99" s="92"/>
      <c r="F99" s="92"/>
      <c r="G99" s="92"/>
      <c r="H99" s="92"/>
      <c r="I99" s="92"/>
      <c r="J99" s="92"/>
      <c r="K99" s="92"/>
      <c r="L99" s="92"/>
      <c r="M99" s="92"/>
      <c r="N99" s="92"/>
      <c r="O99" s="92"/>
      <c r="P99" s="92"/>
      <c r="Q99" s="92"/>
      <c r="R99" s="92"/>
      <c r="S99" s="92"/>
      <c r="T99" s="92"/>
      <c r="U99" s="92"/>
      <c r="V99" s="92"/>
      <c r="W99" s="92"/>
    </row>
    <row r="100" spans="1:23" x14ac:dyDescent="0.25">
      <c r="A100" s="92"/>
      <c r="B100" s="92"/>
      <c r="C100" s="92"/>
      <c r="D100" s="92"/>
      <c r="E100" s="92"/>
      <c r="F100" s="92"/>
      <c r="G100" s="92"/>
      <c r="H100" s="92"/>
      <c r="I100" s="92"/>
      <c r="J100" s="92"/>
      <c r="K100" s="92"/>
      <c r="L100" s="92"/>
      <c r="M100" s="92"/>
      <c r="N100" s="92"/>
      <c r="O100" s="92"/>
      <c r="P100" s="92"/>
      <c r="Q100" s="92"/>
      <c r="R100" s="92"/>
      <c r="S100" s="92"/>
      <c r="T100" s="92"/>
      <c r="U100" s="92"/>
      <c r="V100" s="92"/>
      <c r="W100" s="92"/>
    </row>
    <row r="101" spans="1:23" x14ac:dyDescent="0.25">
      <c r="A101" s="92"/>
      <c r="B101" s="92"/>
      <c r="C101" s="92"/>
      <c r="D101" s="92"/>
      <c r="E101" s="92"/>
      <c r="F101" s="92"/>
      <c r="G101" s="92"/>
      <c r="H101" s="92"/>
      <c r="I101" s="92"/>
      <c r="J101" s="92"/>
      <c r="K101" s="92"/>
      <c r="L101" s="92"/>
      <c r="M101" s="92"/>
      <c r="N101" s="92"/>
      <c r="O101" s="92"/>
      <c r="P101" s="92"/>
      <c r="Q101" s="92"/>
      <c r="R101" s="92"/>
      <c r="S101" s="92"/>
      <c r="T101" s="92"/>
      <c r="U101" s="92"/>
      <c r="V101" s="92"/>
      <c r="W101" s="92"/>
    </row>
    <row r="102" spans="1:23" x14ac:dyDescent="0.25">
      <c r="A102" s="92"/>
      <c r="B102" s="92"/>
      <c r="C102" s="92"/>
      <c r="D102" s="92"/>
      <c r="E102" s="92"/>
      <c r="F102" s="92"/>
      <c r="G102" s="92"/>
      <c r="H102" s="92"/>
      <c r="I102" s="92"/>
      <c r="J102" s="92"/>
      <c r="K102" s="92"/>
      <c r="L102" s="92"/>
      <c r="M102" s="92"/>
      <c r="N102" s="92"/>
      <c r="O102" s="92"/>
      <c r="P102" s="92"/>
      <c r="Q102" s="92"/>
      <c r="R102" s="92"/>
      <c r="S102" s="92"/>
      <c r="T102" s="92"/>
      <c r="U102" s="92"/>
      <c r="V102" s="92"/>
      <c r="W102" s="92"/>
    </row>
    <row r="103" spans="1:23" x14ac:dyDescent="0.25">
      <c r="A103" s="92"/>
      <c r="B103" s="92"/>
      <c r="C103" s="92"/>
      <c r="D103" s="92"/>
      <c r="E103" s="92"/>
      <c r="F103" s="92"/>
      <c r="G103" s="92"/>
      <c r="H103" s="92"/>
      <c r="I103" s="92"/>
      <c r="J103" s="92"/>
      <c r="K103" s="92"/>
      <c r="L103" s="92"/>
      <c r="M103" s="92"/>
      <c r="N103" s="92"/>
      <c r="O103" s="92"/>
      <c r="P103" s="92"/>
      <c r="Q103" s="92"/>
      <c r="R103" s="92"/>
      <c r="S103" s="92"/>
      <c r="T103" s="92"/>
      <c r="U103" s="92"/>
      <c r="V103" s="92"/>
      <c r="W103" s="92"/>
    </row>
    <row r="104" spans="1:23" x14ac:dyDescent="0.25">
      <c r="A104" s="92"/>
      <c r="B104" s="92"/>
      <c r="C104" s="92"/>
      <c r="D104" s="92"/>
      <c r="E104" s="92"/>
      <c r="F104" s="92"/>
      <c r="G104" s="92"/>
      <c r="H104" s="92"/>
      <c r="I104" s="92"/>
      <c r="J104" s="92"/>
      <c r="K104" s="92"/>
      <c r="L104" s="92"/>
      <c r="M104" s="92"/>
      <c r="N104" s="92"/>
      <c r="O104" s="92"/>
      <c r="P104" s="92"/>
      <c r="Q104" s="92"/>
      <c r="R104" s="92"/>
      <c r="S104" s="92"/>
      <c r="T104" s="92"/>
      <c r="U104" s="92"/>
      <c r="V104" s="92"/>
      <c r="W104" s="92"/>
    </row>
    <row r="105" spans="1:23" x14ac:dyDescent="0.25">
      <c r="A105" s="92"/>
      <c r="B105" s="92"/>
      <c r="C105" s="92"/>
      <c r="D105" s="92"/>
      <c r="E105" s="92"/>
      <c r="F105" s="92"/>
      <c r="G105" s="92"/>
      <c r="H105" s="92"/>
      <c r="I105" s="92"/>
      <c r="J105" s="92"/>
      <c r="K105" s="92"/>
      <c r="L105" s="92"/>
      <c r="M105" s="92"/>
      <c r="N105" s="92"/>
      <c r="O105" s="92"/>
      <c r="P105" s="92"/>
      <c r="Q105" s="92"/>
      <c r="R105" s="92"/>
      <c r="S105" s="92"/>
      <c r="T105" s="92"/>
      <c r="U105" s="92"/>
      <c r="V105" s="92"/>
      <c r="W105" s="92"/>
    </row>
    <row r="106" spans="1:23" x14ac:dyDescent="0.25">
      <c r="A106" s="92"/>
      <c r="B106" s="92"/>
      <c r="C106" s="92"/>
      <c r="D106" s="92"/>
      <c r="E106" s="92"/>
      <c r="F106" s="92"/>
      <c r="G106" s="92"/>
      <c r="H106" s="92"/>
      <c r="I106" s="92"/>
      <c r="J106" s="92"/>
      <c r="K106" s="92"/>
      <c r="L106" s="92"/>
      <c r="M106" s="92"/>
      <c r="N106" s="92"/>
      <c r="O106" s="92"/>
      <c r="P106" s="92"/>
      <c r="Q106" s="92"/>
      <c r="R106" s="92"/>
      <c r="S106" s="92"/>
      <c r="T106" s="92"/>
      <c r="U106" s="92"/>
      <c r="V106" s="92"/>
      <c r="W106" s="92"/>
    </row>
    <row r="107" spans="1:23" x14ac:dyDescent="0.25">
      <c r="A107" s="92"/>
      <c r="B107" s="92"/>
      <c r="C107" s="92"/>
      <c r="D107" s="92"/>
      <c r="E107" s="92"/>
      <c r="F107" s="92"/>
      <c r="G107" s="92"/>
      <c r="H107" s="92"/>
      <c r="I107" s="92"/>
      <c r="J107" s="92"/>
      <c r="K107" s="92"/>
      <c r="L107" s="92"/>
      <c r="M107" s="92"/>
      <c r="N107" s="92"/>
      <c r="O107" s="92"/>
      <c r="P107" s="92"/>
      <c r="Q107" s="92"/>
      <c r="R107" s="92"/>
      <c r="S107" s="92"/>
      <c r="T107" s="92"/>
      <c r="U107" s="92"/>
      <c r="V107" s="92"/>
      <c r="W107" s="92"/>
    </row>
    <row r="108" spans="1:23" x14ac:dyDescent="0.25">
      <c r="A108" s="92"/>
      <c r="B108" s="92"/>
      <c r="C108" s="92"/>
      <c r="D108" s="92"/>
      <c r="E108" s="92"/>
      <c r="F108" s="92"/>
      <c r="G108" s="92"/>
      <c r="H108" s="92"/>
      <c r="I108" s="92"/>
      <c r="J108" s="92"/>
      <c r="K108" s="92"/>
      <c r="L108" s="92"/>
      <c r="M108" s="92"/>
      <c r="N108" s="92"/>
      <c r="O108" s="92"/>
      <c r="P108" s="92"/>
      <c r="Q108" s="92"/>
      <c r="R108" s="92"/>
      <c r="S108" s="92"/>
      <c r="T108" s="92"/>
      <c r="U108" s="92"/>
      <c r="V108" s="92"/>
      <c r="W108" s="92"/>
    </row>
    <row r="109" spans="1:23" x14ac:dyDescent="0.25">
      <c r="A109" s="92"/>
      <c r="B109" s="92"/>
      <c r="C109" s="92"/>
      <c r="D109" s="92"/>
      <c r="E109" s="92"/>
      <c r="F109" s="92"/>
      <c r="G109" s="92"/>
      <c r="H109" s="92"/>
      <c r="I109" s="92"/>
      <c r="J109" s="92"/>
      <c r="K109" s="92"/>
      <c r="L109" s="92"/>
      <c r="M109" s="92"/>
      <c r="N109" s="92"/>
      <c r="O109" s="92"/>
      <c r="P109" s="92"/>
      <c r="Q109" s="92"/>
      <c r="R109" s="92"/>
      <c r="S109" s="92"/>
      <c r="T109" s="92"/>
      <c r="U109" s="92"/>
      <c r="V109" s="92"/>
      <c r="W109" s="92"/>
    </row>
    <row r="110" spans="1:23" x14ac:dyDescent="0.25">
      <c r="A110" s="92"/>
      <c r="B110" s="92"/>
      <c r="C110" s="92"/>
      <c r="D110" s="92"/>
      <c r="E110" s="92"/>
      <c r="F110" s="92"/>
      <c r="G110" s="92"/>
      <c r="H110" s="92"/>
      <c r="I110" s="92"/>
      <c r="J110" s="92"/>
      <c r="K110" s="92"/>
      <c r="L110" s="92"/>
      <c r="M110" s="92"/>
      <c r="N110" s="92"/>
      <c r="O110" s="92"/>
      <c r="P110" s="92"/>
      <c r="Q110" s="92"/>
      <c r="R110" s="92"/>
      <c r="S110" s="92"/>
      <c r="T110" s="92"/>
      <c r="U110" s="92"/>
      <c r="V110" s="92"/>
      <c r="W110" s="92"/>
    </row>
    <row r="111" spans="1:23" x14ac:dyDescent="0.25">
      <c r="A111" s="92"/>
      <c r="B111" s="92"/>
      <c r="C111" s="92"/>
      <c r="D111" s="92"/>
      <c r="E111" s="92"/>
      <c r="F111" s="92"/>
      <c r="G111" s="92"/>
      <c r="H111" s="92"/>
      <c r="I111" s="92"/>
      <c r="J111" s="92"/>
      <c r="K111" s="92"/>
      <c r="L111" s="92"/>
      <c r="M111" s="92"/>
      <c r="N111" s="92"/>
      <c r="O111" s="92"/>
      <c r="P111" s="92"/>
      <c r="Q111" s="92"/>
      <c r="R111" s="92"/>
      <c r="S111" s="92"/>
      <c r="T111" s="92"/>
      <c r="U111" s="92"/>
      <c r="V111" s="92"/>
      <c r="W111" s="92"/>
    </row>
    <row r="112" spans="1:23" x14ac:dyDescent="0.25">
      <c r="A112" s="92"/>
      <c r="B112" s="92"/>
      <c r="C112" s="92"/>
      <c r="D112" s="92"/>
      <c r="E112" s="92"/>
      <c r="F112" s="92"/>
      <c r="G112" s="92"/>
      <c r="H112" s="92"/>
      <c r="I112" s="92"/>
      <c r="J112" s="92"/>
      <c r="K112" s="92"/>
      <c r="L112" s="92"/>
      <c r="M112" s="92"/>
      <c r="N112" s="92"/>
      <c r="O112" s="92"/>
      <c r="P112" s="92"/>
      <c r="Q112" s="92"/>
      <c r="R112" s="92"/>
      <c r="S112" s="92"/>
      <c r="T112" s="92"/>
      <c r="U112" s="92"/>
      <c r="V112" s="92"/>
      <c r="W112" s="92"/>
    </row>
    <row r="113" spans="1:23" x14ac:dyDescent="0.25">
      <c r="A113" s="92"/>
      <c r="B113" s="92"/>
      <c r="C113" s="92"/>
      <c r="D113" s="92"/>
      <c r="E113" s="92"/>
      <c r="F113" s="92"/>
      <c r="G113" s="92"/>
      <c r="H113" s="92"/>
      <c r="I113" s="92"/>
      <c r="J113" s="92"/>
      <c r="K113" s="92"/>
      <c r="L113" s="92"/>
      <c r="M113" s="92"/>
      <c r="N113" s="92"/>
      <c r="O113" s="92"/>
      <c r="P113" s="92"/>
      <c r="Q113" s="92"/>
      <c r="R113" s="92"/>
      <c r="S113" s="92"/>
      <c r="T113" s="92"/>
      <c r="U113" s="92"/>
      <c r="V113" s="92"/>
      <c r="W113" s="92"/>
    </row>
    <row r="114" spans="1:23" x14ac:dyDescent="0.25">
      <c r="A114" s="92"/>
      <c r="B114" s="92"/>
      <c r="C114" s="92"/>
      <c r="D114" s="92"/>
      <c r="E114" s="92"/>
      <c r="F114" s="92"/>
      <c r="G114" s="92"/>
      <c r="H114" s="92"/>
      <c r="I114" s="92"/>
      <c r="J114" s="92"/>
      <c r="K114" s="92"/>
      <c r="L114" s="92"/>
      <c r="M114" s="92"/>
      <c r="N114" s="92"/>
      <c r="O114" s="92"/>
      <c r="P114" s="92"/>
      <c r="Q114" s="92"/>
      <c r="R114" s="92"/>
      <c r="S114" s="92"/>
      <c r="T114" s="92"/>
      <c r="U114" s="92"/>
      <c r="V114" s="92"/>
      <c r="W114" s="92"/>
    </row>
    <row r="115" spans="1:23" x14ac:dyDescent="0.25">
      <c r="A115" s="92"/>
      <c r="B115" s="92"/>
      <c r="C115" s="92"/>
      <c r="D115" s="92"/>
      <c r="E115" s="92"/>
      <c r="F115" s="92"/>
      <c r="G115" s="92"/>
      <c r="H115" s="92"/>
      <c r="I115" s="92"/>
      <c r="J115" s="92"/>
      <c r="K115" s="92"/>
      <c r="L115" s="92"/>
      <c r="M115" s="92"/>
      <c r="N115" s="92"/>
      <c r="O115" s="92"/>
      <c r="P115" s="92"/>
      <c r="Q115" s="92"/>
      <c r="R115" s="92"/>
      <c r="S115" s="92"/>
      <c r="T115" s="92"/>
      <c r="U115" s="92"/>
      <c r="V115" s="92"/>
      <c r="W115" s="92"/>
    </row>
  </sheetData>
  <sheetProtection sheet="1" objects="1" scenarios="1" selectLockedCells="1" selectUnlockedCells="1"/>
  <phoneticPr fontId="0" type="noConversion"/>
  <pageMargins left="0.75" right="0.75" top="1" bottom="1" header="0.5" footer="0.5"/>
  <pageSetup scale="89" orientation="portrait" r:id="rId1"/>
  <headerFooter alignWithMargins="0">
    <oddFooter>&amp;LFinancial Calculator&amp;CCopyright 2003 by CCIM Institute.&amp;RAll rights reserved.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0"/>
  </sheetPr>
  <dimension ref="A1:U60"/>
  <sheetViews>
    <sheetView showGridLines="0" showRowColHeaders="0" zoomScale="110" workbookViewId="0"/>
  </sheetViews>
  <sheetFormatPr defaultRowHeight="12.5" x14ac:dyDescent="0.25"/>
  <cols>
    <col min="1" max="1" width="2.26953125" customWidth="1"/>
    <col min="2" max="2" width="2.453125" customWidth="1"/>
    <col min="3" max="3" width="2" customWidth="1"/>
    <col min="4" max="4" width="14.1796875" bestFit="1" customWidth="1"/>
    <col min="5" max="5" width="20" bestFit="1" customWidth="1"/>
    <col min="6" max="7" width="3" customWidth="1"/>
    <col min="8" max="8" width="9.26953125" customWidth="1"/>
    <col min="10" max="10" width="24" bestFit="1" customWidth="1"/>
    <col min="11" max="11" width="4.7265625" customWidth="1"/>
    <col min="13" max="13" width="23" bestFit="1" customWidth="1"/>
  </cols>
  <sheetData>
    <row r="1" spans="1:21" x14ac:dyDescent="0.25">
      <c r="A1" s="1"/>
      <c r="B1" s="1"/>
      <c r="C1" s="1"/>
      <c r="D1" s="1"/>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x14ac:dyDescent="0.25">
      <c r="A3" s="1"/>
      <c r="B3" s="1"/>
      <c r="C3" s="1"/>
      <c r="D3" s="1"/>
      <c r="E3" s="1"/>
      <c r="F3" s="1"/>
      <c r="G3" s="1"/>
      <c r="H3" s="1"/>
      <c r="I3" s="1"/>
      <c r="J3" s="1"/>
      <c r="K3" s="1"/>
      <c r="L3" s="1"/>
      <c r="M3" s="1"/>
      <c r="N3" s="1"/>
      <c r="O3" s="1"/>
      <c r="P3" s="1"/>
      <c r="Q3" s="1"/>
      <c r="R3" s="1"/>
      <c r="S3" s="1"/>
      <c r="T3" s="1"/>
      <c r="U3" s="1"/>
    </row>
    <row r="4" spans="1:21" x14ac:dyDescent="0.25">
      <c r="A4" s="1"/>
      <c r="B4" s="1"/>
      <c r="C4" s="1"/>
      <c r="D4" s="1"/>
      <c r="E4" s="1"/>
      <c r="F4" s="1"/>
      <c r="G4" s="1"/>
      <c r="H4" s="1"/>
      <c r="I4" s="1"/>
      <c r="J4" s="1"/>
      <c r="K4" s="1"/>
      <c r="L4" s="1"/>
      <c r="M4" s="1"/>
      <c r="N4" s="1"/>
      <c r="O4" s="1"/>
      <c r="P4" s="1"/>
      <c r="Q4" s="1"/>
      <c r="R4" s="1"/>
      <c r="S4" s="1"/>
      <c r="T4" s="1"/>
      <c r="U4" s="1"/>
    </row>
    <row r="5" spans="1:21" x14ac:dyDescent="0.25">
      <c r="A5" s="1"/>
      <c r="B5" s="1"/>
      <c r="C5" s="1"/>
      <c r="D5" s="1"/>
      <c r="E5" s="1"/>
      <c r="F5" s="1"/>
      <c r="G5" s="1"/>
      <c r="H5" s="1"/>
      <c r="I5" s="1"/>
      <c r="J5" s="1"/>
      <c r="K5" s="1"/>
      <c r="L5" s="1"/>
      <c r="M5" s="1"/>
      <c r="N5" s="1"/>
      <c r="O5" s="1"/>
      <c r="P5" s="1"/>
      <c r="Q5" s="1"/>
      <c r="R5" s="1"/>
      <c r="S5" s="1"/>
      <c r="T5" s="1"/>
      <c r="U5" s="1"/>
    </row>
    <row r="6" spans="1:21" x14ac:dyDescent="0.25">
      <c r="A6" s="1"/>
      <c r="B6" s="1"/>
      <c r="C6" s="1"/>
      <c r="D6" s="1"/>
      <c r="E6" s="1"/>
      <c r="F6" s="1"/>
      <c r="G6" s="1"/>
      <c r="H6" s="1"/>
      <c r="I6" s="1"/>
      <c r="J6" s="1"/>
      <c r="K6" s="1"/>
      <c r="L6" s="1"/>
      <c r="M6" s="1"/>
      <c r="N6" s="1"/>
      <c r="O6" s="1"/>
      <c r="P6" s="1"/>
      <c r="Q6" s="1"/>
      <c r="R6" s="1"/>
      <c r="S6" s="1"/>
      <c r="T6" s="1"/>
      <c r="U6" s="1"/>
    </row>
    <row r="7" spans="1:21" x14ac:dyDescent="0.25">
      <c r="A7" s="1"/>
      <c r="B7" s="1"/>
      <c r="C7" s="1"/>
      <c r="D7" s="115" t="s">
        <v>8</v>
      </c>
      <c r="E7" s="116"/>
      <c r="F7" s="1"/>
      <c r="G7" s="1"/>
      <c r="H7" s="1"/>
      <c r="I7" s="1"/>
      <c r="J7" s="1"/>
      <c r="K7" s="1"/>
      <c r="L7" s="1"/>
      <c r="M7" s="1"/>
      <c r="N7" s="1"/>
      <c r="O7" s="1"/>
      <c r="P7" s="1"/>
      <c r="Q7" s="1"/>
      <c r="R7" s="1"/>
      <c r="S7" s="1"/>
      <c r="T7" s="1"/>
      <c r="U7" s="1"/>
    </row>
    <row r="8" spans="1:21" x14ac:dyDescent="0.25">
      <c r="A8" s="1"/>
      <c r="B8" s="1"/>
      <c r="C8" s="1"/>
      <c r="D8" s="117"/>
      <c r="E8" s="118"/>
      <c r="F8" s="1"/>
      <c r="G8" s="1"/>
      <c r="H8" s="1"/>
      <c r="I8" s="1"/>
      <c r="J8" s="1"/>
      <c r="K8" s="1"/>
      <c r="L8" s="1"/>
      <c r="M8" s="1"/>
      <c r="N8" s="1"/>
      <c r="O8" s="1"/>
      <c r="P8" s="1"/>
      <c r="Q8" s="1"/>
      <c r="R8" s="1"/>
      <c r="S8" s="1"/>
      <c r="T8" s="1"/>
      <c r="U8" s="1"/>
    </row>
    <row r="9" spans="1:21" ht="19" x14ac:dyDescent="0.45">
      <c r="A9" s="1"/>
      <c r="B9" s="1"/>
      <c r="C9" s="1"/>
      <c r="D9" s="5" t="s">
        <v>0</v>
      </c>
      <c r="E9" s="6">
        <v>0</v>
      </c>
      <c r="F9" s="1"/>
      <c r="G9" s="1"/>
      <c r="H9" s="2" t="str">
        <f>IF(E16&gt;0,"BOP","EOP")</f>
        <v>EOP</v>
      </c>
      <c r="I9" s="1"/>
      <c r="J9" s="1"/>
      <c r="K9" s="1"/>
      <c r="L9" s="1"/>
      <c r="M9" s="1"/>
      <c r="N9" s="1"/>
      <c r="O9" s="1"/>
      <c r="P9" s="1"/>
      <c r="Q9" s="1"/>
      <c r="R9" s="1"/>
      <c r="S9" s="1"/>
      <c r="T9" s="1"/>
      <c r="U9" s="1"/>
    </row>
    <row r="10" spans="1:21" ht="19" x14ac:dyDescent="0.45">
      <c r="A10" s="1"/>
      <c r="B10" s="1"/>
      <c r="C10" s="1"/>
      <c r="D10" s="5" t="s">
        <v>1</v>
      </c>
      <c r="E10" s="6">
        <v>12</v>
      </c>
      <c r="F10" s="1"/>
      <c r="G10" s="1"/>
      <c r="H10" s="2">
        <f>IF(E16=0,0,"")</f>
        <v>0</v>
      </c>
      <c r="I10" s="1"/>
      <c r="J10" s="96">
        <f>E13</f>
        <v>0</v>
      </c>
      <c r="K10" s="1"/>
      <c r="L10" s="1"/>
      <c r="M10" s="1"/>
      <c r="N10" s="1"/>
      <c r="O10" s="1"/>
      <c r="P10" s="1"/>
      <c r="Q10" s="1"/>
      <c r="R10" s="1"/>
      <c r="S10" s="1"/>
      <c r="T10" s="1"/>
      <c r="U10" s="1"/>
    </row>
    <row r="11" spans="1:21" ht="19" x14ac:dyDescent="0.45">
      <c r="A11" s="1"/>
      <c r="B11" s="1"/>
      <c r="C11" s="1"/>
      <c r="D11" s="97" t="s">
        <v>2</v>
      </c>
      <c r="E11" s="6">
        <f>E9*E10</f>
        <v>0</v>
      </c>
      <c r="F11" s="1"/>
      <c r="G11" s="1"/>
      <c r="H11" s="2">
        <v>1</v>
      </c>
      <c r="I11" s="1"/>
      <c r="J11" s="96">
        <f>E14</f>
        <v>0</v>
      </c>
      <c r="K11" s="1"/>
      <c r="L11" s="1"/>
      <c r="M11" s="1"/>
      <c r="N11" s="1"/>
      <c r="O11" s="1"/>
      <c r="P11" s="1"/>
      <c r="Q11" s="1"/>
      <c r="R11" s="1"/>
      <c r="S11" s="1"/>
      <c r="T11" s="1"/>
      <c r="U11" s="1"/>
    </row>
    <row r="12" spans="1:21" ht="19" x14ac:dyDescent="0.45">
      <c r="A12" s="1"/>
      <c r="B12" s="1"/>
      <c r="C12" s="1"/>
      <c r="D12" s="5" t="s">
        <v>3</v>
      </c>
      <c r="E12" s="7">
        <v>0</v>
      </c>
      <c r="F12" s="1"/>
      <c r="G12" s="1"/>
      <c r="H12" s="2"/>
      <c r="I12" s="1"/>
      <c r="J12" s="3"/>
      <c r="K12" s="1"/>
      <c r="L12" s="1"/>
      <c r="M12" s="1"/>
      <c r="N12" s="1"/>
      <c r="O12" s="1"/>
      <c r="P12" s="1"/>
      <c r="Q12" s="1"/>
      <c r="R12" s="1"/>
      <c r="S12" s="1"/>
      <c r="T12" s="1"/>
      <c r="U12" s="1"/>
    </row>
    <row r="13" spans="1:21" ht="19" x14ac:dyDescent="0.45">
      <c r="A13" s="1"/>
      <c r="B13" s="1"/>
      <c r="C13" s="1"/>
      <c r="D13" s="5" t="s">
        <v>4</v>
      </c>
      <c r="E13" s="8">
        <v>0</v>
      </c>
      <c r="F13" s="1"/>
      <c r="G13" s="1"/>
      <c r="H13" s="2"/>
      <c r="I13" s="1"/>
      <c r="J13" s="3"/>
      <c r="K13" s="1"/>
      <c r="L13" s="1"/>
      <c r="M13" s="1"/>
      <c r="N13" s="1"/>
      <c r="O13" s="1"/>
      <c r="P13" s="1"/>
      <c r="Q13" s="1"/>
      <c r="R13" s="1"/>
      <c r="S13" s="1"/>
      <c r="T13" s="1"/>
      <c r="U13" s="1"/>
    </row>
    <row r="14" spans="1:21" ht="19" x14ac:dyDescent="0.45">
      <c r="A14" s="1"/>
      <c r="B14" s="1"/>
      <c r="C14" s="1"/>
      <c r="D14" s="5" t="s">
        <v>5</v>
      </c>
      <c r="E14" s="8">
        <v>0</v>
      </c>
      <c r="F14" s="1"/>
      <c r="G14" s="1"/>
      <c r="H14" s="2"/>
      <c r="I14" s="1"/>
      <c r="J14" s="3"/>
      <c r="K14" s="1"/>
      <c r="L14" s="1"/>
      <c r="M14" s="1"/>
      <c r="N14" s="1"/>
      <c r="O14" s="1"/>
      <c r="P14" s="1"/>
      <c r="Q14" s="1"/>
      <c r="R14" s="1"/>
      <c r="S14" s="1"/>
      <c r="T14" s="1"/>
      <c r="U14" s="1"/>
    </row>
    <row r="15" spans="1:21" ht="19" x14ac:dyDescent="0.45">
      <c r="A15" s="1"/>
      <c r="B15" s="1"/>
      <c r="C15" s="1"/>
      <c r="D15" s="5" t="s">
        <v>6</v>
      </c>
      <c r="E15" s="8">
        <v>0</v>
      </c>
      <c r="F15" s="1"/>
      <c r="G15" s="1"/>
      <c r="H15" s="53">
        <f>E11</f>
        <v>0</v>
      </c>
      <c r="I15" s="1"/>
      <c r="J15" s="96">
        <f>J11</f>
        <v>0</v>
      </c>
      <c r="K15" s="4" t="s">
        <v>7</v>
      </c>
      <c r="L15" s="1"/>
      <c r="M15" s="96">
        <f>E15</f>
        <v>0</v>
      </c>
      <c r="N15" s="1"/>
      <c r="O15" s="1"/>
      <c r="P15" s="1"/>
      <c r="Q15" s="1"/>
      <c r="R15" s="1"/>
      <c r="S15" s="1"/>
      <c r="T15" s="1"/>
      <c r="U15" s="1"/>
    </row>
    <row r="16" spans="1:21" ht="15.5" x14ac:dyDescent="0.35">
      <c r="A16" s="1"/>
      <c r="B16" s="1"/>
      <c r="C16" s="1"/>
      <c r="D16" s="50" t="s">
        <v>20</v>
      </c>
      <c r="E16" s="6">
        <v>0</v>
      </c>
      <c r="F16" s="1"/>
      <c r="G16" s="1"/>
      <c r="H16" s="1"/>
      <c r="I16" s="1"/>
      <c r="J16" s="1"/>
      <c r="K16" s="1"/>
      <c r="L16" s="1"/>
      <c r="M16" s="1"/>
      <c r="N16" s="1"/>
      <c r="O16" s="1"/>
      <c r="P16" s="1"/>
      <c r="Q16" s="1"/>
      <c r="R16" s="1"/>
      <c r="S16" s="1"/>
      <c r="T16" s="1"/>
      <c r="U16" s="1"/>
    </row>
    <row r="17" spans="1:21" x14ac:dyDescent="0.25">
      <c r="A17" s="1"/>
      <c r="B17" s="1"/>
      <c r="C17" s="1"/>
      <c r="D17" s="1"/>
      <c r="E17" s="1"/>
      <c r="F17" s="1"/>
      <c r="G17" s="1"/>
      <c r="H17" s="1"/>
      <c r="I17" s="1"/>
      <c r="J17" s="1"/>
      <c r="K17" s="1"/>
      <c r="L17" s="1"/>
      <c r="M17" s="1"/>
      <c r="N17" s="1"/>
      <c r="O17" s="1"/>
      <c r="P17" s="1"/>
      <c r="Q17" s="1"/>
      <c r="R17" s="1"/>
      <c r="S17" s="1"/>
      <c r="T17" s="1"/>
      <c r="U17" s="1"/>
    </row>
    <row r="18" spans="1:21" ht="19" x14ac:dyDescent="0.45">
      <c r="A18" s="1"/>
      <c r="B18" s="1"/>
      <c r="C18" s="1"/>
      <c r="D18" s="1"/>
      <c r="E18" s="1"/>
      <c r="F18" s="1"/>
      <c r="G18" s="1"/>
      <c r="H18" s="1"/>
      <c r="I18" s="1"/>
      <c r="J18" s="52">
        <f>E12</f>
        <v>0</v>
      </c>
      <c r="K18" s="1"/>
      <c r="L18" s="1"/>
      <c r="M18" s="1"/>
      <c r="N18" s="1"/>
      <c r="O18" s="1"/>
      <c r="P18" s="1"/>
      <c r="Q18" s="1"/>
      <c r="R18" s="1"/>
      <c r="S18" s="1"/>
      <c r="T18" s="1"/>
      <c r="U18" s="1"/>
    </row>
    <row r="19" spans="1:21" x14ac:dyDescent="0.25">
      <c r="A19" s="1"/>
      <c r="B19" s="1"/>
      <c r="C19" s="1"/>
      <c r="D19" s="1"/>
      <c r="E19" s="1"/>
      <c r="F19" s="1"/>
      <c r="G19" s="1"/>
      <c r="H19" s="1"/>
      <c r="I19" s="1"/>
      <c r="J19" s="1"/>
      <c r="K19" s="1"/>
      <c r="L19" s="1"/>
      <c r="M19" s="1"/>
      <c r="N19" s="1"/>
      <c r="O19" s="1"/>
      <c r="P19" s="1"/>
      <c r="Q19" s="1"/>
      <c r="R19" s="1"/>
      <c r="S19" s="1"/>
      <c r="T19" s="1"/>
      <c r="U19" s="1"/>
    </row>
    <row r="20" spans="1:21" x14ac:dyDescent="0.25">
      <c r="A20" s="1"/>
      <c r="B20" s="1"/>
      <c r="C20" s="1"/>
      <c r="D20" s="1"/>
      <c r="E20" s="1"/>
      <c r="F20" s="1"/>
      <c r="G20" s="1"/>
      <c r="H20" s="1"/>
      <c r="I20" s="1"/>
      <c r="J20" s="1"/>
      <c r="K20" s="1"/>
      <c r="L20" s="1"/>
      <c r="M20" s="1"/>
      <c r="N20" s="1"/>
      <c r="O20" s="1"/>
      <c r="P20" s="1"/>
      <c r="Q20" s="1"/>
      <c r="R20" s="1"/>
      <c r="S20" s="1"/>
      <c r="T20" s="1"/>
      <c r="U20" s="1"/>
    </row>
    <row r="21" spans="1:21" x14ac:dyDescent="0.25">
      <c r="A21" s="1"/>
      <c r="B21" s="1"/>
      <c r="C21" s="1"/>
      <c r="D21" s="1"/>
      <c r="E21" s="1"/>
      <c r="F21" s="1"/>
      <c r="G21" s="1"/>
      <c r="H21" s="1"/>
      <c r="I21" s="1"/>
      <c r="J21" s="1"/>
      <c r="K21" s="1"/>
      <c r="L21" s="1"/>
      <c r="M21" s="1"/>
      <c r="N21" s="1"/>
      <c r="O21" s="1"/>
      <c r="P21" s="1"/>
      <c r="Q21" s="1"/>
      <c r="R21" s="1"/>
      <c r="S21" s="1"/>
      <c r="T21" s="1"/>
      <c r="U21" s="1"/>
    </row>
    <row r="22" spans="1:21" x14ac:dyDescent="0.25">
      <c r="A22" s="1"/>
      <c r="B22" s="1"/>
      <c r="C22" s="1"/>
      <c r="D22" s="1"/>
      <c r="E22" s="51"/>
      <c r="F22" s="1"/>
      <c r="G22" s="1"/>
      <c r="H22" s="1"/>
      <c r="I22" s="1"/>
      <c r="J22" s="1"/>
      <c r="K22" s="1"/>
      <c r="L22" s="1"/>
      <c r="M22" s="1"/>
      <c r="N22" s="1"/>
      <c r="O22" s="1"/>
      <c r="P22" s="1"/>
      <c r="Q22" s="1"/>
      <c r="R22" s="1"/>
      <c r="S22" s="1"/>
      <c r="T22" s="1"/>
      <c r="U22" s="1"/>
    </row>
    <row r="23" spans="1:21" x14ac:dyDescent="0.25">
      <c r="A23" s="1"/>
      <c r="B23" s="1"/>
      <c r="C23" s="1"/>
      <c r="D23" s="1"/>
      <c r="E23" s="1"/>
      <c r="F23" s="1"/>
      <c r="G23" s="1"/>
      <c r="H23" s="1"/>
      <c r="I23" s="1"/>
      <c r="J23" s="1"/>
      <c r="K23" s="1"/>
      <c r="L23" s="1"/>
      <c r="M23" s="1"/>
      <c r="N23" s="1"/>
      <c r="O23" s="1"/>
      <c r="P23" s="1"/>
      <c r="Q23" s="1"/>
      <c r="R23" s="1"/>
      <c r="S23" s="1"/>
      <c r="T23" s="1"/>
      <c r="U23" s="1"/>
    </row>
    <row r="24" spans="1:21" x14ac:dyDescent="0.25">
      <c r="A24" s="1"/>
      <c r="B24" s="1"/>
      <c r="C24" s="1"/>
      <c r="D24" s="1"/>
      <c r="E24" s="1"/>
      <c r="F24" s="1"/>
      <c r="G24" s="1"/>
      <c r="H24" s="1"/>
      <c r="I24" s="1"/>
      <c r="J24" s="1"/>
      <c r="K24" s="1"/>
      <c r="L24" s="1"/>
      <c r="M24" s="1"/>
      <c r="N24" s="1"/>
      <c r="O24" s="1"/>
      <c r="P24" s="1"/>
      <c r="Q24" s="1"/>
      <c r="R24" s="1"/>
      <c r="S24" s="1"/>
      <c r="T24" s="1"/>
      <c r="U24" s="1"/>
    </row>
    <row r="25" spans="1:21" x14ac:dyDescent="0.25">
      <c r="A25" s="1"/>
      <c r="B25" s="1"/>
      <c r="C25" s="1"/>
      <c r="D25" s="1"/>
      <c r="E25" s="1"/>
      <c r="F25" s="1"/>
      <c r="G25" s="1"/>
      <c r="H25" s="1"/>
      <c r="I25" s="1"/>
      <c r="J25" s="1"/>
      <c r="K25" s="1"/>
      <c r="L25" s="1"/>
      <c r="M25" s="1"/>
      <c r="N25" s="1"/>
      <c r="O25" s="1"/>
      <c r="P25" s="1"/>
      <c r="Q25" s="1"/>
      <c r="R25" s="1"/>
      <c r="S25" s="1"/>
      <c r="T25" s="1"/>
      <c r="U25" s="1"/>
    </row>
    <row r="26" spans="1:21" x14ac:dyDescent="0.25">
      <c r="A26" s="1"/>
      <c r="B26" s="1"/>
      <c r="C26" s="1"/>
      <c r="D26" s="1"/>
      <c r="E26" s="51"/>
      <c r="F26" s="1"/>
      <c r="G26" s="1"/>
      <c r="H26" s="1"/>
      <c r="I26" s="1"/>
      <c r="J26" s="1"/>
      <c r="K26" s="1"/>
      <c r="L26" s="1"/>
      <c r="M26" s="1"/>
      <c r="N26" s="1"/>
      <c r="O26" s="1"/>
      <c r="P26" s="1"/>
      <c r="Q26" s="1"/>
      <c r="R26" s="1"/>
      <c r="S26" s="1"/>
      <c r="T26" s="1"/>
      <c r="U26" s="1"/>
    </row>
    <row r="27" spans="1:21" x14ac:dyDescent="0.25">
      <c r="A27" s="1"/>
      <c r="B27" s="1"/>
      <c r="C27" s="1"/>
      <c r="D27" s="1"/>
      <c r="E27" s="1"/>
      <c r="F27" s="1"/>
      <c r="G27" s="1"/>
      <c r="H27" s="1"/>
      <c r="I27" s="1"/>
      <c r="J27" s="1"/>
      <c r="K27" s="1"/>
      <c r="L27" s="1"/>
      <c r="M27" s="1"/>
      <c r="N27" s="1"/>
      <c r="O27" s="1"/>
      <c r="P27" s="1"/>
      <c r="Q27" s="1"/>
      <c r="R27" s="1"/>
      <c r="S27" s="1"/>
      <c r="T27" s="1"/>
      <c r="U27" s="1"/>
    </row>
    <row r="28" spans="1:21" x14ac:dyDescent="0.25">
      <c r="A28" s="1"/>
      <c r="B28" s="1"/>
      <c r="C28" s="1"/>
      <c r="D28" s="1"/>
      <c r="E28" s="1"/>
      <c r="F28" s="1"/>
      <c r="G28" s="1"/>
      <c r="H28" s="1"/>
      <c r="I28" s="1"/>
      <c r="J28" s="1"/>
      <c r="K28" s="1"/>
      <c r="L28" s="1"/>
      <c r="M28" s="1"/>
      <c r="N28" s="1"/>
      <c r="O28" s="1"/>
      <c r="P28" s="1"/>
      <c r="Q28" s="1"/>
      <c r="R28" s="1"/>
      <c r="S28" s="1"/>
      <c r="T28" s="1"/>
      <c r="U28" s="1"/>
    </row>
    <row r="29" spans="1:21" x14ac:dyDescent="0.25">
      <c r="A29" s="1"/>
      <c r="B29" s="1"/>
      <c r="C29" s="1"/>
      <c r="D29" s="1"/>
      <c r="E29" s="1"/>
      <c r="F29" s="1"/>
      <c r="G29" s="1"/>
      <c r="H29" s="1"/>
      <c r="I29" s="1"/>
      <c r="J29" s="1"/>
      <c r="K29" s="1"/>
      <c r="L29" s="1"/>
      <c r="M29" s="1"/>
      <c r="N29" s="1"/>
      <c r="O29" s="1"/>
      <c r="P29" s="1"/>
      <c r="Q29" s="1"/>
      <c r="R29" s="1"/>
      <c r="S29" s="1"/>
      <c r="T29" s="1"/>
      <c r="U29" s="1"/>
    </row>
    <row r="30" spans="1:21" x14ac:dyDescent="0.25">
      <c r="A30" s="1"/>
      <c r="B30" s="1"/>
      <c r="C30" s="1"/>
      <c r="D30" s="1"/>
      <c r="E30" s="1"/>
      <c r="F30" s="1"/>
      <c r="G30" s="1"/>
      <c r="H30" s="1"/>
      <c r="I30" s="1"/>
      <c r="J30" s="1"/>
      <c r="K30" s="1"/>
      <c r="L30" s="1"/>
      <c r="M30" s="1"/>
      <c r="N30" s="1"/>
      <c r="O30" s="1"/>
      <c r="P30" s="1"/>
      <c r="Q30" s="1"/>
      <c r="R30" s="1"/>
      <c r="S30" s="1"/>
      <c r="T30" s="1"/>
      <c r="U30" s="1"/>
    </row>
    <row r="31" spans="1:21" x14ac:dyDescent="0.25">
      <c r="A31" s="1"/>
      <c r="B31" s="1"/>
      <c r="C31" s="1"/>
      <c r="D31" s="1"/>
      <c r="E31" s="1"/>
      <c r="F31" s="1"/>
      <c r="G31" s="1"/>
      <c r="H31" s="1"/>
      <c r="I31" s="1"/>
      <c r="J31" s="1"/>
      <c r="K31" s="1"/>
      <c r="L31" s="1"/>
      <c r="M31" s="1"/>
      <c r="N31" s="1"/>
      <c r="O31" s="1"/>
      <c r="P31" s="1"/>
      <c r="Q31" s="1"/>
      <c r="R31" s="1"/>
      <c r="S31" s="1"/>
      <c r="T31" s="1"/>
      <c r="U31" s="1"/>
    </row>
    <row r="32" spans="1:21" x14ac:dyDescent="0.25">
      <c r="A32" s="1"/>
      <c r="B32" s="1"/>
      <c r="C32" s="1"/>
      <c r="D32" s="1"/>
      <c r="E32" s="1"/>
      <c r="F32" s="1"/>
      <c r="G32" s="1"/>
      <c r="H32" s="1"/>
      <c r="I32" s="1"/>
      <c r="J32" s="1"/>
      <c r="K32" s="1"/>
      <c r="L32" s="1"/>
      <c r="M32" s="1"/>
      <c r="N32" s="1"/>
      <c r="O32" s="1"/>
      <c r="P32" s="1"/>
      <c r="Q32" s="1"/>
      <c r="R32" s="1"/>
      <c r="S32" s="1"/>
      <c r="T32" s="1"/>
      <c r="U32" s="1"/>
    </row>
    <row r="33" spans="1:21" x14ac:dyDescent="0.25">
      <c r="A33" s="1"/>
      <c r="B33" s="1"/>
      <c r="C33" s="1"/>
      <c r="D33" s="1"/>
      <c r="E33" s="1"/>
      <c r="F33" s="1"/>
      <c r="G33" s="1"/>
      <c r="H33" s="1"/>
      <c r="I33" s="1"/>
      <c r="J33" s="1"/>
      <c r="K33" s="1"/>
      <c r="L33" s="1"/>
      <c r="M33" s="1"/>
      <c r="N33" s="1"/>
      <c r="O33" s="1"/>
      <c r="P33" s="1"/>
      <c r="Q33" s="1"/>
      <c r="R33" s="1"/>
      <c r="S33" s="1"/>
      <c r="T33" s="1"/>
      <c r="U33" s="1"/>
    </row>
    <row r="34" spans="1:21" x14ac:dyDescent="0.25">
      <c r="A34" s="1"/>
      <c r="B34" s="1"/>
      <c r="C34" s="1"/>
      <c r="D34" s="1"/>
      <c r="E34" s="1"/>
      <c r="F34" s="1"/>
      <c r="G34" s="1"/>
      <c r="H34" s="1"/>
      <c r="I34" s="1"/>
      <c r="J34" s="1"/>
      <c r="K34" s="1"/>
      <c r="L34" s="1"/>
      <c r="M34" s="1"/>
      <c r="N34" s="1"/>
      <c r="O34" s="1"/>
      <c r="P34" s="1"/>
      <c r="Q34" s="1"/>
      <c r="R34" s="1"/>
      <c r="S34" s="1"/>
      <c r="T34" s="1"/>
      <c r="U34" s="1"/>
    </row>
    <row r="35" spans="1:21" x14ac:dyDescent="0.25">
      <c r="A35" s="1"/>
      <c r="B35" s="1"/>
      <c r="C35" s="1"/>
      <c r="D35" s="1"/>
      <c r="E35" s="1"/>
      <c r="F35" s="1"/>
      <c r="G35" s="1"/>
      <c r="H35" s="1"/>
      <c r="I35" s="1"/>
      <c r="J35" s="1"/>
      <c r="K35" s="1"/>
      <c r="L35" s="1"/>
      <c r="M35" s="1"/>
      <c r="N35" s="1"/>
      <c r="O35" s="1"/>
      <c r="P35" s="1"/>
      <c r="Q35" s="1"/>
      <c r="R35" s="1"/>
      <c r="S35" s="1"/>
      <c r="T35" s="1"/>
      <c r="U35" s="1"/>
    </row>
    <row r="36" spans="1:21" x14ac:dyDescent="0.25">
      <c r="A36" s="1"/>
      <c r="B36" s="1"/>
      <c r="C36" s="1"/>
      <c r="D36" s="1"/>
      <c r="E36" s="1"/>
      <c r="F36" s="1"/>
      <c r="G36" s="1"/>
      <c r="H36" s="1"/>
      <c r="I36" s="1"/>
      <c r="J36" s="1"/>
      <c r="K36" s="1"/>
      <c r="L36" s="1"/>
      <c r="M36" s="1"/>
      <c r="N36" s="1"/>
      <c r="O36" s="1"/>
      <c r="P36" s="1"/>
      <c r="Q36" s="1"/>
      <c r="R36" s="1"/>
      <c r="S36" s="1"/>
      <c r="T36" s="1"/>
      <c r="U36" s="1"/>
    </row>
    <row r="37" spans="1:21" x14ac:dyDescent="0.25">
      <c r="A37" s="1"/>
      <c r="B37" s="1"/>
      <c r="C37" s="1"/>
      <c r="D37" s="1"/>
      <c r="E37" s="1"/>
      <c r="F37" s="1"/>
      <c r="G37" s="1"/>
      <c r="H37" s="1"/>
      <c r="I37" s="1"/>
      <c r="J37" s="1"/>
      <c r="K37" s="1"/>
      <c r="L37" s="1"/>
      <c r="M37" s="1"/>
      <c r="N37" s="1"/>
      <c r="O37" s="1"/>
      <c r="P37" s="1"/>
      <c r="Q37" s="1"/>
      <c r="R37" s="1"/>
      <c r="S37" s="1"/>
      <c r="T37" s="1"/>
      <c r="U37" s="1"/>
    </row>
    <row r="38" spans="1:21" x14ac:dyDescent="0.25">
      <c r="A38" s="1"/>
      <c r="B38" s="1"/>
      <c r="C38" s="1"/>
      <c r="D38" s="1"/>
      <c r="E38" s="1"/>
      <c r="F38" s="1"/>
      <c r="G38" s="1"/>
      <c r="H38" s="1"/>
      <c r="I38" s="1"/>
      <c r="J38" s="1"/>
      <c r="K38" s="1"/>
      <c r="L38" s="1"/>
      <c r="M38" s="1"/>
      <c r="N38" s="1"/>
      <c r="O38" s="1"/>
      <c r="P38" s="1"/>
      <c r="Q38" s="1"/>
      <c r="R38" s="1"/>
      <c r="S38" s="1"/>
      <c r="T38" s="1"/>
      <c r="U38" s="1"/>
    </row>
    <row r="39" spans="1:21" x14ac:dyDescent="0.25">
      <c r="A39" s="1"/>
      <c r="B39" s="1"/>
      <c r="C39" s="1"/>
      <c r="D39" s="1"/>
      <c r="E39" s="1"/>
      <c r="F39" s="1"/>
      <c r="G39" s="1"/>
      <c r="H39" s="1"/>
      <c r="I39" s="1"/>
      <c r="J39" s="1"/>
      <c r="K39" s="1"/>
      <c r="L39" s="1"/>
      <c r="M39" s="1"/>
      <c r="N39" s="1"/>
      <c r="O39" s="1"/>
      <c r="P39" s="1"/>
      <c r="Q39" s="1"/>
      <c r="R39" s="1"/>
      <c r="S39" s="1"/>
      <c r="T39" s="1"/>
      <c r="U39" s="1"/>
    </row>
    <row r="40" spans="1:21" x14ac:dyDescent="0.25">
      <c r="A40" s="1"/>
      <c r="B40" s="1"/>
      <c r="C40" s="1"/>
      <c r="D40" s="1"/>
      <c r="E40" s="1"/>
      <c r="F40" s="1"/>
      <c r="G40" s="1"/>
      <c r="H40" s="1"/>
      <c r="I40" s="1"/>
      <c r="J40" s="1"/>
      <c r="K40" s="1"/>
      <c r="L40" s="1"/>
      <c r="M40" s="1"/>
      <c r="N40" s="1"/>
      <c r="O40" s="1"/>
      <c r="P40" s="1"/>
      <c r="Q40" s="1"/>
      <c r="R40" s="1"/>
      <c r="S40" s="1"/>
      <c r="T40" s="1"/>
      <c r="U40" s="1"/>
    </row>
    <row r="41" spans="1:21" x14ac:dyDescent="0.25">
      <c r="A41" s="1"/>
      <c r="B41" s="1"/>
      <c r="C41" s="1"/>
      <c r="D41" s="1"/>
      <c r="E41" s="1"/>
      <c r="F41" s="1"/>
      <c r="G41" s="1"/>
      <c r="H41" s="1"/>
      <c r="I41" s="1"/>
      <c r="J41" s="1"/>
      <c r="K41" s="1"/>
      <c r="L41" s="1"/>
      <c r="M41" s="1"/>
      <c r="N41" s="1"/>
      <c r="O41" s="1"/>
      <c r="P41" s="1"/>
      <c r="Q41" s="1"/>
      <c r="R41" s="1"/>
      <c r="S41" s="1"/>
      <c r="T41" s="1"/>
      <c r="U41" s="1"/>
    </row>
    <row r="42" spans="1:21" x14ac:dyDescent="0.25">
      <c r="A42" s="1"/>
      <c r="B42" s="1"/>
      <c r="C42" s="1"/>
      <c r="D42" s="1"/>
      <c r="E42" s="1"/>
      <c r="F42" s="1"/>
      <c r="G42" s="1"/>
      <c r="H42" s="1"/>
      <c r="I42" s="1"/>
      <c r="J42" s="1"/>
      <c r="K42" s="1"/>
      <c r="L42" s="1"/>
      <c r="M42" s="1"/>
      <c r="N42" s="1"/>
      <c r="O42" s="1"/>
      <c r="P42" s="1"/>
      <c r="Q42" s="1"/>
      <c r="R42" s="1"/>
      <c r="S42" s="1"/>
      <c r="T42" s="1"/>
      <c r="U42" s="1"/>
    </row>
    <row r="43" spans="1:21" x14ac:dyDescent="0.25">
      <c r="A43" s="1"/>
      <c r="B43" s="1"/>
      <c r="C43" s="1"/>
      <c r="D43" s="1"/>
      <c r="E43" s="1"/>
      <c r="F43" s="1"/>
      <c r="G43" s="1"/>
      <c r="H43" s="1"/>
      <c r="I43" s="1"/>
      <c r="J43" s="1"/>
      <c r="K43" s="1"/>
      <c r="L43" s="1"/>
      <c r="M43" s="1"/>
      <c r="N43" s="1"/>
      <c r="O43" s="1"/>
      <c r="P43" s="1"/>
      <c r="Q43" s="1"/>
      <c r="R43" s="1"/>
      <c r="S43" s="1"/>
      <c r="T43" s="1"/>
      <c r="U43" s="1"/>
    </row>
    <row r="44" spans="1:21" x14ac:dyDescent="0.25">
      <c r="A44" s="1"/>
      <c r="B44" s="1"/>
      <c r="C44" s="1"/>
      <c r="D44" s="1"/>
      <c r="E44" s="1"/>
      <c r="F44" s="1"/>
      <c r="G44" s="1"/>
      <c r="H44" s="1"/>
      <c r="I44" s="1"/>
      <c r="J44" s="1"/>
      <c r="K44" s="1"/>
      <c r="L44" s="1"/>
      <c r="M44" s="1"/>
      <c r="N44" s="1"/>
      <c r="O44" s="1"/>
      <c r="P44" s="1"/>
      <c r="Q44" s="1"/>
      <c r="R44" s="1"/>
      <c r="S44" s="1"/>
      <c r="T44" s="1"/>
      <c r="U44" s="1"/>
    </row>
    <row r="45" spans="1:21" x14ac:dyDescent="0.25">
      <c r="A45" s="1"/>
      <c r="B45" s="1"/>
      <c r="C45" s="1"/>
      <c r="D45" s="1"/>
      <c r="E45" s="1"/>
      <c r="F45" s="1"/>
      <c r="G45" s="1"/>
      <c r="H45" s="1"/>
      <c r="I45" s="1"/>
      <c r="J45" s="1"/>
      <c r="K45" s="1"/>
      <c r="L45" s="1"/>
      <c r="M45" s="1"/>
      <c r="N45" s="1"/>
      <c r="O45" s="1"/>
      <c r="P45" s="1"/>
      <c r="Q45" s="1"/>
      <c r="R45" s="1"/>
      <c r="S45" s="1"/>
      <c r="T45" s="1"/>
      <c r="U45" s="1"/>
    </row>
    <row r="46" spans="1:21" x14ac:dyDescent="0.25">
      <c r="A46" s="1"/>
      <c r="B46" s="1"/>
      <c r="C46" s="1"/>
      <c r="D46" s="1"/>
      <c r="E46" s="1"/>
      <c r="F46" s="1"/>
      <c r="G46" s="1"/>
      <c r="H46" s="1"/>
      <c r="I46" s="1"/>
      <c r="J46" s="1"/>
      <c r="K46" s="1"/>
      <c r="L46" s="1"/>
      <c r="M46" s="1"/>
      <c r="N46" s="1"/>
      <c r="O46" s="1"/>
      <c r="P46" s="1"/>
      <c r="Q46" s="1"/>
      <c r="R46" s="1"/>
      <c r="S46" s="1"/>
      <c r="T46" s="1"/>
      <c r="U46" s="1"/>
    </row>
    <row r="47" spans="1:21" x14ac:dyDescent="0.25">
      <c r="A47" s="1"/>
      <c r="B47" s="1"/>
      <c r="C47" s="1"/>
      <c r="D47" s="1"/>
      <c r="E47" s="1"/>
      <c r="F47" s="1"/>
      <c r="G47" s="1"/>
      <c r="H47" s="1"/>
      <c r="I47" s="1"/>
      <c r="J47" s="1"/>
      <c r="K47" s="1"/>
      <c r="L47" s="1"/>
      <c r="M47" s="1"/>
      <c r="N47" s="1"/>
      <c r="O47" s="1"/>
      <c r="P47" s="1"/>
      <c r="Q47" s="1"/>
      <c r="R47" s="1"/>
      <c r="S47" s="1"/>
      <c r="T47" s="1"/>
      <c r="U47" s="1"/>
    </row>
    <row r="48" spans="1:21" x14ac:dyDescent="0.25">
      <c r="A48" s="1"/>
      <c r="B48" s="1"/>
      <c r="C48" s="1"/>
      <c r="D48" s="1"/>
      <c r="E48" s="1"/>
      <c r="F48" s="1"/>
      <c r="G48" s="1"/>
      <c r="H48" s="1"/>
      <c r="I48" s="1"/>
      <c r="J48" s="1"/>
      <c r="K48" s="1"/>
      <c r="L48" s="1"/>
      <c r="M48" s="1"/>
      <c r="N48" s="1"/>
      <c r="O48" s="1"/>
      <c r="P48" s="1"/>
      <c r="Q48" s="1"/>
      <c r="R48" s="1"/>
      <c r="S48" s="1"/>
      <c r="T48" s="1"/>
      <c r="U48" s="1"/>
    </row>
    <row r="49" spans="1:21" x14ac:dyDescent="0.25">
      <c r="A49" s="1"/>
      <c r="B49" s="1"/>
      <c r="C49" s="1"/>
      <c r="D49" s="1"/>
      <c r="E49" s="1"/>
      <c r="F49" s="1"/>
      <c r="G49" s="1"/>
      <c r="H49" s="1"/>
      <c r="I49" s="1"/>
      <c r="J49" s="1"/>
      <c r="K49" s="1"/>
      <c r="L49" s="1"/>
      <c r="M49" s="1"/>
      <c r="N49" s="1"/>
      <c r="O49" s="1"/>
      <c r="P49" s="1"/>
      <c r="Q49" s="1"/>
      <c r="R49" s="1"/>
      <c r="S49" s="1"/>
      <c r="T49" s="1"/>
      <c r="U49" s="1"/>
    </row>
    <row r="50" spans="1:21" x14ac:dyDescent="0.25">
      <c r="A50" s="1"/>
      <c r="B50" s="1"/>
      <c r="C50" s="1"/>
      <c r="D50" s="1"/>
      <c r="E50" s="1"/>
      <c r="F50" s="1"/>
      <c r="G50" s="1"/>
      <c r="H50" s="1"/>
      <c r="I50" s="1"/>
      <c r="J50" s="1"/>
      <c r="K50" s="1"/>
      <c r="L50" s="1"/>
      <c r="M50" s="1"/>
      <c r="N50" s="1"/>
      <c r="O50" s="1"/>
      <c r="P50" s="1"/>
      <c r="Q50" s="1"/>
      <c r="R50" s="1"/>
      <c r="S50" s="1"/>
      <c r="T50" s="1"/>
      <c r="U50" s="1"/>
    </row>
    <row r="51" spans="1:21" x14ac:dyDescent="0.25">
      <c r="A51" s="1"/>
      <c r="B51" s="1"/>
      <c r="C51" s="1"/>
      <c r="D51" s="1"/>
      <c r="E51" s="1"/>
      <c r="F51" s="1"/>
      <c r="G51" s="1"/>
      <c r="H51" s="1"/>
      <c r="I51" s="1"/>
      <c r="J51" s="1"/>
      <c r="K51" s="1"/>
      <c r="L51" s="1"/>
      <c r="M51" s="1"/>
      <c r="N51" s="1"/>
      <c r="O51" s="1"/>
      <c r="P51" s="1"/>
      <c r="Q51" s="1"/>
      <c r="R51" s="1"/>
      <c r="S51" s="1"/>
      <c r="T51" s="1"/>
      <c r="U51" s="1"/>
    </row>
    <row r="52" spans="1:21" x14ac:dyDescent="0.25">
      <c r="A52" s="1"/>
      <c r="B52" s="1"/>
      <c r="C52" s="1"/>
      <c r="D52" s="1"/>
      <c r="E52" s="1"/>
      <c r="F52" s="1"/>
      <c r="G52" s="1"/>
      <c r="H52" s="1"/>
      <c r="I52" s="1"/>
      <c r="J52" s="1"/>
      <c r="K52" s="1"/>
      <c r="L52" s="1"/>
      <c r="M52" s="1"/>
      <c r="N52" s="1"/>
      <c r="O52" s="1"/>
      <c r="P52" s="1"/>
      <c r="Q52" s="1"/>
      <c r="R52" s="1"/>
      <c r="S52" s="1"/>
      <c r="T52" s="1"/>
      <c r="U52" s="1"/>
    </row>
    <row r="53" spans="1:21" x14ac:dyDescent="0.25">
      <c r="A53" s="1"/>
      <c r="B53" s="1"/>
      <c r="C53" s="1"/>
      <c r="D53" s="1"/>
      <c r="E53" s="1"/>
      <c r="F53" s="1"/>
      <c r="G53" s="1"/>
      <c r="H53" s="1"/>
      <c r="I53" s="1"/>
      <c r="J53" s="1"/>
      <c r="K53" s="1"/>
      <c r="L53" s="1"/>
      <c r="M53" s="1"/>
      <c r="N53" s="1"/>
      <c r="O53" s="1"/>
      <c r="P53" s="1"/>
      <c r="Q53" s="1"/>
      <c r="R53" s="1"/>
      <c r="S53" s="1"/>
      <c r="T53" s="1"/>
      <c r="U53" s="1"/>
    </row>
    <row r="54" spans="1:21" x14ac:dyDescent="0.25">
      <c r="A54" s="1"/>
      <c r="B54" s="1"/>
      <c r="C54" s="1"/>
      <c r="D54" s="1"/>
      <c r="E54" s="1"/>
      <c r="F54" s="1"/>
      <c r="G54" s="1"/>
      <c r="H54" s="1"/>
      <c r="I54" s="1"/>
      <c r="J54" s="1"/>
      <c r="K54" s="1"/>
      <c r="L54" s="1"/>
      <c r="M54" s="1"/>
      <c r="N54" s="1"/>
      <c r="O54" s="1"/>
      <c r="P54" s="1"/>
      <c r="Q54" s="1"/>
      <c r="R54" s="1"/>
      <c r="S54" s="1"/>
      <c r="T54" s="1"/>
      <c r="U54" s="1"/>
    </row>
    <row r="55" spans="1:21" x14ac:dyDescent="0.25">
      <c r="A55" s="1"/>
      <c r="B55" s="1"/>
      <c r="C55" s="1"/>
      <c r="D55" s="1"/>
      <c r="E55" s="1"/>
      <c r="F55" s="1"/>
      <c r="G55" s="1"/>
      <c r="H55" s="1"/>
      <c r="I55" s="1"/>
      <c r="J55" s="1"/>
      <c r="K55" s="1"/>
      <c r="L55" s="1"/>
      <c r="M55" s="1"/>
      <c r="N55" s="1"/>
      <c r="O55" s="1"/>
      <c r="P55" s="1"/>
      <c r="Q55" s="1"/>
      <c r="R55" s="1"/>
      <c r="S55" s="1"/>
      <c r="T55" s="1"/>
      <c r="U55" s="1"/>
    </row>
    <row r="56" spans="1:21" x14ac:dyDescent="0.25">
      <c r="A56" s="1"/>
      <c r="B56" s="1"/>
      <c r="C56" s="1"/>
      <c r="D56" s="1"/>
      <c r="E56" s="1"/>
      <c r="F56" s="1"/>
      <c r="G56" s="1"/>
      <c r="H56" s="1"/>
      <c r="I56" s="1"/>
      <c r="J56" s="1"/>
      <c r="K56" s="1"/>
      <c r="L56" s="1"/>
      <c r="M56" s="1"/>
      <c r="N56" s="1"/>
      <c r="O56" s="1"/>
      <c r="P56" s="1"/>
      <c r="Q56" s="1"/>
      <c r="R56" s="1"/>
      <c r="S56" s="1"/>
      <c r="T56" s="1"/>
      <c r="U56" s="1"/>
    </row>
    <row r="57" spans="1:21" x14ac:dyDescent="0.25">
      <c r="A57" s="1"/>
      <c r="B57" s="1"/>
      <c r="C57" s="1"/>
      <c r="D57" s="1"/>
      <c r="E57" s="1"/>
      <c r="F57" s="1"/>
      <c r="G57" s="1"/>
      <c r="H57" s="1"/>
      <c r="I57" s="1"/>
      <c r="J57" s="1"/>
      <c r="K57" s="1"/>
      <c r="L57" s="1"/>
      <c r="M57" s="1"/>
      <c r="N57" s="1"/>
      <c r="O57" s="1"/>
      <c r="P57" s="1"/>
      <c r="Q57" s="1"/>
      <c r="R57" s="1"/>
      <c r="S57" s="1"/>
      <c r="T57" s="1"/>
      <c r="U57" s="1"/>
    </row>
    <row r="58" spans="1:21" x14ac:dyDescent="0.25">
      <c r="A58" s="1"/>
      <c r="B58" s="1"/>
      <c r="C58" s="1"/>
      <c r="D58" s="1"/>
      <c r="E58" s="1"/>
      <c r="F58" s="1"/>
      <c r="G58" s="1"/>
      <c r="H58" s="1"/>
      <c r="I58" s="1"/>
      <c r="J58" s="1"/>
      <c r="K58" s="1"/>
      <c r="L58" s="1"/>
      <c r="M58" s="1"/>
      <c r="N58" s="1"/>
      <c r="O58" s="1"/>
      <c r="P58" s="1"/>
      <c r="Q58" s="1"/>
      <c r="R58" s="1"/>
      <c r="S58" s="1"/>
      <c r="T58" s="1"/>
      <c r="U58" s="1"/>
    </row>
    <row r="59" spans="1:21" x14ac:dyDescent="0.25">
      <c r="A59" s="1"/>
      <c r="B59" s="1"/>
      <c r="C59" s="1"/>
      <c r="D59" s="1"/>
      <c r="E59" s="1"/>
      <c r="F59" s="1"/>
      <c r="G59" s="1"/>
      <c r="H59" s="1"/>
      <c r="I59" s="1"/>
      <c r="J59" s="1"/>
      <c r="K59" s="1"/>
      <c r="L59" s="1"/>
      <c r="M59" s="1"/>
      <c r="N59" s="1"/>
      <c r="O59" s="1"/>
      <c r="P59" s="1"/>
      <c r="Q59" s="1"/>
      <c r="R59" s="1"/>
      <c r="S59" s="1"/>
      <c r="T59" s="1"/>
      <c r="U59" s="1"/>
    </row>
    <row r="60" spans="1:21" x14ac:dyDescent="0.25">
      <c r="A60" s="1"/>
      <c r="B60" s="1"/>
      <c r="C60" s="1"/>
      <c r="D60" s="1"/>
      <c r="E60" s="1"/>
      <c r="F60" s="1"/>
      <c r="G60" s="1"/>
      <c r="H60" s="1"/>
      <c r="I60" s="1"/>
      <c r="J60" s="1"/>
      <c r="K60" s="1"/>
      <c r="L60" s="1"/>
      <c r="M60" s="1"/>
      <c r="N60" s="1"/>
      <c r="O60" s="1"/>
      <c r="P60" s="1"/>
      <c r="Q60" s="1"/>
      <c r="R60" s="1"/>
      <c r="S60" s="1"/>
      <c r="T60" s="1"/>
      <c r="U60" s="1"/>
    </row>
  </sheetData>
  <sheetProtection sheet="1" objects="1" scenarios="1" selectLockedCells="1"/>
  <mergeCells count="1">
    <mergeCell ref="D7:E8"/>
  </mergeCells>
  <phoneticPr fontId="0" type="noConversion"/>
  <pageMargins left="0.75" right="0.75" top="1" bottom="1" header="0.5" footer="0.5"/>
  <pageSetup scale="89" orientation="portrait" r:id="rId1"/>
  <headerFooter alignWithMargins="0">
    <oddFooter>&amp;LFinancial Calculator&amp;CCopyright 2003 by CCIM Institute.&amp;RAll rights reserved.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indexed="10"/>
  </sheetPr>
  <dimension ref="C8:L77"/>
  <sheetViews>
    <sheetView showGridLines="0" showRowColHeaders="0" workbookViewId="0"/>
  </sheetViews>
  <sheetFormatPr defaultRowHeight="12.5" x14ac:dyDescent="0.25"/>
  <cols>
    <col min="3" max="3" width="10.1796875" bestFit="1" customWidth="1"/>
    <col min="4" max="4" width="11.7265625" customWidth="1"/>
    <col min="5" max="5" width="13.1796875" customWidth="1"/>
    <col min="6" max="6" width="6.54296875" customWidth="1"/>
    <col min="7" max="7" width="35.26953125" customWidth="1"/>
    <col min="8" max="8" width="2.81640625" customWidth="1"/>
    <col min="9" max="9" width="35.81640625" customWidth="1"/>
  </cols>
  <sheetData>
    <row r="8" spans="6:9" ht="19" x14ac:dyDescent="0.45">
      <c r="F8" s="48" t="s">
        <v>14</v>
      </c>
      <c r="G8" s="48" t="s">
        <v>15</v>
      </c>
      <c r="H8" s="48" t="s">
        <v>7</v>
      </c>
      <c r="I8" s="99" t="s">
        <v>16</v>
      </c>
    </row>
    <row r="9" spans="6:9" ht="19" x14ac:dyDescent="0.45">
      <c r="F9" s="48">
        <v>0</v>
      </c>
      <c r="G9" s="94">
        <v>0</v>
      </c>
      <c r="I9" s="49"/>
    </row>
    <row r="10" spans="6:9" ht="19" x14ac:dyDescent="0.45">
      <c r="F10" s="48">
        <v>1</v>
      </c>
      <c r="G10" s="94">
        <v>0</v>
      </c>
      <c r="H10" s="48" t="s">
        <v>7</v>
      </c>
      <c r="I10" s="94">
        <v>0</v>
      </c>
    </row>
    <row r="11" spans="6:9" ht="19" x14ac:dyDescent="0.45">
      <c r="F11" s="48">
        <v>2</v>
      </c>
      <c r="G11" s="94">
        <v>0</v>
      </c>
      <c r="H11" s="48" t="s">
        <v>7</v>
      </c>
      <c r="I11" s="94">
        <v>0</v>
      </c>
    </row>
    <row r="12" spans="6:9" ht="19" x14ac:dyDescent="0.45">
      <c r="F12" s="48">
        <v>3</v>
      </c>
      <c r="G12" s="94">
        <v>0</v>
      </c>
      <c r="H12" s="48" t="s">
        <v>7</v>
      </c>
      <c r="I12" s="94">
        <v>0</v>
      </c>
    </row>
    <row r="13" spans="6:9" ht="19" x14ac:dyDescent="0.45">
      <c r="F13" s="48">
        <v>4</v>
      </c>
      <c r="G13" s="94">
        <v>0</v>
      </c>
      <c r="H13" s="48" t="s">
        <v>7</v>
      </c>
      <c r="I13" s="94">
        <v>0</v>
      </c>
    </row>
    <row r="14" spans="6:9" ht="19" x14ac:dyDescent="0.45">
      <c r="F14" s="48">
        <v>5</v>
      </c>
      <c r="G14" s="94">
        <v>0</v>
      </c>
      <c r="H14" s="48" t="s">
        <v>7</v>
      </c>
      <c r="I14" s="94">
        <v>0</v>
      </c>
    </row>
    <row r="15" spans="6:9" ht="19" x14ac:dyDescent="0.45">
      <c r="F15" s="48">
        <v>6</v>
      </c>
      <c r="G15" s="94">
        <v>0</v>
      </c>
      <c r="H15" s="48" t="s">
        <v>7</v>
      </c>
      <c r="I15" s="94">
        <v>0</v>
      </c>
    </row>
    <row r="16" spans="6:9" ht="19" x14ac:dyDescent="0.45">
      <c r="F16" s="48">
        <v>7</v>
      </c>
      <c r="G16" s="94">
        <v>0</v>
      </c>
      <c r="H16" s="48" t="s">
        <v>7</v>
      </c>
      <c r="I16" s="94">
        <v>0</v>
      </c>
    </row>
    <row r="17" spans="3:9" ht="19" x14ac:dyDescent="0.45">
      <c r="F17" s="48">
        <v>8</v>
      </c>
      <c r="G17" s="94">
        <v>0</v>
      </c>
      <c r="H17" s="48" t="s">
        <v>7</v>
      </c>
      <c r="I17" s="94">
        <v>0</v>
      </c>
    </row>
    <row r="18" spans="3:9" ht="19" x14ac:dyDescent="0.45">
      <c r="F18" s="48">
        <v>9</v>
      </c>
      <c r="G18" s="94">
        <v>0</v>
      </c>
      <c r="H18" s="48" t="s">
        <v>7</v>
      </c>
      <c r="I18" s="94">
        <v>0</v>
      </c>
    </row>
    <row r="19" spans="3:9" ht="19" x14ac:dyDescent="0.45">
      <c r="F19" s="48">
        <v>10</v>
      </c>
      <c r="G19" s="94">
        <v>0</v>
      </c>
      <c r="H19" s="48" t="s">
        <v>7</v>
      </c>
      <c r="I19" s="94">
        <v>0</v>
      </c>
    </row>
    <row r="20" spans="3:9" ht="13" thickBot="1" x14ac:dyDescent="0.3"/>
    <row r="21" spans="3:9" ht="24" thickTop="1" thickBot="1" x14ac:dyDescent="0.55000000000000004">
      <c r="D21" s="60" t="s">
        <v>17</v>
      </c>
      <c r="E21" s="59">
        <v>0</v>
      </c>
      <c r="F21" s="61" t="s">
        <v>18</v>
      </c>
      <c r="G21" s="95">
        <v>0</v>
      </c>
    </row>
    <row r="22" spans="3:9" ht="13.5" thickTop="1" thickBot="1" x14ac:dyDescent="0.3"/>
    <row r="23" spans="3:9" ht="24" thickTop="1" thickBot="1" x14ac:dyDescent="0.55000000000000004">
      <c r="D23" s="62"/>
      <c r="E23" s="63" t="s">
        <v>19</v>
      </c>
      <c r="F23" s="64" t="s">
        <v>18</v>
      </c>
      <c r="G23" s="65">
        <v>0</v>
      </c>
    </row>
    <row r="24" spans="3:9" ht="13" thickTop="1" x14ac:dyDescent="0.25"/>
    <row r="25" spans="3:9" x14ac:dyDescent="0.25">
      <c r="C25" s="56"/>
    </row>
    <row r="52" spans="4:12" x14ac:dyDescent="0.25">
      <c r="D52" s="56"/>
      <c r="E52" s="56"/>
      <c r="F52" s="56"/>
      <c r="G52" s="56"/>
      <c r="H52" s="56"/>
      <c r="I52" s="56"/>
      <c r="J52" s="56"/>
      <c r="K52" s="56"/>
      <c r="L52" s="56"/>
    </row>
    <row r="53" spans="4:12" x14ac:dyDescent="0.25">
      <c r="D53" s="56"/>
      <c r="E53" s="56"/>
      <c r="F53" s="56"/>
      <c r="G53" s="56"/>
      <c r="H53" s="56"/>
      <c r="I53" s="56"/>
      <c r="J53" s="56"/>
      <c r="K53" s="56"/>
      <c r="L53" s="56"/>
    </row>
    <row r="54" spans="4:12" x14ac:dyDescent="0.25">
      <c r="D54" s="56"/>
      <c r="E54" s="56"/>
      <c r="F54" s="54">
        <v>0</v>
      </c>
      <c r="G54" s="55">
        <f>G9</f>
        <v>0</v>
      </c>
      <c r="H54" s="56"/>
      <c r="I54" s="56"/>
      <c r="J54" s="56"/>
      <c r="K54" s="56"/>
      <c r="L54" s="56"/>
    </row>
    <row r="55" spans="4:12" x14ac:dyDescent="0.25">
      <c r="D55" s="56"/>
      <c r="E55" s="56"/>
      <c r="F55" s="54">
        <v>1</v>
      </c>
      <c r="G55" s="55">
        <f>G10+I10</f>
        <v>0</v>
      </c>
      <c r="H55" s="56"/>
      <c r="I55" s="56"/>
      <c r="J55" s="56"/>
      <c r="K55" s="56"/>
      <c r="L55" s="56"/>
    </row>
    <row r="56" spans="4:12" x14ac:dyDescent="0.25">
      <c r="D56" s="56"/>
      <c r="E56" s="56"/>
      <c r="F56" s="54">
        <v>2</v>
      </c>
      <c r="G56" s="55">
        <f t="shared" ref="G56:G64" si="0">G11+I11</f>
        <v>0</v>
      </c>
      <c r="H56" s="56"/>
      <c r="I56" s="56"/>
      <c r="J56" s="56"/>
      <c r="K56" s="56"/>
      <c r="L56" s="56"/>
    </row>
    <row r="57" spans="4:12" x14ac:dyDescent="0.25">
      <c r="D57" s="56"/>
      <c r="E57" s="56"/>
      <c r="F57" s="54">
        <v>3</v>
      </c>
      <c r="G57" s="55">
        <f t="shared" si="0"/>
        <v>0</v>
      </c>
      <c r="H57" s="56"/>
      <c r="I57" s="56"/>
      <c r="J57" s="56"/>
      <c r="K57" s="56"/>
      <c r="L57" s="56"/>
    </row>
    <row r="58" spans="4:12" x14ac:dyDescent="0.25">
      <c r="D58" s="56"/>
      <c r="E58" s="56"/>
      <c r="F58" s="54">
        <v>4</v>
      </c>
      <c r="G58" s="55">
        <f t="shared" si="0"/>
        <v>0</v>
      </c>
      <c r="H58" s="56"/>
      <c r="I58" s="56"/>
      <c r="J58" s="56"/>
      <c r="K58" s="56"/>
      <c r="L58" s="56"/>
    </row>
    <row r="59" spans="4:12" x14ac:dyDescent="0.25">
      <c r="D59" s="56"/>
      <c r="E59" s="56"/>
      <c r="F59" s="54">
        <v>5</v>
      </c>
      <c r="G59" s="55">
        <f t="shared" si="0"/>
        <v>0</v>
      </c>
      <c r="H59" s="56"/>
      <c r="I59" s="56"/>
      <c r="J59" s="56"/>
      <c r="K59" s="56"/>
      <c r="L59" s="56"/>
    </row>
    <row r="60" spans="4:12" x14ac:dyDescent="0.25">
      <c r="D60" s="56"/>
      <c r="E60" s="56"/>
      <c r="F60" s="54">
        <v>6</v>
      </c>
      <c r="G60" s="55">
        <f t="shared" si="0"/>
        <v>0</v>
      </c>
      <c r="H60" s="56"/>
      <c r="I60" s="56"/>
      <c r="J60" s="56"/>
      <c r="K60" s="56"/>
      <c r="L60" s="56"/>
    </row>
    <row r="61" spans="4:12" x14ac:dyDescent="0.25">
      <c r="D61" s="56"/>
      <c r="E61" s="56"/>
      <c r="F61" s="54">
        <v>7</v>
      </c>
      <c r="G61" s="55">
        <f t="shared" si="0"/>
        <v>0</v>
      </c>
      <c r="H61" s="56"/>
      <c r="I61" s="56"/>
      <c r="J61" s="56"/>
      <c r="K61" s="56"/>
      <c r="L61" s="56"/>
    </row>
    <row r="62" spans="4:12" x14ac:dyDescent="0.25">
      <c r="D62" s="56"/>
      <c r="E62" s="56"/>
      <c r="F62" s="54">
        <v>8</v>
      </c>
      <c r="G62" s="55">
        <f t="shared" si="0"/>
        <v>0</v>
      </c>
      <c r="H62" s="56"/>
      <c r="I62" s="56"/>
      <c r="J62" s="56"/>
      <c r="K62" s="56"/>
      <c r="L62" s="56"/>
    </row>
    <row r="63" spans="4:12" x14ac:dyDescent="0.25">
      <c r="D63" s="56"/>
      <c r="E63" s="56"/>
      <c r="F63" s="54">
        <v>9</v>
      </c>
      <c r="G63" s="55">
        <f t="shared" si="0"/>
        <v>0</v>
      </c>
      <c r="H63" s="56"/>
      <c r="I63" s="56"/>
      <c r="J63" s="56"/>
      <c r="K63" s="56"/>
      <c r="L63" s="56"/>
    </row>
    <row r="64" spans="4:12" x14ac:dyDescent="0.25">
      <c r="D64" s="56"/>
      <c r="E64" s="56"/>
      <c r="F64" s="54">
        <v>10</v>
      </c>
      <c r="G64" s="55">
        <f t="shared" si="0"/>
        <v>0</v>
      </c>
      <c r="H64" s="56"/>
      <c r="I64" s="56"/>
      <c r="J64" s="56"/>
      <c r="K64" s="56"/>
      <c r="L64" s="56"/>
    </row>
    <row r="65" spans="4:12" x14ac:dyDescent="0.25">
      <c r="D65" s="56"/>
      <c r="E65" s="56"/>
      <c r="F65" s="56"/>
      <c r="G65" s="56"/>
      <c r="H65" s="56"/>
      <c r="I65" s="56"/>
      <c r="J65" s="56"/>
      <c r="K65" s="56"/>
      <c r="L65" s="56"/>
    </row>
    <row r="66" spans="4:12" x14ac:dyDescent="0.25">
      <c r="D66" s="56"/>
      <c r="E66" s="56"/>
      <c r="F66" s="56"/>
      <c r="G66" s="57">
        <f>NPV(E21,G55:G64)+G54</f>
        <v>0</v>
      </c>
      <c r="H66" s="56"/>
      <c r="I66" s="56"/>
      <c r="J66" s="56"/>
      <c r="K66" s="56"/>
      <c r="L66" s="56"/>
    </row>
    <row r="67" spans="4:12" x14ac:dyDescent="0.25">
      <c r="D67" s="56"/>
      <c r="E67" s="56"/>
      <c r="F67" s="56"/>
      <c r="G67" s="56"/>
      <c r="H67" s="56"/>
      <c r="I67" s="56"/>
      <c r="J67" s="56"/>
      <c r="K67" s="56"/>
      <c r="L67" s="56"/>
    </row>
    <row r="68" spans="4:12" x14ac:dyDescent="0.25">
      <c r="D68" s="56"/>
      <c r="E68" s="56"/>
      <c r="F68" s="56"/>
      <c r="G68" s="58">
        <f>IF(G54=0,0,IRR(G54:G64,0.1))</f>
        <v>0</v>
      </c>
      <c r="H68" s="56"/>
      <c r="I68" s="56"/>
      <c r="J68" s="56"/>
      <c r="K68" s="56"/>
      <c r="L68" s="56"/>
    </row>
    <row r="69" spans="4:12" x14ac:dyDescent="0.25">
      <c r="D69" s="56"/>
      <c r="E69" s="56"/>
      <c r="F69" s="56"/>
      <c r="G69" s="56"/>
      <c r="H69" s="56"/>
      <c r="I69" s="56"/>
      <c r="J69" s="56"/>
      <c r="K69" s="56"/>
      <c r="L69" s="56"/>
    </row>
    <row r="70" spans="4:12" x14ac:dyDescent="0.25">
      <c r="D70" s="56"/>
      <c r="E70" s="56"/>
      <c r="F70" s="56"/>
      <c r="G70" s="56"/>
      <c r="H70" s="56"/>
      <c r="I70" s="56"/>
      <c r="J70" s="56"/>
      <c r="K70" s="56"/>
      <c r="L70" s="56"/>
    </row>
    <row r="71" spans="4:12" x14ac:dyDescent="0.25">
      <c r="D71" s="56"/>
      <c r="E71" s="56"/>
      <c r="F71" s="56"/>
      <c r="G71" s="56"/>
      <c r="H71" s="56"/>
      <c r="I71" s="56"/>
      <c r="J71" s="56"/>
      <c r="K71" s="56"/>
      <c r="L71" s="56"/>
    </row>
    <row r="72" spans="4:12" x14ac:dyDescent="0.25">
      <c r="D72" s="56"/>
      <c r="E72" s="56"/>
      <c r="F72" s="56"/>
      <c r="G72" s="56"/>
      <c r="H72" s="56"/>
      <c r="I72" s="56"/>
      <c r="J72" s="56"/>
      <c r="K72" s="56"/>
      <c r="L72" s="56"/>
    </row>
    <row r="73" spans="4:12" x14ac:dyDescent="0.25">
      <c r="D73" s="56"/>
      <c r="E73" s="56"/>
      <c r="F73" s="56"/>
      <c r="G73" s="56"/>
      <c r="H73" s="56"/>
      <c r="I73" s="56"/>
      <c r="J73" s="56"/>
      <c r="K73" s="56"/>
      <c r="L73" s="56"/>
    </row>
    <row r="74" spans="4:12" x14ac:dyDescent="0.25">
      <c r="D74" s="56"/>
      <c r="E74" s="56"/>
      <c r="F74" s="56"/>
      <c r="G74" s="56"/>
      <c r="H74" s="56"/>
      <c r="I74" s="56"/>
      <c r="J74" s="56"/>
      <c r="K74" s="56"/>
      <c r="L74" s="56"/>
    </row>
    <row r="75" spans="4:12" x14ac:dyDescent="0.25">
      <c r="D75" s="56"/>
      <c r="E75" s="56"/>
      <c r="F75" s="56"/>
      <c r="G75" s="56"/>
      <c r="H75" s="56"/>
      <c r="I75" s="56"/>
      <c r="J75" s="56"/>
      <c r="K75" s="56"/>
      <c r="L75" s="56"/>
    </row>
    <row r="76" spans="4:12" x14ac:dyDescent="0.25">
      <c r="D76" s="56"/>
      <c r="E76" s="56"/>
      <c r="F76" s="56"/>
      <c r="G76" s="56"/>
      <c r="H76" s="56"/>
      <c r="I76" s="56"/>
      <c r="J76" s="56"/>
      <c r="K76" s="56"/>
      <c r="L76" s="56"/>
    </row>
    <row r="77" spans="4:12" x14ac:dyDescent="0.25">
      <c r="D77" s="56"/>
      <c r="E77" s="56"/>
      <c r="F77" s="56"/>
      <c r="G77" s="56"/>
      <c r="H77" s="56"/>
      <c r="I77" s="56"/>
      <c r="J77" s="56"/>
      <c r="K77" s="56"/>
      <c r="L77" s="56"/>
    </row>
  </sheetData>
  <sheetProtection sheet="1" objects="1" scenarios="1" selectLockedCells="1"/>
  <phoneticPr fontId="0" type="noConversion"/>
  <pageMargins left="0.75" right="0.75" top="1" bottom="1" header="0.5" footer="0.5"/>
  <pageSetup scale="89" orientation="portrait" r:id="rId1"/>
  <headerFooter alignWithMargins="0">
    <oddFooter>&amp;LFinancial Calculator&amp;CCopyright 2003 by CCIM Institute.&amp;RAll rights reserved.</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indexed="10"/>
  </sheetPr>
  <dimension ref="C6:M52"/>
  <sheetViews>
    <sheetView showGridLines="0" showRowColHeaders="0" workbookViewId="0"/>
  </sheetViews>
  <sheetFormatPr defaultColWidth="9.1796875" defaultRowHeight="13.5" x14ac:dyDescent="0.35"/>
  <cols>
    <col min="1" max="1" width="5.1796875" style="66" customWidth="1"/>
    <col min="2" max="2" width="6" style="66" customWidth="1"/>
    <col min="3" max="5" width="9.1796875" style="66"/>
    <col min="6" max="6" width="11.26953125" style="66" customWidth="1"/>
    <col min="7" max="7" width="9.1796875" style="66"/>
    <col min="8" max="8" width="36.1796875" style="66" customWidth="1"/>
    <col min="9" max="9" width="14.7265625" style="66" customWidth="1"/>
    <col min="10" max="10" width="4.7265625" style="66" customWidth="1"/>
    <col min="11" max="11" width="4.54296875" style="66" customWidth="1"/>
    <col min="12" max="12" width="12.453125" style="66" customWidth="1"/>
    <col min="13" max="16384" width="9.1796875" style="66"/>
  </cols>
  <sheetData>
    <row r="6" spans="4:9" ht="14" thickBot="1" x14ac:dyDescent="0.4"/>
    <row r="7" spans="4:9" ht="16.5" thickTop="1" thickBot="1" x14ac:dyDescent="0.4">
      <c r="D7" s="67" t="s">
        <v>9</v>
      </c>
      <c r="E7" s="68"/>
      <c r="F7" s="69"/>
      <c r="G7" s="70">
        <v>1</v>
      </c>
      <c r="H7" s="71" t="s">
        <v>21</v>
      </c>
    </row>
    <row r="8" spans="4:9" ht="16.5" thickTop="1" thickBot="1" x14ac:dyDescent="0.4">
      <c r="G8" s="72" t="s">
        <v>22</v>
      </c>
      <c r="H8" s="93">
        <v>0</v>
      </c>
      <c r="I8" s="71" t="s">
        <v>23</v>
      </c>
    </row>
    <row r="9" spans="4:9" ht="16" thickTop="1" x14ac:dyDescent="0.35">
      <c r="G9" s="72" t="s">
        <v>24</v>
      </c>
      <c r="H9" s="93">
        <v>0</v>
      </c>
      <c r="I9" s="73">
        <v>1</v>
      </c>
    </row>
    <row r="10" spans="4:9" ht="15.5" x14ac:dyDescent="0.35">
      <c r="G10" s="72" t="s">
        <v>25</v>
      </c>
      <c r="H10" s="93">
        <v>0</v>
      </c>
      <c r="I10" s="73">
        <v>1</v>
      </c>
    </row>
    <row r="11" spans="4:9" ht="15.5" x14ac:dyDescent="0.35">
      <c r="G11" s="72" t="s">
        <v>26</v>
      </c>
      <c r="H11" s="93">
        <v>0</v>
      </c>
      <c r="I11" s="73">
        <v>1</v>
      </c>
    </row>
    <row r="12" spans="4:9" ht="15.5" x14ac:dyDescent="0.35">
      <c r="G12" s="72" t="s">
        <v>27</v>
      </c>
      <c r="H12" s="93">
        <v>0</v>
      </c>
      <c r="I12" s="73">
        <v>1</v>
      </c>
    </row>
    <row r="13" spans="4:9" ht="15.5" x14ac:dyDescent="0.35">
      <c r="G13" s="72" t="s">
        <v>28</v>
      </c>
      <c r="H13" s="93">
        <v>0</v>
      </c>
      <c r="I13" s="73">
        <v>1</v>
      </c>
    </row>
    <row r="14" spans="4:9" ht="15.5" x14ac:dyDescent="0.35">
      <c r="G14" s="72" t="s">
        <v>29</v>
      </c>
      <c r="H14" s="93">
        <v>0</v>
      </c>
      <c r="I14" s="73">
        <v>1</v>
      </c>
    </row>
    <row r="15" spans="4:9" ht="15.5" x14ac:dyDescent="0.35">
      <c r="G15" s="72" t="s">
        <v>30</v>
      </c>
      <c r="H15" s="93">
        <v>0</v>
      </c>
      <c r="I15" s="73">
        <v>1</v>
      </c>
    </row>
    <row r="16" spans="4:9" ht="15.5" x14ac:dyDescent="0.35">
      <c r="G16" s="72" t="s">
        <v>31</v>
      </c>
      <c r="H16" s="93">
        <v>0</v>
      </c>
      <c r="I16" s="73">
        <v>1</v>
      </c>
    </row>
    <row r="17" spans="3:9" ht="15.5" x14ac:dyDescent="0.35">
      <c r="G17" s="72" t="s">
        <v>32</v>
      </c>
      <c r="H17" s="93">
        <v>0</v>
      </c>
      <c r="I17" s="73">
        <v>1</v>
      </c>
    </row>
    <row r="18" spans="3:9" ht="15.5" x14ac:dyDescent="0.35">
      <c r="G18" s="72" t="s">
        <v>33</v>
      </c>
      <c r="H18" s="93">
        <v>0</v>
      </c>
      <c r="I18" s="73">
        <v>1</v>
      </c>
    </row>
    <row r="19" spans="3:9" ht="15.5" x14ac:dyDescent="0.35">
      <c r="G19" s="72" t="s">
        <v>34</v>
      </c>
      <c r="H19" s="93">
        <v>0</v>
      </c>
      <c r="I19" s="73">
        <v>1</v>
      </c>
    </row>
    <row r="20" spans="3:9" ht="15.5" x14ac:dyDescent="0.35">
      <c r="G20" s="72" t="s">
        <v>35</v>
      </c>
      <c r="H20" s="93">
        <v>0</v>
      </c>
      <c r="I20" s="73">
        <v>1</v>
      </c>
    </row>
    <row r="21" spans="3:9" ht="15.5" x14ac:dyDescent="0.35">
      <c r="G21" s="72" t="s">
        <v>36</v>
      </c>
      <c r="H21" s="93">
        <v>0</v>
      </c>
      <c r="I21" s="73">
        <v>1</v>
      </c>
    </row>
    <row r="22" spans="3:9" ht="15.5" x14ac:dyDescent="0.35">
      <c r="G22" s="72" t="s">
        <v>37</v>
      </c>
      <c r="H22" s="93">
        <v>0</v>
      </c>
      <c r="I22" s="73">
        <v>1</v>
      </c>
    </row>
    <row r="23" spans="3:9" ht="15.5" x14ac:dyDescent="0.35">
      <c r="C23" s="74"/>
      <c r="G23" s="72" t="s">
        <v>38</v>
      </c>
      <c r="H23" s="93">
        <v>0</v>
      </c>
      <c r="I23" s="73">
        <v>1</v>
      </c>
    </row>
    <row r="24" spans="3:9" ht="14" thickBot="1" x14ac:dyDescent="0.4"/>
    <row r="25" spans="3:9" ht="21.5" thickTop="1" thickBot="1" x14ac:dyDescent="0.5">
      <c r="E25" s="75" t="s">
        <v>17</v>
      </c>
      <c r="F25" s="76">
        <v>0</v>
      </c>
      <c r="G25" s="77" t="s">
        <v>18</v>
      </c>
      <c r="H25" s="98">
        <v>0</v>
      </c>
      <c r="I25" s="78"/>
    </row>
    <row r="26" spans="3:9" ht="14.5" thickTop="1" thickBot="1" x14ac:dyDescent="0.4"/>
    <row r="27" spans="3:9" ht="21.5" thickTop="1" thickBot="1" x14ac:dyDescent="0.5">
      <c r="F27" s="79" t="s">
        <v>19</v>
      </c>
      <c r="G27" s="80" t="s">
        <v>18</v>
      </c>
      <c r="H27" s="81">
        <v>0</v>
      </c>
    </row>
    <row r="28" spans="3:9" ht="14" thickTop="1" x14ac:dyDescent="0.35"/>
    <row r="33" spans="4:13" x14ac:dyDescent="0.35">
      <c r="D33" s="66">
        <v>2</v>
      </c>
    </row>
    <row r="35" spans="4:13" x14ac:dyDescent="0.35">
      <c r="D35" s="66">
        <f>SUM(D33:D33)</f>
        <v>2</v>
      </c>
    </row>
    <row r="36" spans="4:13" x14ac:dyDescent="0.35">
      <c r="F36" s="82"/>
      <c r="G36" s="82">
        <v>0</v>
      </c>
      <c r="H36" s="82"/>
      <c r="I36" s="83">
        <f>H8</f>
        <v>0</v>
      </c>
      <c r="J36" s="82"/>
      <c r="K36" s="82"/>
      <c r="L36" s="82"/>
    </row>
    <row r="37" spans="4:13" x14ac:dyDescent="0.35">
      <c r="F37" s="82"/>
      <c r="G37" s="82">
        <v>1</v>
      </c>
      <c r="H37" s="84">
        <f>PV($H$52/$G$7,I9,H9,,0)</f>
        <v>0</v>
      </c>
      <c r="I37" s="83">
        <f>PV($H$52/$G$7,0,,H37,0)</f>
        <v>0</v>
      </c>
      <c r="J37" s="82"/>
      <c r="K37" s="82"/>
      <c r="L37" s="83">
        <f>SUM(I37:I51)+I36</f>
        <v>0</v>
      </c>
      <c r="M37" s="66" t="str">
        <f>IF(OR(ISERROR(L37),$H$52&gt;7),"error","no error")</f>
        <v>no error</v>
      </c>
    </row>
    <row r="38" spans="4:13" x14ac:dyDescent="0.35">
      <c r="F38" s="82"/>
      <c r="G38" s="82">
        <v>2</v>
      </c>
      <c r="H38" s="84">
        <f t="shared" ref="H38:H51" si="0">PV($H$52/$G$7,I10,H10,,0)</f>
        <v>0</v>
      </c>
      <c r="I38" s="85">
        <f>PV($H$52/$G$7,SUM($I$9:I9),,H38,0)</f>
        <v>0</v>
      </c>
      <c r="J38" s="82"/>
      <c r="K38" s="82"/>
      <c r="L38" s="82"/>
    </row>
    <row r="39" spans="4:13" x14ac:dyDescent="0.35">
      <c r="F39" s="82"/>
      <c r="G39" s="82">
        <v>3</v>
      </c>
      <c r="H39" s="84">
        <f t="shared" si="0"/>
        <v>0</v>
      </c>
      <c r="I39" s="85">
        <f>PV($H$52/$G$7,SUM($I$9:I10),,H39,0)</f>
        <v>0</v>
      </c>
      <c r="J39" s="82"/>
      <c r="K39" s="82"/>
      <c r="L39" s="82"/>
    </row>
    <row r="40" spans="4:13" x14ac:dyDescent="0.35">
      <c r="F40" s="82"/>
      <c r="G40" s="82">
        <v>4</v>
      </c>
      <c r="H40" s="84">
        <f t="shared" si="0"/>
        <v>0</v>
      </c>
      <c r="I40" s="85">
        <f>PV($H$52/$G$7,SUM($I$9:I11),,H40,0)</f>
        <v>0</v>
      </c>
      <c r="J40" s="82"/>
      <c r="K40" s="82"/>
      <c r="L40" s="82"/>
    </row>
    <row r="41" spans="4:13" x14ac:dyDescent="0.35">
      <c r="F41" s="82"/>
      <c r="G41" s="82">
        <v>5</v>
      </c>
      <c r="H41" s="84">
        <f t="shared" si="0"/>
        <v>0</v>
      </c>
      <c r="I41" s="85">
        <f>PV($H$52/$G$7,SUM($I$9:I12),,H41,0)</f>
        <v>0</v>
      </c>
      <c r="J41" s="82"/>
      <c r="K41" s="82"/>
      <c r="L41" s="85"/>
    </row>
    <row r="42" spans="4:13" x14ac:dyDescent="0.35">
      <c r="F42" s="82"/>
      <c r="G42" s="82">
        <v>6</v>
      </c>
      <c r="H42" s="84">
        <f t="shared" si="0"/>
        <v>0</v>
      </c>
      <c r="I42" s="85">
        <f>PV($H$52/$G$7,SUM($I$9:I13),,H42,0)</f>
        <v>0</v>
      </c>
      <c r="J42" s="82"/>
      <c r="K42" s="82"/>
      <c r="L42" s="82"/>
    </row>
    <row r="43" spans="4:13" x14ac:dyDescent="0.35">
      <c r="F43" s="82"/>
      <c r="G43" s="82">
        <v>7</v>
      </c>
      <c r="H43" s="84">
        <f t="shared" si="0"/>
        <v>0</v>
      </c>
      <c r="I43" s="85">
        <f>PV($H$52/$G$7,SUM($I$9:I14),,H43,0)</f>
        <v>0</v>
      </c>
      <c r="J43" s="82"/>
      <c r="K43" s="82"/>
      <c r="L43" s="82"/>
    </row>
    <row r="44" spans="4:13" x14ac:dyDescent="0.35">
      <c r="F44" s="82"/>
      <c r="G44" s="82">
        <v>8</v>
      </c>
      <c r="H44" s="84">
        <f t="shared" si="0"/>
        <v>0</v>
      </c>
      <c r="I44" s="85">
        <f>PV($H$52/$G$7,SUM($I$9:I15),,H44,0)</f>
        <v>0</v>
      </c>
      <c r="J44" s="82"/>
      <c r="K44" s="82"/>
      <c r="L44" s="82"/>
    </row>
    <row r="45" spans="4:13" x14ac:dyDescent="0.35">
      <c r="F45" s="82"/>
      <c r="G45" s="82">
        <v>9</v>
      </c>
      <c r="H45" s="84">
        <f t="shared" si="0"/>
        <v>0</v>
      </c>
      <c r="I45" s="85">
        <f>PV($H$52/$G$7,SUM($I$9:I16),,H45,0)</f>
        <v>0</v>
      </c>
      <c r="J45" s="82"/>
      <c r="K45" s="82"/>
      <c r="L45" s="82"/>
    </row>
    <row r="46" spans="4:13" x14ac:dyDescent="0.35">
      <c r="F46" s="82"/>
      <c r="G46" s="82">
        <v>10</v>
      </c>
      <c r="H46" s="84">
        <f t="shared" si="0"/>
        <v>0</v>
      </c>
      <c r="I46" s="85">
        <f>PV($H$52/$G$7,SUM($I$9:I17),,H46,0)</f>
        <v>0</v>
      </c>
      <c r="J46" s="82"/>
      <c r="K46" s="82"/>
      <c r="L46" s="82"/>
    </row>
    <row r="47" spans="4:13" x14ac:dyDescent="0.35">
      <c r="F47" s="82"/>
      <c r="G47" s="82">
        <v>11</v>
      </c>
      <c r="H47" s="84">
        <f t="shared" si="0"/>
        <v>0</v>
      </c>
      <c r="I47" s="85">
        <f>PV($H$52/$G$7,SUM($I$9:I18),,H47,0)</f>
        <v>0</v>
      </c>
      <c r="J47" s="82"/>
      <c r="K47" s="82"/>
      <c r="L47" s="82"/>
    </row>
    <row r="48" spans="4:13" x14ac:dyDescent="0.35">
      <c r="F48" s="82"/>
      <c r="G48" s="82">
        <v>12</v>
      </c>
      <c r="H48" s="84">
        <f t="shared" si="0"/>
        <v>0</v>
      </c>
      <c r="I48" s="85">
        <f>PV($H$52/$G$7,SUM($I$9:I19),,H48,0)</f>
        <v>0</v>
      </c>
      <c r="J48" s="82"/>
      <c r="K48" s="82"/>
      <c r="L48" s="82"/>
    </row>
    <row r="49" spans="6:12" x14ac:dyDescent="0.35">
      <c r="F49" s="82"/>
      <c r="G49" s="82">
        <v>13</v>
      </c>
      <c r="H49" s="84">
        <f t="shared" si="0"/>
        <v>0</v>
      </c>
      <c r="I49" s="85">
        <f>PV($H$52/$G$7,SUM($I$9:I20),,H49,0)</f>
        <v>0</v>
      </c>
      <c r="J49" s="82"/>
      <c r="K49" s="82"/>
      <c r="L49" s="86"/>
    </row>
    <row r="50" spans="6:12" x14ac:dyDescent="0.35">
      <c r="F50" s="82"/>
      <c r="G50" s="82">
        <v>14</v>
      </c>
      <c r="H50" s="84">
        <f t="shared" si="0"/>
        <v>0</v>
      </c>
      <c r="I50" s="85">
        <f>PV($H$52/$G$7,SUM($I$9:I21),,H50,0)</f>
        <v>0</v>
      </c>
      <c r="J50" s="82"/>
      <c r="K50" s="82"/>
      <c r="L50" s="82"/>
    </row>
    <row r="51" spans="6:12" x14ac:dyDescent="0.35">
      <c r="F51" s="82"/>
      <c r="G51" s="82">
        <v>15</v>
      </c>
      <c r="H51" s="84">
        <f t="shared" si="0"/>
        <v>0</v>
      </c>
      <c r="I51" s="85">
        <f>PV($H$52/$G$7,SUM($I$9:I22),,H51,0)</f>
        <v>0</v>
      </c>
      <c r="J51" s="82"/>
      <c r="K51" s="82"/>
      <c r="L51" s="82"/>
    </row>
    <row r="52" spans="6:12" x14ac:dyDescent="0.35">
      <c r="F52" s="82"/>
      <c r="G52" s="82"/>
      <c r="H52" s="113">
        <v>0</v>
      </c>
      <c r="I52" s="87"/>
      <c r="J52" s="82"/>
      <c r="K52" s="82"/>
      <c r="L52" s="86"/>
    </row>
  </sheetData>
  <sheetProtection sheet="1" objects="1" scenarios="1" selectLockedCells="1"/>
  <phoneticPr fontId="0" type="noConversion"/>
  <pageMargins left="0.75" right="0.75" top="1" bottom="1" header="0.5" footer="0.5"/>
  <pageSetup scale="89" orientation="portrait" r:id="rId1"/>
  <headerFooter alignWithMargins="0">
    <oddFooter>&amp;LFinancial Calculator&amp;CCopyright 2003 by CCIM Institute.&amp;RAll rights reserved.</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indexed="12"/>
  </sheetPr>
  <dimension ref="A5:J824"/>
  <sheetViews>
    <sheetView showRowColHeaders="0" showZeros="0" workbookViewId="0">
      <pane ySplit="14" topLeftCell="A15" activePane="bottomLeft" state="frozen"/>
      <selection pane="bottomLeft"/>
    </sheetView>
  </sheetViews>
  <sheetFormatPr defaultColWidth="9.1796875" defaultRowHeight="12.5" x14ac:dyDescent="0.25"/>
  <cols>
    <col min="1" max="1" width="10.81640625" style="9" customWidth="1"/>
    <col min="2" max="2" width="10.7265625" style="9" customWidth="1"/>
    <col min="3" max="3" width="22" style="9" customWidth="1"/>
    <col min="4" max="4" width="10.7265625" style="9" customWidth="1"/>
    <col min="5" max="5" width="21.453125" style="9" customWidth="1"/>
    <col min="6" max="6" width="10.7265625" style="9" customWidth="1"/>
    <col min="7" max="7" width="21.81640625" style="9" customWidth="1"/>
    <col min="8" max="8" width="10.7265625" style="9" customWidth="1"/>
    <col min="9" max="9" width="22.26953125" style="9" customWidth="1"/>
    <col min="10" max="16384" width="9.1796875" style="9"/>
  </cols>
  <sheetData>
    <row r="5" spans="1:10" ht="13" thickBot="1" x14ac:dyDescent="0.3"/>
    <row r="6" spans="1:10" ht="18.5" thickTop="1" x14ac:dyDescent="0.4">
      <c r="A6" s="10"/>
      <c r="B6" s="11"/>
      <c r="C6" s="11"/>
      <c r="D6" s="12"/>
      <c r="E6" s="88">
        <v>0</v>
      </c>
    </row>
    <row r="7" spans="1:10" ht="18" x14ac:dyDescent="0.4">
      <c r="A7" s="13"/>
      <c r="B7" s="14"/>
      <c r="C7" s="14"/>
      <c r="D7" s="15"/>
      <c r="E7" s="89">
        <v>0</v>
      </c>
    </row>
    <row r="8" spans="1:10" ht="18" x14ac:dyDescent="0.4">
      <c r="A8" s="13"/>
      <c r="B8" s="14"/>
      <c r="C8" s="14"/>
      <c r="D8" s="15"/>
      <c r="E8" s="90">
        <v>0</v>
      </c>
    </row>
    <row r="9" spans="1:10" ht="18.5" thickBot="1" x14ac:dyDescent="0.45">
      <c r="A9" s="16"/>
      <c r="B9" s="17"/>
      <c r="C9" s="17"/>
      <c r="D9" s="18"/>
      <c r="E9" s="91">
        <v>0</v>
      </c>
      <c r="F9" s="19"/>
    </row>
    <row r="10" spans="1:10" ht="19" thickTop="1" thickBot="1" x14ac:dyDescent="0.45">
      <c r="A10" s="20"/>
      <c r="B10" s="21"/>
      <c r="C10" s="21"/>
      <c r="D10" s="22"/>
      <c r="E10" s="23">
        <f>IF(E8=0,0,IF(E8&gt;0,ROUND(-PMT(E9/E6,E7*E6,E8,0,0),2),IF(E8&lt;0,ROUND(PMT(E9/E6,E7*E6,E8,0,0),2))))</f>
        <v>0</v>
      </c>
      <c r="F10" s="24"/>
      <c r="G10" s="25"/>
    </row>
    <row r="11" spans="1:10" ht="13" thickTop="1" x14ac:dyDescent="0.25"/>
    <row r="15" spans="1:10" ht="15.5" x14ac:dyDescent="0.35">
      <c r="A15" s="26">
        <f>IF(I15&lt;10,0,1)</f>
        <v>0</v>
      </c>
      <c r="B15" s="27"/>
      <c r="C15" s="28">
        <f>IF(E8&lt;0,E8*-1,E8)</f>
        <v>0</v>
      </c>
      <c r="D15" s="27"/>
      <c r="E15" s="29">
        <f>IF($E$9=0,0,ROUND(C15*($E$9/$E$6),2))</f>
        <v>0</v>
      </c>
      <c r="F15" s="27"/>
      <c r="G15" s="29">
        <f t="shared" ref="G15:G78" si="0">IF(C15&lt;10,0,$E$10-E15)</f>
        <v>0</v>
      </c>
      <c r="H15" s="27"/>
      <c r="I15" s="29">
        <f>IF(C15-G15&lt;10,0,C15-G15)</f>
        <v>0</v>
      </c>
      <c r="J15" s="1"/>
    </row>
    <row r="16" spans="1:10" ht="15.5" x14ac:dyDescent="0.35">
      <c r="A16" s="26">
        <f>IF(I15&lt;10,0,(A15+1))</f>
        <v>0</v>
      </c>
      <c r="B16" s="27"/>
      <c r="C16" s="29">
        <f>I15</f>
        <v>0</v>
      </c>
      <c r="D16" s="27"/>
      <c r="E16" s="29">
        <f t="shared" ref="E16:E79" si="1">IF($E$9=0,0,ROUND(C16*($E$9/$E$6),2))</f>
        <v>0</v>
      </c>
      <c r="F16" s="27"/>
      <c r="G16" s="29">
        <f t="shared" si="0"/>
        <v>0</v>
      </c>
      <c r="H16" s="27"/>
      <c r="I16" s="29">
        <f>IF(C16-G16&lt;10,0,C16-G16)</f>
        <v>0</v>
      </c>
      <c r="J16" s="1"/>
    </row>
    <row r="17" spans="1:10" ht="15.5" x14ac:dyDescent="0.35">
      <c r="A17" s="26">
        <f>IF(I16&lt;10,0,(A16+1))</f>
        <v>0</v>
      </c>
      <c r="B17" s="27"/>
      <c r="C17" s="29">
        <f>I16</f>
        <v>0</v>
      </c>
      <c r="D17" s="27"/>
      <c r="E17" s="29">
        <f t="shared" si="1"/>
        <v>0</v>
      </c>
      <c r="F17" s="27"/>
      <c r="G17" s="29">
        <f t="shared" si="0"/>
        <v>0</v>
      </c>
      <c r="H17" s="27"/>
      <c r="I17" s="29">
        <f t="shared" ref="I17:I80" si="2">IF(C17-G17&lt;10,0,C17-G17)</f>
        <v>0</v>
      </c>
      <c r="J17" s="1"/>
    </row>
    <row r="18" spans="1:10" ht="15.5" x14ac:dyDescent="0.35">
      <c r="A18" s="26">
        <f t="shared" ref="A18:A81" si="3">IF(I17&lt;10,0,(A17+1))</f>
        <v>0</v>
      </c>
      <c r="B18" s="27"/>
      <c r="C18" s="29">
        <f t="shared" ref="C18:C81" si="4">I17</f>
        <v>0</v>
      </c>
      <c r="D18" s="27"/>
      <c r="E18" s="29">
        <f t="shared" si="1"/>
        <v>0</v>
      </c>
      <c r="F18" s="27"/>
      <c r="G18" s="29">
        <f t="shared" si="0"/>
        <v>0</v>
      </c>
      <c r="H18" s="27"/>
      <c r="I18" s="29">
        <f t="shared" si="2"/>
        <v>0</v>
      </c>
      <c r="J18" s="1"/>
    </row>
    <row r="19" spans="1:10" ht="15.5" x14ac:dyDescent="0.35">
      <c r="A19" s="26">
        <f t="shared" si="3"/>
        <v>0</v>
      </c>
      <c r="B19" s="27"/>
      <c r="C19" s="29">
        <f t="shared" si="4"/>
        <v>0</v>
      </c>
      <c r="D19" s="27"/>
      <c r="E19" s="29">
        <f t="shared" si="1"/>
        <v>0</v>
      </c>
      <c r="F19" s="27"/>
      <c r="G19" s="29">
        <f t="shared" si="0"/>
        <v>0</v>
      </c>
      <c r="H19" s="27"/>
      <c r="I19" s="29">
        <f t="shared" si="2"/>
        <v>0</v>
      </c>
      <c r="J19" s="1"/>
    </row>
    <row r="20" spans="1:10" ht="15.5" x14ac:dyDescent="0.35">
      <c r="A20" s="26">
        <f t="shared" si="3"/>
        <v>0</v>
      </c>
      <c r="B20" s="1"/>
      <c r="C20" s="30">
        <f t="shared" si="4"/>
        <v>0</v>
      </c>
      <c r="D20" s="1"/>
      <c r="E20" s="29">
        <f t="shared" si="1"/>
        <v>0</v>
      </c>
      <c r="F20" s="1"/>
      <c r="G20" s="30">
        <f t="shared" si="0"/>
        <v>0</v>
      </c>
      <c r="H20" s="1"/>
      <c r="I20" s="29">
        <f t="shared" si="2"/>
        <v>0</v>
      </c>
      <c r="J20" s="1"/>
    </row>
    <row r="21" spans="1:10" ht="15.5" x14ac:dyDescent="0.35">
      <c r="A21" s="26">
        <f t="shared" si="3"/>
        <v>0</v>
      </c>
      <c r="B21" s="1"/>
      <c r="C21" s="30">
        <f t="shared" si="4"/>
        <v>0</v>
      </c>
      <c r="D21" s="1"/>
      <c r="E21" s="29">
        <f t="shared" si="1"/>
        <v>0</v>
      </c>
      <c r="F21" s="1"/>
      <c r="G21" s="30">
        <f t="shared" si="0"/>
        <v>0</v>
      </c>
      <c r="H21" s="1"/>
      <c r="I21" s="29">
        <f t="shared" si="2"/>
        <v>0</v>
      </c>
      <c r="J21" s="1"/>
    </row>
    <row r="22" spans="1:10" ht="15.5" x14ac:dyDescent="0.35">
      <c r="A22" s="26">
        <f t="shared" si="3"/>
        <v>0</v>
      </c>
      <c r="B22" s="1"/>
      <c r="C22" s="30">
        <f t="shared" si="4"/>
        <v>0</v>
      </c>
      <c r="D22" s="1"/>
      <c r="E22" s="29">
        <f t="shared" si="1"/>
        <v>0</v>
      </c>
      <c r="F22" s="1"/>
      <c r="G22" s="30">
        <f t="shared" si="0"/>
        <v>0</v>
      </c>
      <c r="H22" s="1"/>
      <c r="I22" s="29">
        <f t="shared" si="2"/>
        <v>0</v>
      </c>
      <c r="J22" s="1"/>
    </row>
    <row r="23" spans="1:10" ht="15.5" x14ac:dyDescent="0.35">
      <c r="A23" s="26">
        <f t="shared" si="3"/>
        <v>0</v>
      </c>
      <c r="B23" s="1"/>
      <c r="C23" s="30">
        <f t="shared" si="4"/>
        <v>0</v>
      </c>
      <c r="D23" s="1"/>
      <c r="E23" s="29">
        <f t="shared" si="1"/>
        <v>0</v>
      </c>
      <c r="F23" s="1"/>
      <c r="G23" s="30">
        <f t="shared" si="0"/>
        <v>0</v>
      </c>
      <c r="H23" s="1"/>
      <c r="I23" s="29">
        <f t="shared" si="2"/>
        <v>0</v>
      </c>
      <c r="J23" s="1"/>
    </row>
    <row r="24" spans="1:10" ht="15.5" x14ac:dyDescent="0.35">
      <c r="A24" s="26">
        <f t="shared" si="3"/>
        <v>0</v>
      </c>
      <c r="B24" s="1"/>
      <c r="C24" s="30">
        <f t="shared" si="4"/>
        <v>0</v>
      </c>
      <c r="D24" s="1"/>
      <c r="E24" s="29">
        <f t="shared" si="1"/>
        <v>0</v>
      </c>
      <c r="F24" s="1"/>
      <c r="G24" s="30">
        <f t="shared" si="0"/>
        <v>0</v>
      </c>
      <c r="H24" s="1"/>
      <c r="I24" s="29">
        <f t="shared" si="2"/>
        <v>0</v>
      </c>
      <c r="J24" s="1"/>
    </row>
    <row r="25" spans="1:10" ht="15.5" x14ac:dyDescent="0.35">
      <c r="A25" s="26">
        <f t="shared" si="3"/>
        <v>0</v>
      </c>
      <c r="B25" s="1"/>
      <c r="C25" s="30">
        <f t="shared" si="4"/>
        <v>0</v>
      </c>
      <c r="D25" s="1"/>
      <c r="E25" s="29">
        <f t="shared" si="1"/>
        <v>0</v>
      </c>
      <c r="F25" s="1"/>
      <c r="G25" s="30">
        <f t="shared" si="0"/>
        <v>0</v>
      </c>
      <c r="H25" s="1"/>
      <c r="I25" s="29">
        <f t="shared" si="2"/>
        <v>0</v>
      </c>
      <c r="J25" s="1"/>
    </row>
    <row r="26" spans="1:10" ht="15.5" x14ac:dyDescent="0.35">
      <c r="A26" s="26">
        <f t="shared" si="3"/>
        <v>0</v>
      </c>
      <c r="B26" s="1"/>
      <c r="C26" s="30">
        <f t="shared" si="4"/>
        <v>0</v>
      </c>
      <c r="D26" s="1"/>
      <c r="E26" s="29">
        <f t="shared" si="1"/>
        <v>0</v>
      </c>
      <c r="F26" s="1"/>
      <c r="G26" s="30">
        <f t="shared" si="0"/>
        <v>0</v>
      </c>
      <c r="H26" s="1"/>
      <c r="I26" s="29">
        <f t="shared" si="2"/>
        <v>0</v>
      </c>
      <c r="J26" s="1"/>
    </row>
    <row r="27" spans="1:10" ht="15.5" x14ac:dyDescent="0.35">
      <c r="A27" s="26">
        <f t="shared" si="3"/>
        <v>0</v>
      </c>
      <c r="B27" s="1"/>
      <c r="C27" s="30">
        <f t="shared" si="4"/>
        <v>0</v>
      </c>
      <c r="D27" s="1"/>
      <c r="E27" s="29">
        <f t="shared" si="1"/>
        <v>0</v>
      </c>
      <c r="F27" s="1"/>
      <c r="G27" s="30">
        <f t="shared" si="0"/>
        <v>0</v>
      </c>
      <c r="H27" s="1"/>
      <c r="I27" s="29">
        <f t="shared" si="2"/>
        <v>0</v>
      </c>
      <c r="J27" s="1"/>
    </row>
    <row r="28" spans="1:10" ht="15.5" x14ac:dyDescent="0.35">
      <c r="A28" s="26">
        <f t="shared" si="3"/>
        <v>0</v>
      </c>
      <c r="B28" s="1"/>
      <c r="C28" s="30">
        <f t="shared" si="4"/>
        <v>0</v>
      </c>
      <c r="D28" s="1"/>
      <c r="E28" s="29">
        <f t="shared" si="1"/>
        <v>0</v>
      </c>
      <c r="F28" s="1"/>
      <c r="G28" s="30">
        <f t="shared" si="0"/>
        <v>0</v>
      </c>
      <c r="H28" s="1"/>
      <c r="I28" s="29">
        <f t="shared" si="2"/>
        <v>0</v>
      </c>
      <c r="J28" s="1"/>
    </row>
    <row r="29" spans="1:10" ht="15.5" x14ac:dyDescent="0.35">
      <c r="A29" s="26">
        <f t="shared" si="3"/>
        <v>0</v>
      </c>
      <c r="B29" s="1"/>
      <c r="C29" s="30">
        <f t="shared" si="4"/>
        <v>0</v>
      </c>
      <c r="D29" s="1"/>
      <c r="E29" s="29">
        <f t="shared" si="1"/>
        <v>0</v>
      </c>
      <c r="F29" s="1"/>
      <c r="G29" s="30">
        <f t="shared" si="0"/>
        <v>0</v>
      </c>
      <c r="H29" s="1"/>
      <c r="I29" s="29">
        <f t="shared" si="2"/>
        <v>0</v>
      </c>
      <c r="J29" s="1"/>
    </row>
    <row r="30" spans="1:10" ht="15.5" x14ac:dyDescent="0.35">
      <c r="A30" s="26">
        <f t="shared" si="3"/>
        <v>0</v>
      </c>
      <c r="B30" s="1"/>
      <c r="C30" s="30">
        <f t="shared" si="4"/>
        <v>0</v>
      </c>
      <c r="D30" s="1"/>
      <c r="E30" s="29">
        <f t="shared" si="1"/>
        <v>0</v>
      </c>
      <c r="F30" s="1"/>
      <c r="G30" s="30">
        <f t="shared" si="0"/>
        <v>0</v>
      </c>
      <c r="H30" s="1"/>
      <c r="I30" s="29">
        <f t="shared" si="2"/>
        <v>0</v>
      </c>
      <c r="J30" s="1"/>
    </row>
    <row r="31" spans="1:10" ht="15.5" x14ac:dyDescent="0.35">
      <c r="A31" s="26">
        <f t="shared" si="3"/>
        <v>0</v>
      </c>
      <c r="B31" s="1"/>
      <c r="C31" s="30">
        <f t="shared" si="4"/>
        <v>0</v>
      </c>
      <c r="D31" s="1"/>
      <c r="E31" s="29">
        <f t="shared" si="1"/>
        <v>0</v>
      </c>
      <c r="F31" s="1"/>
      <c r="G31" s="30">
        <f t="shared" si="0"/>
        <v>0</v>
      </c>
      <c r="H31" s="1"/>
      <c r="I31" s="29">
        <f t="shared" si="2"/>
        <v>0</v>
      </c>
      <c r="J31" s="1"/>
    </row>
    <row r="32" spans="1:10" ht="15.5" x14ac:dyDescent="0.35">
      <c r="A32" s="26">
        <f t="shared" si="3"/>
        <v>0</v>
      </c>
      <c r="B32" s="1"/>
      <c r="C32" s="30">
        <f t="shared" si="4"/>
        <v>0</v>
      </c>
      <c r="D32" s="1"/>
      <c r="E32" s="29">
        <f t="shared" si="1"/>
        <v>0</v>
      </c>
      <c r="F32" s="1"/>
      <c r="G32" s="30">
        <f t="shared" si="0"/>
        <v>0</v>
      </c>
      <c r="H32" s="1"/>
      <c r="I32" s="29">
        <f t="shared" si="2"/>
        <v>0</v>
      </c>
      <c r="J32" s="1"/>
    </row>
    <row r="33" spans="1:10" ht="15.5" x14ac:dyDescent="0.35">
      <c r="A33" s="26">
        <f t="shared" si="3"/>
        <v>0</v>
      </c>
      <c r="B33" s="1"/>
      <c r="C33" s="30">
        <f t="shared" si="4"/>
        <v>0</v>
      </c>
      <c r="D33" s="1"/>
      <c r="E33" s="29">
        <f t="shared" si="1"/>
        <v>0</v>
      </c>
      <c r="F33" s="1"/>
      <c r="G33" s="30">
        <f t="shared" si="0"/>
        <v>0</v>
      </c>
      <c r="H33" s="1"/>
      <c r="I33" s="29">
        <f t="shared" si="2"/>
        <v>0</v>
      </c>
      <c r="J33" s="1"/>
    </row>
    <row r="34" spans="1:10" ht="15.5" x14ac:dyDescent="0.35">
      <c r="A34" s="26">
        <f t="shared" si="3"/>
        <v>0</v>
      </c>
      <c r="B34" s="1"/>
      <c r="C34" s="30">
        <f t="shared" si="4"/>
        <v>0</v>
      </c>
      <c r="D34" s="1"/>
      <c r="E34" s="29">
        <f t="shared" si="1"/>
        <v>0</v>
      </c>
      <c r="F34" s="1"/>
      <c r="G34" s="30">
        <f t="shared" si="0"/>
        <v>0</v>
      </c>
      <c r="H34" s="1"/>
      <c r="I34" s="29">
        <f t="shared" si="2"/>
        <v>0</v>
      </c>
      <c r="J34" s="1"/>
    </row>
    <row r="35" spans="1:10" ht="15.5" x14ac:dyDescent="0.35">
      <c r="A35" s="26">
        <f t="shared" si="3"/>
        <v>0</v>
      </c>
      <c r="B35" s="1"/>
      <c r="C35" s="30">
        <f t="shared" si="4"/>
        <v>0</v>
      </c>
      <c r="D35" s="1"/>
      <c r="E35" s="29">
        <f t="shared" si="1"/>
        <v>0</v>
      </c>
      <c r="F35" s="1"/>
      <c r="G35" s="30">
        <f t="shared" si="0"/>
        <v>0</v>
      </c>
      <c r="H35" s="1"/>
      <c r="I35" s="29">
        <f t="shared" si="2"/>
        <v>0</v>
      </c>
      <c r="J35" s="1"/>
    </row>
    <row r="36" spans="1:10" ht="15.5" x14ac:dyDescent="0.35">
      <c r="A36" s="26">
        <f t="shared" si="3"/>
        <v>0</v>
      </c>
      <c r="B36" s="1"/>
      <c r="C36" s="30">
        <f t="shared" si="4"/>
        <v>0</v>
      </c>
      <c r="D36" s="1"/>
      <c r="E36" s="29">
        <f t="shared" si="1"/>
        <v>0</v>
      </c>
      <c r="F36" s="1"/>
      <c r="G36" s="30">
        <f t="shared" si="0"/>
        <v>0</v>
      </c>
      <c r="H36" s="1"/>
      <c r="I36" s="29">
        <f t="shared" si="2"/>
        <v>0</v>
      </c>
      <c r="J36" s="1"/>
    </row>
    <row r="37" spans="1:10" ht="15.5" x14ac:dyDescent="0.35">
      <c r="A37" s="26">
        <f t="shared" si="3"/>
        <v>0</v>
      </c>
      <c r="B37" s="1"/>
      <c r="C37" s="30">
        <f t="shared" si="4"/>
        <v>0</v>
      </c>
      <c r="D37" s="1"/>
      <c r="E37" s="29">
        <f t="shared" si="1"/>
        <v>0</v>
      </c>
      <c r="F37" s="1"/>
      <c r="G37" s="30">
        <f t="shared" si="0"/>
        <v>0</v>
      </c>
      <c r="H37" s="1"/>
      <c r="I37" s="29">
        <f t="shared" si="2"/>
        <v>0</v>
      </c>
      <c r="J37" s="1"/>
    </row>
    <row r="38" spans="1:10" ht="15.5" x14ac:dyDescent="0.35">
      <c r="A38" s="26">
        <f t="shared" si="3"/>
        <v>0</v>
      </c>
      <c r="B38" s="1"/>
      <c r="C38" s="30">
        <f t="shared" si="4"/>
        <v>0</v>
      </c>
      <c r="D38" s="1"/>
      <c r="E38" s="29">
        <f t="shared" si="1"/>
        <v>0</v>
      </c>
      <c r="F38" s="1"/>
      <c r="G38" s="30">
        <f t="shared" si="0"/>
        <v>0</v>
      </c>
      <c r="H38" s="1"/>
      <c r="I38" s="29">
        <f t="shared" si="2"/>
        <v>0</v>
      </c>
      <c r="J38" s="1"/>
    </row>
    <row r="39" spans="1:10" ht="15.5" x14ac:dyDescent="0.35">
      <c r="A39" s="26">
        <f t="shared" si="3"/>
        <v>0</v>
      </c>
      <c r="B39" s="1"/>
      <c r="C39" s="30">
        <f t="shared" si="4"/>
        <v>0</v>
      </c>
      <c r="D39" s="1"/>
      <c r="E39" s="29">
        <f t="shared" si="1"/>
        <v>0</v>
      </c>
      <c r="F39" s="1"/>
      <c r="G39" s="30">
        <f t="shared" si="0"/>
        <v>0</v>
      </c>
      <c r="H39" s="1"/>
      <c r="I39" s="29">
        <f t="shared" si="2"/>
        <v>0</v>
      </c>
      <c r="J39" s="1"/>
    </row>
    <row r="40" spans="1:10" ht="15.5" x14ac:dyDescent="0.35">
      <c r="A40" s="26">
        <f t="shared" si="3"/>
        <v>0</v>
      </c>
      <c r="B40" s="1"/>
      <c r="C40" s="30">
        <f t="shared" si="4"/>
        <v>0</v>
      </c>
      <c r="D40" s="1"/>
      <c r="E40" s="29">
        <f t="shared" si="1"/>
        <v>0</v>
      </c>
      <c r="F40" s="1"/>
      <c r="G40" s="30">
        <f t="shared" si="0"/>
        <v>0</v>
      </c>
      <c r="H40" s="1"/>
      <c r="I40" s="29">
        <f t="shared" si="2"/>
        <v>0</v>
      </c>
      <c r="J40" s="1"/>
    </row>
    <row r="41" spans="1:10" ht="15.5" x14ac:dyDescent="0.35">
      <c r="A41" s="26">
        <f t="shared" si="3"/>
        <v>0</v>
      </c>
      <c r="B41" s="1"/>
      <c r="C41" s="30">
        <f t="shared" si="4"/>
        <v>0</v>
      </c>
      <c r="D41" s="1"/>
      <c r="E41" s="29">
        <f t="shared" si="1"/>
        <v>0</v>
      </c>
      <c r="F41" s="1"/>
      <c r="G41" s="30">
        <f t="shared" si="0"/>
        <v>0</v>
      </c>
      <c r="H41" s="1"/>
      <c r="I41" s="29">
        <f t="shared" si="2"/>
        <v>0</v>
      </c>
      <c r="J41" s="1"/>
    </row>
    <row r="42" spans="1:10" ht="15.5" x14ac:dyDescent="0.35">
      <c r="A42" s="26">
        <f t="shared" si="3"/>
        <v>0</v>
      </c>
      <c r="B42" s="1"/>
      <c r="C42" s="30">
        <f t="shared" si="4"/>
        <v>0</v>
      </c>
      <c r="D42" s="1"/>
      <c r="E42" s="29">
        <f t="shared" si="1"/>
        <v>0</v>
      </c>
      <c r="F42" s="1"/>
      <c r="G42" s="30">
        <f t="shared" si="0"/>
        <v>0</v>
      </c>
      <c r="H42" s="1"/>
      <c r="I42" s="29">
        <f t="shared" si="2"/>
        <v>0</v>
      </c>
      <c r="J42" s="1"/>
    </row>
    <row r="43" spans="1:10" ht="15.5" x14ac:dyDescent="0.35">
      <c r="A43" s="26">
        <f t="shared" si="3"/>
        <v>0</v>
      </c>
      <c r="B43" s="1"/>
      <c r="C43" s="30">
        <f t="shared" si="4"/>
        <v>0</v>
      </c>
      <c r="D43" s="1"/>
      <c r="E43" s="29">
        <f t="shared" si="1"/>
        <v>0</v>
      </c>
      <c r="F43" s="1"/>
      <c r="G43" s="30">
        <f t="shared" si="0"/>
        <v>0</v>
      </c>
      <c r="H43" s="1"/>
      <c r="I43" s="29">
        <f t="shared" si="2"/>
        <v>0</v>
      </c>
      <c r="J43" s="1"/>
    </row>
    <row r="44" spans="1:10" ht="15.5" x14ac:dyDescent="0.35">
      <c r="A44" s="26">
        <f t="shared" si="3"/>
        <v>0</v>
      </c>
      <c r="B44" s="1"/>
      <c r="C44" s="30">
        <f t="shared" si="4"/>
        <v>0</v>
      </c>
      <c r="D44" s="1"/>
      <c r="E44" s="29">
        <f t="shared" si="1"/>
        <v>0</v>
      </c>
      <c r="F44" s="1"/>
      <c r="G44" s="30">
        <f t="shared" si="0"/>
        <v>0</v>
      </c>
      <c r="H44" s="1"/>
      <c r="I44" s="29">
        <f t="shared" si="2"/>
        <v>0</v>
      </c>
      <c r="J44" s="1"/>
    </row>
    <row r="45" spans="1:10" ht="15.5" x14ac:dyDescent="0.35">
      <c r="A45" s="26">
        <f t="shared" si="3"/>
        <v>0</v>
      </c>
      <c r="B45" s="1"/>
      <c r="C45" s="30">
        <f t="shared" si="4"/>
        <v>0</v>
      </c>
      <c r="D45" s="1"/>
      <c r="E45" s="29">
        <f t="shared" si="1"/>
        <v>0</v>
      </c>
      <c r="F45" s="1"/>
      <c r="G45" s="30">
        <f t="shared" si="0"/>
        <v>0</v>
      </c>
      <c r="H45" s="1"/>
      <c r="I45" s="29">
        <f t="shared" si="2"/>
        <v>0</v>
      </c>
      <c r="J45" s="1"/>
    </row>
    <row r="46" spans="1:10" ht="15.5" x14ac:dyDescent="0.35">
      <c r="A46" s="26">
        <f t="shared" si="3"/>
        <v>0</v>
      </c>
      <c r="B46" s="1"/>
      <c r="C46" s="30">
        <f t="shared" si="4"/>
        <v>0</v>
      </c>
      <c r="D46" s="1"/>
      <c r="E46" s="29">
        <f t="shared" si="1"/>
        <v>0</v>
      </c>
      <c r="F46" s="1"/>
      <c r="G46" s="30">
        <f t="shared" si="0"/>
        <v>0</v>
      </c>
      <c r="H46" s="1"/>
      <c r="I46" s="29">
        <f t="shared" si="2"/>
        <v>0</v>
      </c>
      <c r="J46" s="1"/>
    </row>
    <row r="47" spans="1:10" ht="15.5" x14ac:dyDescent="0.35">
      <c r="A47" s="26">
        <f t="shared" si="3"/>
        <v>0</v>
      </c>
      <c r="B47" s="1"/>
      <c r="C47" s="30">
        <f t="shared" si="4"/>
        <v>0</v>
      </c>
      <c r="D47" s="1"/>
      <c r="E47" s="29">
        <f t="shared" si="1"/>
        <v>0</v>
      </c>
      <c r="F47" s="1"/>
      <c r="G47" s="30">
        <f t="shared" si="0"/>
        <v>0</v>
      </c>
      <c r="H47" s="1"/>
      <c r="I47" s="29">
        <f t="shared" si="2"/>
        <v>0</v>
      </c>
      <c r="J47" s="1"/>
    </row>
    <row r="48" spans="1:10" ht="15.5" x14ac:dyDescent="0.35">
      <c r="A48" s="26">
        <f t="shared" si="3"/>
        <v>0</v>
      </c>
      <c r="B48" s="1"/>
      <c r="C48" s="30">
        <f t="shared" si="4"/>
        <v>0</v>
      </c>
      <c r="D48" s="1"/>
      <c r="E48" s="29">
        <f t="shared" si="1"/>
        <v>0</v>
      </c>
      <c r="F48" s="1"/>
      <c r="G48" s="30">
        <f t="shared" si="0"/>
        <v>0</v>
      </c>
      <c r="H48" s="1"/>
      <c r="I48" s="29">
        <f t="shared" si="2"/>
        <v>0</v>
      </c>
      <c r="J48" s="1"/>
    </row>
    <row r="49" spans="1:10" ht="15.5" x14ac:dyDescent="0.35">
      <c r="A49" s="26">
        <f t="shared" si="3"/>
        <v>0</v>
      </c>
      <c r="B49" s="1"/>
      <c r="C49" s="30">
        <f t="shared" si="4"/>
        <v>0</v>
      </c>
      <c r="D49" s="1"/>
      <c r="E49" s="29">
        <f t="shared" si="1"/>
        <v>0</v>
      </c>
      <c r="F49" s="1"/>
      <c r="G49" s="30">
        <f t="shared" si="0"/>
        <v>0</v>
      </c>
      <c r="H49" s="1"/>
      <c r="I49" s="29">
        <f t="shared" si="2"/>
        <v>0</v>
      </c>
      <c r="J49" s="1"/>
    </row>
    <row r="50" spans="1:10" ht="15.5" x14ac:dyDescent="0.35">
      <c r="A50" s="26">
        <f t="shared" si="3"/>
        <v>0</v>
      </c>
      <c r="B50" s="1"/>
      <c r="C50" s="30">
        <f t="shared" si="4"/>
        <v>0</v>
      </c>
      <c r="D50" s="1"/>
      <c r="E50" s="29">
        <f t="shared" si="1"/>
        <v>0</v>
      </c>
      <c r="F50" s="1"/>
      <c r="G50" s="30">
        <f t="shared" si="0"/>
        <v>0</v>
      </c>
      <c r="H50" s="1"/>
      <c r="I50" s="29">
        <f t="shared" si="2"/>
        <v>0</v>
      </c>
      <c r="J50" s="1"/>
    </row>
    <row r="51" spans="1:10" ht="15.5" x14ac:dyDescent="0.35">
      <c r="A51" s="26">
        <f t="shared" si="3"/>
        <v>0</v>
      </c>
      <c r="B51" s="1"/>
      <c r="C51" s="30">
        <f t="shared" si="4"/>
        <v>0</v>
      </c>
      <c r="D51" s="1"/>
      <c r="E51" s="29">
        <f t="shared" si="1"/>
        <v>0</v>
      </c>
      <c r="F51" s="1"/>
      <c r="G51" s="30">
        <f t="shared" si="0"/>
        <v>0</v>
      </c>
      <c r="H51" s="1"/>
      <c r="I51" s="29">
        <f t="shared" si="2"/>
        <v>0</v>
      </c>
      <c r="J51" s="1"/>
    </row>
    <row r="52" spans="1:10" ht="15.5" x14ac:dyDescent="0.35">
      <c r="A52" s="26">
        <f t="shared" si="3"/>
        <v>0</v>
      </c>
      <c r="B52" s="1"/>
      <c r="C52" s="30">
        <f t="shared" si="4"/>
        <v>0</v>
      </c>
      <c r="D52" s="1"/>
      <c r="E52" s="29">
        <f t="shared" si="1"/>
        <v>0</v>
      </c>
      <c r="F52" s="1"/>
      <c r="G52" s="30">
        <f t="shared" si="0"/>
        <v>0</v>
      </c>
      <c r="H52" s="1"/>
      <c r="I52" s="29">
        <f t="shared" si="2"/>
        <v>0</v>
      </c>
      <c r="J52" s="1"/>
    </row>
    <row r="53" spans="1:10" ht="15.5" x14ac:dyDescent="0.35">
      <c r="A53" s="26">
        <f t="shared" si="3"/>
        <v>0</v>
      </c>
      <c r="B53" s="1"/>
      <c r="C53" s="30">
        <f t="shared" si="4"/>
        <v>0</v>
      </c>
      <c r="D53" s="1"/>
      <c r="E53" s="29">
        <f t="shared" si="1"/>
        <v>0</v>
      </c>
      <c r="F53" s="1"/>
      <c r="G53" s="30">
        <f t="shared" si="0"/>
        <v>0</v>
      </c>
      <c r="H53" s="1"/>
      <c r="I53" s="29">
        <f t="shared" si="2"/>
        <v>0</v>
      </c>
      <c r="J53" s="1"/>
    </row>
    <row r="54" spans="1:10" ht="15.5" x14ac:dyDescent="0.35">
      <c r="A54" s="26">
        <f t="shared" si="3"/>
        <v>0</v>
      </c>
      <c r="B54" s="1"/>
      <c r="C54" s="30">
        <f t="shared" si="4"/>
        <v>0</v>
      </c>
      <c r="D54" s="1"/>
      <c r="E54" s="29">
        <f t="shared" si="1"/>
        <v>0</v>
      </c>
      <c r="F54" s="1"/>
      <c r="G54" s="30">
        <f t="shared" si="0"/>
        <v>0</v>
      </c>
      <c r="H54" s="1"/>
      <c r="I54" s="29">
        <f t="shared" si="2"/>
        <v>0</v>
      </c>
      <c r="J54" s="1"/>
    </row>
    <row r="55" spans="1:10" ht="15.5" x14ac:dyDescent="0.35">
      <c r="A55" s="26">
        <f t="shared" si="3"/>
        <v>0</v>
      </c>
      <c r="B55" s="1"/>
      <c r="C55" s="30">
        <f t="shared" si="4"/>
        <v>0</v>
      </c>
      <c r="D55" s="1"/>
      <c r="E55" s="29">
        <f t="shared" si="1"/>
        <v>0</v>
      </c>
      <c r="F55" s="1"/>
      <c r="G55" s="30">
        <f t="shared" si="0"/>
        <v>0</v>
      </c>
      <c r="H55" s="1"/>
      <c r="I55" s="29">
        <f t="shared" si="2"/>
        <v>0</v>
      </c>
      <c r="J55" s="1"/>
    </row>
    <row r="56" spans="1:10" ht="15.5" x14ac:dyDescent="0.35">
      <c r="A56" s="26">
        <f t="shared" si="3"/>
        <v>0</v>
      </c>
      <c r="B56" s="1"/>
      <c r="C56" s="30">
        <f t="shared" si="4"/>
        <v>0</v>
      </c>
      <c r="D56" s="1"/>
      <c r="E56" s="29">
        <f t="shared" si="1"/>
        <v>0</v>
      </c>
      <c r="F56" s="1"/>
      <c r="G56" s="30">
        <f t="shared" si="0"/>
        <v>0</v>
      </c>
      <c r="H56" s="1"/>
      <c r="I56" s="29">
        <f t="shared" si="2"/>
        <v>0</v>
      </c>
      <c r="J56" s="1"/>
    </row>
    <row r="57" spans="1:10" ht="15.5" x14ac:dyDescent="0.35">
      <c r="A57" s="26">
        <f t="shared" si="3"/>
        <v>0</v>
      </c>
      <c r="B57" s="1"/>
      <c r="C57" s="30">
        <f t="shared" si="4"/>
        <v>0</v>
      </c>
      <c r="D57" s="1"/>
      <c r="E57" s="29">
        <f t="shared" si="1"/>
        <v>0</v>
      </c>
      <c r="F57" s="1"/>
      <c r="G57" s="30">
        <f t="shared" si="0"/>
        <v>0</v>
      </c>
      <c r="H57" s="1"/>
      <c r="I57" s="29">
        <f t="shared" si="2"/>
        <v>0</v>
      </c>
      <c r="J57" s="1"/>
    </row>
    <row r="58" spans="1:10" ht="15.5" x14ac:dyDescent="0.35">
      <c r="A58" s="26">
        <f t="shared" si="3"/>
        <v>0</v>
      </c>
      <c r="B58" s="1"/>
      <c r="C58" s="30">
        <f t="shared" si="4"/>
        <v>0</v>
      </c>
      <c r="D58" s="1"/>
      <c r="E58" s="29">
        <f t="shared" si="1"/>
        <v>0</v>
      </c>
      <c r="F58" s="1"/>
      <c r="G58" s="30">
        <f t="shared" si="0"/>
        <v>0</v>
      </c>
      <c r="H58" s="1"/>
      <c r="I58" s="29">
        <f t="shared" si="2"/>
        <v>0</v>
      </c>
      <c r="J58" s="1"/>
    </row>
    <row r="59" spans="1:10" ht="15.5" x14ac:dyDescent="0.35">
      <c r="A59" s="26">
        <f t="shared" si="3"/>
        <v>0</v>
      </c>
      <c r="B59" s="1"/>
      <c r="C59" s="30">
        <f t="shared" si="4"/>
        <v>0</v>
      </c>
      <c r="D59" s="1"/>
      <c r="E59" s="29">
        <f t="shared" si="1"/>
        <v>0</v>
      </c>
      <c r="F59" s="1"/>
      <c r="G59" s="30">
        <f t="shared" si="0"/>
        <v>0</v>
      </c>
      <c r="H59" s="1"/>
      <c r="I59" s="29">
        <f t="shared" si="2"/>
        <v>0</v>
      </c>
      <c r="J59" s="1"/>
    </row>
    <row r="60" spans="1:10" ht="15.5" x14ac:dyDescent="0.35">
      <c r="A60" s="26">
        <f t="shared" si="3"/>
        <v>0</v>
      </c>
      <c r="B60" s="1"/>
      <c r="C60" s="30">
        <f t="shared" si="4"/>
        <v>0</v>
      </c>
      <c r="D60" s="1"/>
      <c r="E60" s="29">
        <f t="shared" si="1"/>
        <v>0</v>
      </c>
      <c r="F60" s="1"/>
      <c r="G60" s="30">
        <f t="shared" si="0"/>
        <v>0</v>
      </c>
      <c r="H60" s="1"/>
      <c r="I60" s="29">
        <f t="shared" si="2"/>
        <v>0</v>
      </c>
      <c r="J60" s="1"/>
    </row>
    <row r="61" spans="1:10" ht="15.5" x14ac:dyDescent="0.35">
      <c r="A61" s="26">
        <f t="shared" si="3"/>
        <v>0</v>
      </c>
      <c r="B61" s="1"/>
      <c r="C61" s="30">
        <f t="shared" si="4"/>
        <v>0</v>
      </c>
      <c r="D61" s="1"/>
      <c r="E61" s="29">
        <f t="shared" si="1"/>
        <v>0</v>
      </c>
      <c r="F61" s="1"/>
      <c r="G61" s="30">
        <f t="shared" si="0"/>
        <v>0</v>
      </c>
      <c r="H61" s="1"/>
      <c r="I61" s="29">
        <f t="shared" si="2"/>
        <v>0</v>
      </c>
      <c r="J61" s="1"/>
    </row>
    <row r="62" spans="1:10" ht="15.5" x14ac:dyDescent="0.35">
      <c r="A62" s="26">
        <f t="shared" si="3"/>
        <v>0</v>
      </c>
      <c r="B62" s="1"/>
      <c r="C62" s="30">
        <f t="shared" si="4"/>
        <v>0</v>
      </c>
      <c r="D62" s="1"/>
      <c r="E62" s="29">
        <f t="shared" si="1"/>
        <v>0</v>
      </c>
      <c r="F62" s="1"/>
      <c r="G62" s="30">
        <f t="shared" si="0"/>
        <v>0</v>
      </c>
      <c r="H62" s="1"/>
      <c r="I62" s="29">
        <f t="shared" si="2"/>
        <v>0</v>
      </c>
      <c r="J62" s="1"/>
    </row>
    <row r="63" spans="1:10" ht="15.5" x14ac:dyDescent="0.35">
      <c r="A63" s="26">
        <f t="shared" si="3"/>
        <v>0</v>
      </c>
      <c r="B63" s="1"/>
      <c r="C63" s="30">
        <f t="shared" si="4"/>
        <v>0</v>
      </c>
      <c r="D63" s="1"/>
      <c r="E63" s="29">
        <f t="shared" si="1"/>
        <v>0</v>
      </c>
      <c r="F63" s="1"/>
      <c r="G63" s="30">
        <f t="shared" si="0"/>
        <v>0</v>
      </c>
      <c r="H63" s="1"/>
      <c r="I63" s="29">
        <f t="shared" si="2"/>
        <v>0</v>
      </c>
      <c r="J63" s="1"/>
    </row>
    <row r="64" spans="1:10" ht="15.5" x14ac:dyDescent="0.35">
      <c r="A64" s="26">
        <f t="shared" si="3"/>
        <v>0</v>
      </c>
      <c r="B64" s="1"/>
      <c r="C64" s="30">
        <f t="shared" si="4"/>
        <v>0</v>
      </c>
      <c r="D64" s="1"/>
      <c r="E64" s="29">
        <f t="shared" si="1"/>
        <v>0</v>
      </c>
      <c r="F64" s="1"/>
      <c r="G64" s="30">
        <f t="shared" si="0"/>
        <v>0</v>
      </c>
      <c r="H64" s="1"/>
      <c r="I64" s="29">
        <f t="shared" si="2"/>
        <v>0</v>
      </c>
      <c r="J64" s="1"/>
    </row>
    <row r="65" spans="1:10" ht="15.5" x14ac:dyDescent="0.35">
      <c r="A65" s="26">
        <f t="shared" si="3"/>
        <v>0</v>
      </c>
      <c r="B65" s="1"/>
      <c r="C65" s="30">
        <f t="shared" si="4"/>
        <v>0</v>
      </c>
      <c r="D65" s="1"/>
      <c r="E65" s="29">
        <f t="shared" si="1"/>
        <v>0</v>
      </c>
      <c r="F65" s="1"/>
      <c r="G65" s="30">
        <f t="shared" si="0"/>
        <v>0</v>
      </c>
      <c r="H65" s="1"/>
      <c r="I65" s="29">
        <f t="shared" si="2"/>
        <v>0</v>
      </c>
      <c r="J65" s="1"/>
    </row>
    <row r="66" spans="1:10" ht="15.5" x14ac:dyDescent="0.35">
      <c r="A66" s="26">
        <f t="shared" si="3"/>
        <v>0</v>
      </c>
      <c r="B66" s="1"/>
      <c r="C66" s="30">
        <f t="shared" si="4"/>
        <v>0</v>
      </c>
      <c r="D66" s="1"/>
      <c r="E66" s="29">
        <f t="shared" si="1"/>
        <v>0</v>
      </c>
      <c r="F66" s="1"/>
      <c r="G66" s="30">
        <f t="shared" si="0"/>
        <v>0</v>
      </c>
      <c r="H66" s="1"/>
      <c r="I66" s="29">
        <f t="shared" si="2"/>
        <v>0</v>
      </c>
      <c r="J66" s="1"/>
    </row>
    <row r="67" spans="1:10" ht="15.5" x14ac:dyDescent="0.35">
      <c r="A67" s="26">
        <f t="shared" si="3"/>
        <v>0</v>
      </c>
      <c r="B67" s="1"/>
      <c r="C67" s="30">
        <f t="shared" si="4"/>
        <v>0</v>
      </c>
      <c r="D67" s="1"/>
      <c r="E67" s="29">
        <f t="shared" si="1"/>
        <v>0</v>
      </c>
      <c r="F67" s="1"/>
      <c r="G67" s="30">
        <f t="shared" si="0"/>
        <v>0</v>
      </c>
      <c r="H67" s="1"/>
      <c r="I67" s="29">
        <f t="shared" si="2"/>
        <v>0</v>
      </c>
      <c r="J67" s="1"/>
    </row>
    <row r="68" spans="1:10" ht="15.5" x14ac:dyDescent="0.35">
      <c r="A68" s="26">
        <f t="shared" si="3"/>
        <v>0</v>
      </c>
      <c r="B68" s="1"/>
      <c r="C68" s="30">
        <f t="shared" si="4"/>
        <v>0</v>
      </c>
      <c r="D68" s="1"/>
      <c r="E68" s="29">
        <f t="shared" si="1"/>
        <v>0</v>
      </c>
      <c r="F68" s="1"/>
      <c r="G68" s="30">
        <f t="shared" si="0"/>
        <v>0</v>
      </c>
      <c r="H68" s="1"/>
      <c r="I68" s="29">
        <f t="shared" si="2"/>
        <v>0</v>
      </c>
      <c r="J68" s="1"/>
    </row>
    <row r="69" spans="1:10" ht="15.5" x14ac:dyDescent="0.35">
      <c r="A69" s="26">
        <f t="shared" si="3"/>
        <v>0</v>
      </c>
      <c r="B69" s="1"/>
      <c r="C69" s="30">
        <f t="shared" si="4"/>
        <v>0</v>
      </c>
      <c r="D69" s="1"/>
      <c r="E69" s="29">
        <f t="shared" si="1"/>
        <v>0</v>
      </c>
      <c r="F69" s="1"/>
      <c r="G69" s="30">
        <f t="shared" si="0"/>
        <v>0</v>
      </c>
      <c r="H69" s="1"/>
      <c r="I69" s="29">
        <f t="shared" si="2"/>
        <v>0</v>
      </c>
      <c r="J69" s="1"/>
    </row>
    <row r="70" spans="1:10" ht="15.5" x14ac:dyDescent="0.35">
      <c r="A70" s="26">
        <f t="shared" si="3"/>
        <v>0</v>
      </c>
      <c r="B70" s="1"/>
      <c r="C70" s="30">
        <f t="shared" si="4"/>
        <v>0</v>
      </c>
      <c r="D70" s="1"/>
      <c r="E70" s="29">
        <f t="shared" si="1"/>
        <v>0</v>
      </c>
      <c r="F70" s="1"/>
      <c r="G70" s="30">
        <f t="shared" si="0"/>
        <v>0</v>
      </c>
      <c r="H70" s="1"/>
      <c r="I70" s="29">
        <f t="shared" si="2"/>
        <v>0</v>
      </c>
      <c r="J70" s="1"/>
    </row>
    <row r="71" spans="1:10" ht="15.5" x14ac:dyDescent="0.35">
      <c r="A71" s="26">
        <f t="shared" si="3"/>
        <v>0</v>
      </c>
      <c r="B71" s="1"/>
      <c r="C71" s="30">
        <f t="shared" si="4"/>
        <v>0</v>
      </c>
      <c r="D71" s="1"/>
      <c r="E71" s="29">
        <f t="shared" si="1"/>
        <v>0</v>
      </c>
      <c r="F71" s="1"/>
      <c r="G71" s="30">
        <f t="shared" si="0"/>
        <v>0</v>
      </c>
      <c r="H71" s="1"/>
      <c r="I71" s="29">
        <f t="shared" si="2"/>
        <v>0</v>
      </c>
      <c r="J71" s="1"/>
    </row>
    <row r="72" spans="1:10" ht="15.5" x14ac:dyDescent="0.35">
      <c r="A72" s="26">
        <f t="shared" si="3"/>
        <v>0</v>
      </c>
      <c r="B72" s="1"/>
      <c r="C72" s="30">
        <f t="shared" si="4"/>
        <v>0</v>
      </c>
      <c r="D72" s="1"/>
      <c r="E72" s="29">
        <f t="shared" si="1"/>
        <v>0</v>
      </c>
      <c r="F72" s="1"/>
      <c r="G72" s="30">
        <f t="shared" si="0"/>
        <v>0</v>
      </c>
      <c r="H72" s="1"/>
      <c r="I72" s="29">
        <f t="shared" si="2"/>
        <v>0</v>
      </c>
      <c r="J72" s="1"/>
    </row>
    <row r="73" spans="1:10" ht="15.5" x14ac:dyDescent="0.35">
      <c r="A73" s="26">
        <f t="shared" si="3"/>
        <v>0</v>
      </c>
      <c r="B73" s="1"/>
      <c r="C73" s="30">
        <f t="shared" si="4"/>
        <v>0</v>
      </c>
      <c r="D73" s="1"/>
      <c r="E73" s="29">
        <f t="shared" si="1"/>
        <v>0</v>
      </c>
      <c r="F73" s="1"/>
      <c r="G73" s="30">
        <f t="shared" si="0"/>
        <v>0</v>
      </c>
      <c r="H73" s="1"/>
      <c r="I73" s="29">
        <f t="shared" si="2"/>
        <v>0</v>
      </c>
      <c r="J73" s="1"/>
    </row>
    <row r="74" spans="1:10" ht="15.5" x14ac:dyDescent="0.35">
      <c r="A74" s="26">
        <f t="shared" si="3"/>
        <v>0</v>
      </c>
      <c r="B74" s="1"/>
      <c r="C74" s="30">
        <f t="shared" si="4"/>
        <v>0</v>
      </c>
      <c r="D74" s="1"/>
      <c r="E74" s="29">
        <f t="shared" si="1"/>
        <v>0</v>
      </c>
      <c r="F74" s="1"/>
      <c r="G74" s="30">
        <f t="shared" si="0"/>
        <v>0</v>
      </c>
      <c r="H74" s="1"/>
      <c r="I74" s="29">
        <f t="shared" si="2"/>
        <v>0</v>
      </c>
      <c r="J74" s="1"/>
    </row>
    <row r="75" spans="1:10" ht="15.5" x14ac:dyDescent="0.35">
      <c r="A75" s="26">
        <f t="shared" si="3"/>
        <v>0</v>
      </c>
      <c r="B75" s="1"/>
      <c r="C75" s="30">
        <f t="shared" si="4"/>
        <v>0</v>
      </c>
      <c r="D75" s="1"/>
      <c r="E75" s="29">
        <f t="shared" si="1"/>
        <v>0</v>
      </c>
      <c r="F75" s="1"/>
      <c r="G75" s="30">
        <f t="shared" si="0"/>
        <v>0</v>
      </c>
      <c r="H75" s="1"/>
      <c r="I75" s="29">
        <f t="shared" si="2"/>
        <v>0</v>
      </c>
      <c r="J75" s="1"/>
    </row>
    <row r="76" spans="1:10" ht="15.5" x14ac:dyDescent="0.35">
      <c r="A76" s="26">
        <f t="shared" si="3"/>
        <v>0</v>
      </c>
      <c r="B76" s="1"/>
      <c r="C76" s="30">
        <f t="shared" si="4"/>
        <v>0</v>
      </c>
      <c r="D76" s="1"/>
      <c r="E76" s="29">
        <f t="shared" si="1"/>
        <v>0</v>
      </c>
      <c r="F76" s="1"/>
      <c r="G76" s="30">
        <f t="shared" si="0"/>
        <v>0</v>
      </c>
      <c r="H76" s="1"/>
      <c r="I76" s="29">
        <f t="shared" si="2"/>
        <v>0</v>
      </c>
      <c r="J76" s="1"/>
    </row>
    <row r="77" spans="1:10" ht="15.5" x14ac:dyDescent="0.35">
      <c r="A77" s="26">
        <f t="shared" si="3"/>
        <v>0</v>
      </c>
      <c r="B77" s="1"/>
      <c r="C77" s="30">
        <f t="shared" si="4"/>
        <v>0</v>
      </c>
      <c r="D77" s="1"/>
      <c r="E77" s="29">
        <f t="shared" si="1"/>
        <v>0</v>
      </c>
      <c r="F77" s="1"/>
      <c r="G77" s="30">
        <f t="shared" si="0"/>
        <v>0</v>
      </c>
      <c r="H77" s="1"/>
      <c r="I77" s="29">
        <f t="shared" si="2"/>
        <v>0</v>
      </c>
      <c r="J77" s="1"/>
    </row>
    <row r="78" spans="1:10" ht="15.5" x14ac:dyDescent="0.35">
      <c r="A78" s="26">
        <f t="shared" si="3"/>
        <v>0</v>
      </c>
      <c r="B78" s="1"/>
      <c r="C78" s="30">
        <f t="shared" si="4"/>
        <v>0</v>
      </c>
      <c r="D78" s="1"/>
      <c r="E78" s="29">
        <f t="shared" si="1"/>
        <v>0</v>
      </c>
      <c r="F78" s="1"/>
      <c r="G78" s="30">
        <f t="shared" si="0"/>
        <v>0</v>
      </c>
      <c r="H78" s="1"/>
      <c r="I78" s="29">
        <f t="shared" si="2"/>
        <v>0</v>
      </c>
      <c r="J78" s="1"/>
    </row>
    <row r="79" spans="1:10" ht="15.5" x14ac:dyDescent="0.35">
      <c r="A79" s="26">
        <f t="shared" si="3"/>
        <v>0</v>
      </c>
      <c r="B79" s="1"/>
      <c r="C79" s="30">
        <f t="shared" si="4"/>
        <v>0</v>
      </c>
      <c r="D79" s="1"/>
      <c r="E79" s="29">
        <f t="shared" si="1"/>
        <v>0</v>
      </c>
      <c r="F79" s="1"/>
      <c r="G79" s="30">
        <f t="shared" ref="G79:G142" si="5">IF(C79&lt;10,0,$E$10-E79)</f>
        <v>0</v>
      </c>
      <c r="H79" s="1"/>
      <c r="I79" s="29">
        <f t="shared" si="2"/>
        <v>0</v>
      </c>
      <c r="J79" s="1"/>
    </row>
    <row r="80" spans="1:10" ht="15.5" x14ac:dyDescent="0.35">
      <c r="A80" s="26">
        <f t="shared" si="3"/>
        <v>0</v>
      </c>
      <c r="B80" s="1"/>
      <c r="C80" s="30">
        <f t="shared" si="4"/>
        <v>0</v>
      </c>
      <c r="D80" s="1"/>
      <c r="E80" s="29">
        <f t="shared" ref="E80:E143" si="6">IF($E$9=0,0,ROUND(C80*($E$9/$E$6),2))</f>
        <v>0</v>
      </c>
      <c r="F80" s="1"/>
      <c r="G80" s="30">
        <f t="shared" si="5"/>
        <v>0</v>
      </c>
      <c r="H80" s="1"/>
      <c r="I80" s="29">
        <f t="shared" si="2"/>
        <v>0</v>
      </c>
      <c r="J80" s="1"/>
    </row>
    <row r="81" spans="1:10" ht="15.5" x14ac:dyDescent="0.35">
      <c r="A81" s="26">
        <f t="shared" si="3"/>
        <v>0</v>
      </c>
      <c r="B81" s="1"/>
      <c r="C81" s="30">
        <f t="shared" si="4"/>
        <v>0</v>
      </c>
      <c r="D81" s="1"/>
      <c r="E81" s="29">
        <f t="shared" si="6"/>
        <v>0</v>
      </c>
      <c r="F81" s="1"/>
      <c r="G81" s="30">
        <f t="shared" si="5"/>
        <v>0</v>
      </c>
      <c r="H81" s="1"/>
      <c r="I81" s="29">
        <f t="shared" ref="I81:I144" si="7">IF(C81-G81&lt;10,0,C81-G81)</f>
        <v>0</v>
      </c>
      <c r="J81" s="1"/>
    </row>
    <row r="82" spans="1:10" ht="15.5" x14ac:dyDescent="0.35">
      <c r="A82" s="26">
        <f t="shared" ref="A82:A145" si="8">IF(I81&lt;10,0,(A81+1))</f>
        <v>0</v>
      </c>
      <c r="B82" s="1"/>
      <c r="C82" s="30">
        <f t="shared" ref="C82:C145" si="9">I81</f>
        <v>0</v>
      </c>
      <c r="D82" s="1"/>
      <c r="E82" s="29">
        <f t="shared" si="6"/>
        <v>0</v>
      </c>
      <c r="F82" s="1"/>
      <c r="G82" s="30">
        <f t="shared" si="5"/>
        <v>0</v>
      </c>
      <c r="H82" s="1"/>
      <c r="I82" s="29">
        <f t="shared" si="7"/>
        <v>0</v>
      </c>
      <c r="J82" s="1"/>
    </row>
    <row r="83" spans="1:10" ht="15.5" x14ac:dyDescent="0.35">
      <c r="A83" s="26">
        <f t="shared" si="8"/>
        <v>0</v>
      </c>
      <c r="B83" s="1"/>
      <c r="C83" s="30">
        <f t="shared" si="9"/>
        <v>0</v>
      </c>
      <c r="D83" s="1"/>
      <c r="E83" s="29">
        <f t="shared" si="6"/>
        <v>0</v>
      </c>
      <c r="F83" s="1"/>
      <c r="G83" s="30">
        <f t="shared" si="5"/>
        <v>0</v>
      </c>
      <c r="H83" s="1"/>
      <c r="I83" s="29">
        <f t="shared" si="7"/>
        <v>0</v>
      </c>
      <c r="J83" s="1"/>
    </row>
    <row r="84" spans="1:10" ht="15.5" x14ac:dyDescent="0.35">
      <c r="A84" s="26">
        <f t="shared" si="8"/>
        <v>0</v>
      </c>
      <c r="B84" s="1"/>
      <c r="C84" s="30">
        <f t="shared" si="9"/>
        <v>0</v>
      </c>
      <c r="D84" s="1"/>
      <c r="E84" s="29">
        <f t="shared" si="6"/>
        <v>0</v>
      </c>
      <c r="F84" s="1"/>
      <c r="G84" s="30">
        <f t="shared" si="5"/>
        <v>0</v>
      </c>
      <c r="H84" s="1"/>
      <c r="I84" s="29">
        <f t="shared" si="7"/>
        <v>0</v>
      </c>
      <c r="J84" s="1"/>
    </row>
    <row r="85" spans="1:10" ht="15.5" x14ac:dyDescent="0.35">
      <c r="A85" s="26">
        <f t="shared" si="8"/>
        <v>0</v>
      </c>
      <c r="B85" s="1"/>
      <c r="C85" s="30">
        <f t="shared" si="9"/>
        <v>0</v>
      </c>
      <c r="D85" s="1"/>
      <c r="E85" s="29">
        <f t="shared" si="6"/>
        <v>0</v>
      </c>
      <c r="F85" s="1"/>
      <c r="G85" s="30">
        <f t="shared" si="5"/>
        <v>0</v>
      </c>
      <c r="H85" s="1"/>
      <c r="I85" s="29">
        <f t="shared" si="7"/>
        <v>0</v>
      </c>
      <c r="J85" s="1"/>
    </row>
    <row r="86" spans="1:10" ht="15.5" x14ac:dyDescent="0.35">
      <c r="A86" s="26">
        <f t="shared" si="8"/>
        <v>0</v>
      </c>
      <c r="B86" s="1"/>
      <c r="C86" s="30">
        <f t="shared" si="9"/>
        <v>0</v>
      </c>
      <c r="D86" s="1"/>
      <c r="E86" s="29">
        <f t="shared" si="6"/>
        <v>0</v>
      </c>
      <c r="F86" s="1"/>
      <c r="G86" s="30">
        <f t="shared" si="5"/>
        <v>0</v>
      </c>
      <c r="H86" s="1"/>
      <c r="I86" s="29">
        <f t="shared" si="7"/>
        <v>0</v>
      </c>
      <c r="J86" s="1"/>
    </row>
    <row r="87" spans="1:10" ht="15.5" x14ac:dyDescent="0.35">
      <c r="A87" s="26">
        <f t="shared" si="8"/>
        <v>0</v>
      </c>
      <c r="B87" s="1"/>
      <c r="C87" s="30">
        <f t="shared" si="9"/>
        <v>0</v>
      </c>
      <c r="D87" s="1"/>
      <c r="E87" s="29">
        <f t="shared" si="6"/>
        <v>0</v>
      </c>
      <c r="F87" s="1"/>
      <c r="G87" s="30">
        <f t="shared" si="5"/>
        <v>0</v>
      </c>
      <c r="H87" s="1"/>
      <c r="I87" s="29">
        <f t="shared" si="7"/>
        <v>0</v>
      </c>
      <c r="J87" s="1"/>
    </row>
    <row r="88" spans="1:10" ht="15.5" x14ac:dyDescent="0.35">
      <c r="A88" s="26">
        <f t="shared" si="8"/>
        <v>0</v>
      </c>
      <c r="B88" s="1"/>
      <c r="C88" s="30">
        <f t="shared" si="9"/>
        <v>0</v>
      </c>
      <c r="D88" s="1"/>
      <c r="E88" s="29">
        <f t="shared" si="6"/>
        <v>0</v>
      </c>
      <c r="F88" s="1"/>
      <c r="G88" s="30">
        <f t="shared" si="5"/>
        <v>0</v>
      </c>
      <c r="H88" s="1"/>
      <c r="I88" s="29">
        <f t="shared" si="7"/>
        <v>0</v>
      </c>
      <c r="J88" s="1"/>
    </row>
    <row r="89" spans="1:10" ht="15.5" x14ac:dyDescent="0.35">
      <c r="A89" s="26">
        <f t="shared" si="8"/>
        <v>0</v>
      </c>
      <c r="B89" s="1"/>
      <c r="C89" s="30">
        <f t="shared" si="9"/>
        <v>0</v>
      </c>
      <c r="D89" s="1"/>
      <c r="E89" s="29">
        <f t="shared" si="6"/>
        <v>0</v>
      </c>
      <c r="F89" s="1"/>
      <c r="G89" s="30">
        <f t="shared" si="5"/>
        <v>0</v>
      </c>
      <c r="H89" s="1"/>
      <c r="I89" s="29">
        <f t="shared" si="7"/>
        <v>0</v>
      </c>
      <c r="J89" s="1"/>
    </row>
    <row r="90" spans="1:10" ht="15.5" x14ac:dyDescent="0.35">
      <c r="A90" s="26">
        <f t="shared" si="8"/>
        <v>0</v>
      </c>
      <c r="B90" s="1"/>
      <c r="C90" s="30">
        <f t="shared" si="9"/>
        <v>0</v>
      </c>
      <c r="D90" s="1"/>
      <c r="E90" s="29">
        <f t="shared" si="6"/>
        <v>0</v>
      </c>
      <c r="F90" s="1"/>
      <c r="G90" s="30">
        <f t="shared" si="5"/>
        <v>0</v>
      </c>
      <c r="H90" s="1"/>
      <c r="I90" s="29">
        <f t="shared" si="7"/>
        <v>0</v>
      </c>
      <c r="J90" s="1"/>
    </row>
    <row r="91" spans="1:10" ht="15.5" x14ac:dyDescent="0.35">
      <c r="A91" s="26">
        <f t="shared" si="8"/>
        <v>0</v>
      </c>
      <c r="B91" s="1"/>
      <c r="C91" s="30">
        <f t="shared" si="9"/>
        <v>0</v>
      </c>
      <c r="D91" s="1"/>
      <c r="E91" s="29">
        <f t="shared" si="6"/>
        <v>0</v>
      </c>
      <c r="F91" s="1"/>
      <c r="G91" s="30">
        <f t="shared" si="5"/>
        <v>0</v>
      </c>
      <c r="H91" s="1"/>
      <c r="I91" s="29">
        <f t="shared" si="7"/>
        <v>0</v>
      </c>
      <c r="J91" s="1"/>
    </row>
    <row r="92" spans="1:10" ht="15.5" x14ac:dyDescent="0.35">
      <c r="A92" s="26">
        <f t="shared" si="8"/>
        <v>0</v>
      </c>
      <c r="B92" s="1"/>
      <c r="C92" s="30">
        <f t="shared" si="9"/>
        <v>0</v>
      </c>
      <c r="D92" s="1"/>
      <c r="E92" s="29">
        <f t="shared" si="6"/>
        <v>0</v>
      </c>
      <c r="F92" s="1"/>
      <c r="G92" s="30">
        <f t="shared" si="5"/>
        <v>0</v>
      </c>
      <c r="H92" s="1"/>
      <c r="I92" s="29">
        <f t="shared" si="7"/>
        <v>0</v>
      </c>
      <c r="J92" s="1"/>
    </row>
    <row r="93" spans="1:10" ht="15.5" x14ac:dyDescent="0.35">
      <c r="A93" s="26">
        <f t="shared" si="8"/>
        <v>0</v>
      </c>
      <c r="B93" s="1"/>
      <c r="C93" s="30">
        <f t="shared" si="9"/>
        <v>0</v>
      </c>
      <c r="D93" s="1"/>
      <c r="E93" s="29">
        <f t="shared" si="6"/>
        <v>0</v>
      </c>
      <c r="F93" s="1"/>
      <c r="G93" s="30">
        <f t="shared" si="5"/>
        <v>0</v>
      </c>
      <c r="H93" s="1"/>
      <c r="I93" s="29">
        <f t="shared" si="7"/>
        <v>0</v>
      </c>
      <c r="J93" s="1"/>
    </row>
    <row r="94" spans="1:10" ht="15.5" x14ac:dyDescent="0.35">
      <c r="A94" s="26">
        <f t="shared" si="8"/>
        <v>0</v>
      </c>
      <c r="B94" s="1"/>
      <c r="C94" s="30">
        <f t="shared" si="9"/>
        <v>0</v>
      </c>
      <c r="D94" s="1"/>
      <c r="E94" s="29">
        <f t="shared" si="6"/>
        <v>0</v>
      </c>
      <c r="F94" s="1"/>
      <c r="G94" s="30">
        <f t="shared" si="5"/>
        <v>0</v>
      </c>
      <c r="H94" s="1"/>
      <c r="I94" s="29">
        <f t="shared" si="7"/>
        <v>0</v>
      </c>
      <c r="J94" s="1"/>
    </row>
    <row r="95" spans="1:10" ht="15.5" x14ac:dyDescent="0.35">
      <c r="A95" s="26">
        <f t="shared" si="8"/>
        <v>0</v>
      </c>
      <c r="B95" s="1"/>
      <c r="C95" s="30">
        <f t="shared" si="9"/>
        <v>0</v>
      </c>
      <c r="D95" s="1"/>
      <c r="E95" s="29">
        <f t="shared" si="6"/>
        <v>0</v>
      </c>
      <c r="F95" s="1"/>
      <c r="G95" s="30">
        <f t="shared" si="5"/>
        <v>0</v>
      </c>
      <c r="H95" s="1"/>
      <c r="I95" s="29">
        <f t="shared" si="7"/>
        <v>0</v>
      </c>
      <c r="J95" s="1"/>
    </row>
    <row r="96" spans="1:10" ht="15.5" x14ac:dyDescent="0.35">
      <c r="A96" s="26">
        <f t="shared" si="8"/>
        <v>0</v>
      </c>
      <c r="B96" s="1"/>
      <c r="C96" s="30">
        <f t="shared" si="9"/>
        <v>0</v>
      </c>
      <c r="D96" s="1"/>
      <c r="E96" s="29">
        <f t="shared" si="6"/>
        <v>0</v>
      </c>
      <c r="F96" s="1"/>
      <c r="G96" s="30">
        <f t="shared" si="5"/>
        <v>0</v>
      </c>
      <c r="H96" s="1"/>
      <c r="I96" s="29">
        <f t="shared" si="7"/>
        <v>0</v>
      </c>
      <c r="J96" s="1"/>
    </row>
    <row r="97" spans="1:10" ht="15.5" x14ac:dyDescent="0.35">
      <c r="A97" s="26">
        <f t="shared" si="8"/>
        <v>0</v>
      </c>
      <c r="B97" s="1"/>
      <c r="C97" s="30">
        <f t="shared" si="9"/>
        <v>0</v>
      </c>
      <c r="D97" s="1"/>
      <c r="E97" s="29">
        <f t="shared" si="6"/>
        <v>0</v>
      </c>
      <c r="F97" s="1"/>
      <c r="G97" s="30">
        <f t="shared" si="5"/>
        <v>0</v>
      </c>
      <c r="H97" s="1"/>
      <c r="I97" s="29">
        <f t="shared" si="7"/>
        <v>0</v>
      </c>
      <c r="J97" s="1"/>
    </row>
    <row r="98" spans="1:10" ht="15.5" x14ac:dyDescent="0.35">
      <c r="A98" s="26">
        <f t="shared" si="8"/>
        <v>0</v>
      </c>
      <c r="B98" s="1"/>
      <c r="C98" s="30">
        <f t="shared" si="9"/>
        <v>0</v>
      </c>
      <c r="D98" s="1"/>
      <c r="E98" s="29">
        <f t="shared" si="6"/>
        <v>0</v>
      </c>
      <c r="F98" s="1"/>
      <c r="G98" s="30">
        <f t="shared" si="5"/>
        <v>0</v>
      </c>
      <c r="H98" s="1"/>
      <c r="I98" s="29">
        <f t="shared" si="7"/>
        <v>0</v>
      </c>
      <c r="J98" s="1"/>
    </row>
    <row r="99" spans="1:10" ht="15.5" x14ac:dyDescent="0.35">
      <c r="A99" s="26">
        <f t="shared" si="8"/>
        <v>0</v>
      </c>
      <c r="B99" s="1"/>
      <c r="C99" s="30">
        <f t="shared" si="9"/>
        <v>0</v>
      </c>
      <c r="D99" s="1"/>
      <c r="E99" s="29">
        <f t="shared" si="6"/>
        <v>0</v>
      </c>
      <c r="F99" s="1"/>
      <c r="G99" s="30">
        <f t="shared" si="5"/>
        <v>0</v>
      </c>
      <c r="H99" s="1"/>
      <c r="I99" s="29">
        <f t="shared" si="7"/>
        <v>0</v>
      </c>
      <c r="J99" s="1"/>
    </row>
    <row r="100" spans="1:10" ht="15.5" x14ac:dyDescent="0.35">
      <c r="A100" s="26">
        <f t="shared" si="8"/>
        <v>0</v>
      </c>
      <c r="B100" s="1"/>
      <c r="C100" s="30">
        <f t="shared" si="9"/>
        <v>0</v>
      </c>
      <c r="D100" s="1"/>
      <c r="E100" s="29">
        <f t="shared" si="6"/>
        <v>0</v>
      </c>
      <c r="F100" s="1"/>
      <c r="G100" s="30">
        <f t="shared" si="5"/>
        <v>0</v>
      </c>
      <c r="H100" s="1"/>
      <c r="I100" s="29">
        <f t="shared" si="7"/>
        <v>0</v>
      </c>
      <c r="J100" s="1"/>
    </row>
    <row r="101" spans="1:10" ht="15.5" x14ac:dyDescent="0.35">
      <c r="A101" s="26">
        <f t="shared" si="8"/>
        <v>0</v>
      </c>
      <c r="B101" s="1"/>
      <c r="C101" s="30">
        <f t="shared" si="9"/>
        <v>0</v>
      </c>
      <c r="D101" s="1"/>
      <c r="E101" s="29">
        <f t="shared" si="6"/>
        <v>0</v>
      </c>
      <c r="F101" s="1"/>
      <c r="G101" s="30">
        <f t="shared" si="5"/>
        <v>0</v>
      </c>
      <c r="H101" s="1"/>
      <c r="I101" s="29">
        <f t="shared" si="7"/>
        <v>0</v>
      </c>
      <c r="J101" s="1"/>
    </row>
    <row r="102" spans="1:10" ht="15.5" x14ac:dyDescent="0.35">
      <c r="A102" s="26">
        <f t="shared" si="8"/>
        <v>0</v>
      </c>
      <c r="B102" s="1"/>
      <c r="C102" s="30">
        <f t="shared" si="9"/>
        <v>0</v>
      </c>
      <c r="D102" s="1"/>
      <c r="E102" s="29">
        <f t="shared" si="6"/>
        <v>0</v>
      </c>
      <c r="F102" s="1"/>
      <c r="G102" s="30">
        <f t="shared" si="5"/>
        <v>0</v>
      </c>
      <c r="H102" s="1"/>
      <c r="I102" s="29">
        <f t="shared" si="7"/>
        <v>0</v>
      </c>
      <c r="J102" s="1"/>
    </row>
    <row r="103" spans="1:10" ht="15.5" x14ac:dyDescent="0.35">
      <c r="A103" s="26">
        <f t="shared" si="8"/>
        <v>0</v>
      </c>
      <c r="B103" s="1"/>
      <c r="C103" s="30">
        <f t="shared" si="9"/>
        <v>0</v>
      </c>
      <c r="D103" s="1"/>
      <c r="E103" s="29">
        <f t="shared" si="6"/>
        <v>0</v>
      </c>
      <c r="F103" s="1"/>
      <c r="G103" s="30">
        <f t="shared" si="5"/>
        <v>0</v>
      </c>
      <c r="H103" s="1"/>
      <c r="I103" s="29">
        <f t="shared" si="7"/>
        <v>0</v>
      </c>
      <c r="J103" s="1"/>
    </row>
    <row r="104" spans="1:10" ht="15.5" x14ac:dyDescent="0.35">
      <c r="A104" s="26">
        <f t="shared" si="8"/>
        <v>0</v>
      </c>
      <c r="B104" s="1"/>
      <c r="C104" s="30">
        <f t="shared" si="9"/>
        <v>0</v>
      </c>
      <c r="D104" s="1"/>
      <c r="E104" s="29">
        <f t="shared" si="6"/>
        <v>0</v>
      </c>
      <c r="F104" s="1"/>
      <c r="G104" s="30">
        <f t="shared" si="5"/>
        <v>0</v>
      </c>
      <c r="H104" s="1"/>
      <c r="I104" s="29">
        <f t="shared" si="7"/>
        <v>0</v>
      </c>
      <c r="J104" s="1"/>
    </row>
    <row r="105" spans="1:10" ht="15.5" x14ac:dyDescent="0.35">
      <c r="A105" s="26">
        <f t="shared" si="8"/>
        <v>0</v>
      </c>
      <c r="B105" s="1"/>
      <c r="C105" s="30">
        <f t="shared" si="9"/>
        <v>0</v>
      </c>
      <c r="D105" s="1"/>
      <c r="E105" s="29">
        <f t="shared" si="6"/>
        <v>0</v>
      </c>
      <c r="F105" s="1"/>
      <c r="G105" s="30">
        <f t="shared" si="5"/>
        <v>0</v>
      </c>
      <c r="H105" s="1"/>
      <c r="I105" s="29">
        <f t="shared" si="7"/>
        <v>0</v>
      </c>
      <c r="J105" s="1"/>
    </row>
    <row r="106" spans="1:10" ht="15.5" x14ac:dyDescent="0.35">
      <c r="A106" s="26">
        <f t="shared" si="8"/>
        <v>0</v>
      </c>
      <c r="B106" s="1"/>
      <c r="C106" s="30">
        <f t="shared" si="9"/>
        <v>0</v>
      </c>
      <c r="D106" s="1"/>
      <c r="E106" s="29">
        <f t="shared" si="6"/>
        <v>0</v>
      </c>
      <c r="F106" s="1"/>
      <c r="G106" s="30">
        <f t="shared" si="5"/>
        <v>0</v>
      </c>
      <c r="H106" s="1"/>
      <c r="I106" s="29">
        <f t="shared" si="7"/>
        <v>0</v>
      </c>
      <c r="J106" s="1"/>
    </row>
    <row r="107" spans="1:10" ht="15.5" x14ac:dyDescent="0.35">
      <c r="A107" s="26">
        <f t="shared" si="8"/>
        <v>0</v>
      </c>
      <c r="B107" s="1"/>
      <c r="C107" s="30">
        <f t="shared" si="9"/>
        <v>0</v>
      </c>
      <c r="D107" s="1"/>
      <c r="E107" s="29">
        <f t="shared" si="6"/>
        <v>0</v>
      </c>
      <c r="F107" s="1"/>
      <c r="G107" s="30">
        <f t="shared" si="5"/>
        <v>0</v>
      </c>
      <c r="H107" s="1"/>
      <c r="I107" s="29">
        <f t="shared" si="7"/>
        <v>0</v>
      </c>
      <c r="J107" s="1"/>
    </row>
    <row r="108" spans="1:10" ht="15.5" x14ac:dyDescent="0.35">
      <c r="A108" s="26">
        <f t="shared" si="8"/>
        <v>0</v>
      </c>
      <c r="B108" s="1"/>
      <c r="C108" s="30">
        <f t="shared" si="9"/>
        <v>0</v>
      </c>
      <c r="D108" s="1"/>
      <c r="E108" s="29">
        <f t="shared" si="6"/>
        <v>0</v>
      </c>
      <c r="F108" s="1"/>
      <c r="G108" s="30">
        <f t="shared" si="5"/>
        <v>0</v>
      </c>
      <c r="H108" s="1"/>
      <c r="I108" s="29">
        <f t="shared" si="7"/>
        <v>0</v>
      </c>
      <c r="J108" s="1"/>
    </row>
    <row r="109" spans="1:10" ht="15.5" x14ac:dyDescent="0.35">
      <c r="A109" s="26">
        <f t="shared" si="8"/>
        <v>0</v>
      </c>
      <c r="B109" s="1"/>
      <c r="C109" s="30">
        <f t="shared" si="9"/>
        <v>0</v>
      </c>
      <c r="D109" s="1"/>
      <c r="E109" s="29">
        <f t="shared" si="6"/>
        <v>0</v>
      </c>
      <c r="F109" s="1"/>
      <c r="G109" s="30">
        <f t="shared" si="5"/>
        <v>0</v>
      </c>
      <c r="H109" s="1"/>
      <c r="I109" s="29">
        <f t="shared" si="7"/>
        <v>0</v>
      </c>
      <c r="J109" s="1"/>
    </row>
    <row r="110" spans="1:10" ht="15.5" x14ac:dyDescent="0.35">
      <c r="A110" s="26">
        <f t="shared" si="8"/>
        <v>0</v>
      </c>
      <c r="B110" s="1"/>
      <c r="C110" s="30">
        <f t="shared" si="9"/>
        <v>0</v>
      </c>
      <c r="D110" s="1"/>
      <c r="E110" s="29">
        <f t="shared" si="6"/>
        <v>0</v>
      </c>
      <c r="F110" s="1"/>
      <c r="G110" s="30">
        <f t="shared" si="5"/>
        <v>0</v>
      </c>
      <c r="H110" s="1"/>
      <c r="I110" s="29">
        <f t="shared" si="7"/>
        <v>0</v>
      </c>
      <c r="J110" s="1"/>
    </row>
    <row r="111" spans="1:10" ht="15.5" x14ac:dyDescent="0.35">
      <c r="A111" s="26">
        <f t="shared" si="8"/>
        <v>0</v>
      </c>
      <c r="B111" s="1"/>
      <c r="C111" s="30">
        <f t="shared" si="9"/>
        <v>0</v>
      </c>
      <c r="D111" s="1"/>
      <c r="E111" s="29">
        <f t="shared" si="6"/>
        <v>0</v>
      </c>
      <c r="F111" s="1"/>
      <c r="G111" s="30">
        <f t="shared" si="5"/>
        <v>0</v>
      </c>
      <c r="H111" s="1"/>
      <c r="I111" s="29">
        <f t="shared" si="7"/>
        <v>0</v>
      </c>
      <c r="J111" s="1"/>
    </row>
    <row r="112" spans="1:10" ht="15.5" x14ac:dyDescent="0.35">
      <c r="A112" s="26">
        <f t="shared" si="8"/>
        <v>0</v>
      </c>
      <c r="B112" s="1"/>
      <c r="C112" s="30">
        <f t="shared" si="9"/>
        <v>0</v>
      </c>
      <c r="D112" s="1"/>
      <c r="E112" s="29">
        <f t="shared" si="6"/>
        <v>0</v>
      </c>
      <c r="F112" s="1"/>
      <c r="G112" s="30">
        <f t="shared" si="5"/>
        <v>0</v>
      </c>
      <c r="H112" s="1"/>
      <c r="I112" s="29">
        <f t="shared" si="7"/>
        <v>0</v>
      </c>
      <c r="J112" s="1"/>
    </row>
    <row r="113" spans="1:10" ht="15.5" x14ac:dyDescent="0.35">
      <c r="A113" s="26">
        <f t="shared" si="8"/>
        <v>0</v>
      </c>
      <c r="B113" s="1"/>
      <c r="C113" s="30">
        <f t="shared" si="9"/>
        <v>0</v>
      </c>
      <c r="D113" s="1"/>
      <c r="E113" s="29">
        <f t="shared" si="6"/>
        <v>0</v>
      </c>
      <c r="F113" s="1"/>
      <c r="G113" s="30">
        <f t="shared" si="5"/>
        <v>0</v>
      </c>
      <c r="H113" s="1"/>
      <c r="I113" s="29">
        <f t="shared" si="7"/>
        <v>0</v>
      </c>
      <c r="J113" s="1"/>
    </row>
    <row r="114" spans="1:10" ht="15.5" x14ac:dyDescent="0.35">
      <c r="A114" s="26">
        <f t="shared" si="8"/>
        <v>0</v>
      </c>
      <c r="B114" s="1"/>
      <c r="C114" s="30">
        <f t="shared" si="9"/>
        <v>0</v>
      </c>
      <c r="D114" s="1"/>
      <c r="E114" s="29">
        <f t="shared" si="6"/>
        <v>0</v>
      </c>
      <c r="F114" s="1"/>
      <c r="G114" s="30">
        <f t="shared" si="5"/>
        <v>0</v>
      </c>
      <c r="H114" s="1"/>
      <c r="I114" s="29">
        <f t="shared" si="7"/>
        <v>0</v>
      </c>
      <c r="J114" s="1"/>
    </row>
    <row r="115" spans="1:10" ht="15.5" x14ac:dyDescent="0.35">
      <c r="A115" s="26">
        <f t="shared" si="8"/>
        <v>0</v>
      </c>
      <c r="B115" s="1"/>
      <c r="C115" s="30">
        <f t="shared" si="9"/>
        <v>0</v>
      </c>
      <c r="D115" s="1"/>
      <c r="E115" s="29">
        <f t="shared" si="6"/>
        <v>0</v>
      </c>
      <c r="F115" s="1"/>
      <c r="G115" s="30">
        <f t="shared" si="5"/>
        <v>0</v>
      </c>
      <c r="H115" s="1"/>
      <c r="I115" s="29">
        <f t="shared" si="7"/>
        <v>0</v>
      </c>
      <c r="J115" s="1"/>
    </row>
    <row r="116" spans="1:10" ht="15.5" x14ac:dyDescent="0.35">
      <c r="A116" s="26">
        <f t="shared" si="8"/>
        <v>0</v>
      </c>
      <c r="B116" s="1"/>
      <c r="C116" s="30">
        <f t="shared" si="9"/>
        <v>0</v>
      </c>
      <c r="D116" s="1"/>
      <c r="E116" s="29">
        <f t="shared" si="6"/>
        <v>0</v>
      </c>
      <c r="F116" s="1"/>
      <c r="G116" s="30">
        <f t="shared" si="5"/>
        <v>0</v>
      </c>
      <c r="H116" s="1"/>
      <c r="I116" s="29">
        <f t="shared" si="7"/>
        <v>0</v>
      </c>
      <c r="J116" s="1"/>
    </row>
    <row r="117" spans="1:10" ht="15.5" x14ac:dyDescent="0.35">
      <c r="A117" s="26">
        <f t="shared" si="8"/>
        <v>0</v>
      </c>
      <c r="B117" s="1"/>
      <c r="C117" s="30">
        <f t="shared" si="9"/>
        <v>0</v>
      </c>
      <c r="D117" s="1"/>
      <c r="E117" s="29">
        <f t="shared" si="6"/>
        <v>0</v>
      </c>
      <c r="F117" s="1"/>
      <c r="G117" s="30">
        <f t="shared" si="5"/>
        <v>0</v>
      </c>
      <c r="H117" s="1"/>
      <c r="I117" s="29">
        <f t="shared" si="7"/>
        <v>0</v>
      </c>
      <c r="J117" s="1"/>
    </row>
    <row r="118" spans="1:10" ht="15.5" x14ac:dyDescent="0.35">
      <c r="A118" s="26">
        <f t="shared" si="8"/>
        <v>0</v>
      </c>
      <c r="B118" s="1"/>
      <c r="C118" s="30">
        <f t="shared" si="9"/>
        <v>0</v>
      </c>
      <c r="D118" s="1"/>
      <c r="E118" s="29">
        <f t="shared" si="6"/>
        <v>0</v>
      </c>
      <c r="F118" s="1"/>
      <c r="G118" s="30">
        <f t="shared" si="5"/>
        <v>0</v>
      </c>
      <c r="H118" s="1"/>
      <c r="I118" s="29">
        <f t="shared" si="7"/>
        <v>0</v>
      </c>
      <c r="J118" s="1"/>
    </row>
    <row r="119" spans="1:10" ht="15.5" x14ac:dyDescent="0.35">
      <c r="A119" s="26">
        <f t="shared" si="8"/>
        <v>0</v>
      </c>
      <c r="B119" s="1"/>
      <c r="C119" s="30">
        <f t="shared" si="9"/>
        <v>0</v>
      </c>
      <c r="D119" s="1"/>
      <c r="E119" s="29">
        <f t="shared" si="6"/>
        <v>0</v>
      </c>
      <c r="F119" s="1"/>
      <c r="G119" s="30">
        <f t="shared" si="5"/>
        <v>0</v>
      </c>
      <c r="H119" s="1"/>
      <c r="I119" s="29">
        <f t="shared" si="7"/>
        <v>0</v>
      </c>
      <c r="J119" s="1"/>
    </row>
    <row r="120" spans="1:10" ht="15.5" x14ac:dyDescent="0.35">
      <c r="A120" s="26">
        <f t="shared" si="8"/>
        <v>0</v>
      </c>
      <c r="B120" s="1"/>
      <c r="C120" s="30">
        <f t="shared" si="9"/>
        <v>0</v>
      </c>
      <c r="D120" s="1"/>
      <c r="E120" s="29">
        <f t="shared" si="6"/>
        <v>0</v>
      </c>
      <c r="F120" s="1"/>
      <c r="G120" s="30">
        <f t="shared" si="5"/>
        <v>0</v>
      </c>
      <c r="H120" s="1"/>
      <c r="I120" s="29">
        <f t="shared" si="7"/>
        <v>0</v>
      </c>
      <c r="J120" s="1"/>
    </row>
    <row r="121" spans="1:10" ht="15.5" x14ac:dyDescent="0.35">
      <c r="A121" s="26">
        <f t="shared" si="8"/>
        <v>0</v>
      </c>
      <c r="B121" s="1"/>
      <c r="C121" s="30">
        <f t="shared" si="9"/>
        <v>0</v>
      </c>
      <c r="D121" s="1"/>
      <c r="E121" s="29">
        <f t="shared" si="6"/>
        <v>0</v>
      </c>
      <c r="F121" s="1"/>
      <c r="G121" s="30">
        <f t="shared" si="5"/>
        <v>0</v>
      </c>
      <c r="H121" s="1"/>
      <c r="I121" s="29">
        <f t="shared" si="7"/>
        <v>0</v>
      </c>
      <c r="J121" s="1"/>
    </row>
    <row r="122" spans="1:10" ht="15.5" x14ac:dyDescent="0.35">
      <c r="A122" s="26">
        <f t="shared" si="8"/>
        <v>0</v>
      </c>
      <c r="B122" s="1"/>
      <c r="C122" s="30">
        <f t="shared" si="9"/>
        <v>0</v>
      </c>
      <c r="D122" s="1"/>
      <c r="E122" s="29">
        <f t="shared" si="6"/>
        <v>0</v>
      </c>
      <c r="F122" s="1"/>
      <c r="G122" s="30">
        <f t="shared" si="5"/>
        <v>0</v>
      </c>
      <c r="H122" s="1"/>
      <c r="I122" s="29">
        <f t="shared" si="7"/>
        <v>0</v>
      </c>
      <c r="J122" s="1"/>
    </row>
    <row r="123" spans="1:10" ht="15.5" x14ac:dyDescent="0.35">
      <c r="A123" s="26">
        <f t="shared" si="8"/>
        <v>0</v>
      </c>
      <c r="B123" s="1"/>
      <c r="C123" s="30">
        <f t="shared" si="9"/>
        <v>0</v>
      </c>
      <c r="D123" s="1"/>
      <c r="E123" s="29">
        <f t="shared" si="6"/>
        <v>0</v>
      </c>
      <c r="F123" s="1"/>
      <c r="G123" s="30">
        <f t="shared" si="5"/>
        <v>0</v>
      </c>
      <c r="H123" s="1"/>
      <c r="I123" s="29">
        <f t="shared" si="7"/>
        <v>0</v>
      </c>
      <c r="J123" s="1"/>
    </row>
    <row r="124" spans="1:10" ht="15.5" x14ac:dyDescent="0.35">
      <c r="A124" s="26">
        <f t="shared" si="8"/>
        <v>0</v>
      </c>
      <c r="B124" s="1"/>
      <c r="C124" s="30">
        <f t="shared" si="9"/>
        <v>0</v>
      </c>
      <c r="D124" s="1"/>
      <c r="E124" s="29">
        <f t="shared" si="6"/>
        <v>0</v>
      </c>
      <c r="F124" s="1"/>
      <c r="G124" s="30">
        <f t="shared" si="5"/>
        <v>0</v>
      </c>
      <c r="H124" s="1"/>
      <c r="I124" s="29">
        <f t="shared" si="7"/>
        <v>0</v>
      </c>
      <c r="J124" s="1"/>
    </row>
    <row r="125" spans="1:10" ht="15.5" x14ac:dyDescent="0.35">
      <c r="A125" s="26">
        <f t="shared" si="8"/>
        <v>0</v>
      </c>
      <c r="B125" s="1"/>
      <c r="C125" s="30">
        <f t="shared" si="9"/>
        <v>0</v>
      </c>
      <c r="D125" s="1"/>
      <c r="E125" s="29">
        <f t="shared" si="6"/>
        <v>0</v>
      </c>
      <c r="F125" s="1"/>
      <c r="G125" s="30">
        <f t="shared" si="5"/>
        <v>0</v>
      </c>
      <c r="H125" s="1"/>
      <c r="I125" s="29">
        <f t="shared" si="7"/>
        <v>0</v>
      </c>
      <c r="J125" s="1"/>
    </row>
    <row r="126" spans="1:10" ht="15.5" x14ac:dyDescent="0.35">
      <c r="A126" s="26">
        <f t="shared" si="8"/>
        <v>0</v>
      </c>
      <c r="B126" s="1"/>
      <c r="C126" s="30">
        <f t="shared" si="9"/>
        <v>0</v>
      </c>
      <c r="D126" s="1"/>
      <c r="E126" s="29">
        <f t="shared" si="6"/>
        <v>0</v>
      </c>
      <c r="F126" s="1"/>
      <c r="G126" s="30">
        <f t="shared" si="5"/>
        <v>0</v>
      </c>
      <c r="H126" s="1"/>
      <c r="I126" s="29">
        <f t="shared" si="7"/>
        <v>0</v>
      </c>
      <c r="J126" s="1"/>
    </row>
    <row r="127" spans="1:10" ht="15.5" x14ac:dyDescent="0.35">
      <c r="A127" s="26">
        <f t="shared" si="8"/>
        <v>0</v>
      </c>
      <c r="B127" s="1"/>
      <c r="C127" s="30">
        <f t="shared" si="9"/>
        <v>0</v>
      </c>
      <c r="D127" s="1"/>
      <c r="E127" s="29">
        <f t="shared" si="6"/>
        <v>0</v>
      </c>
      <c r="F127" s="1"/>
      <c r="G127" s="30">
        <f t="shared" si="5"/>
        <v>0</v>
      </c>
      <c r="H127" s="1"/>
      <c r="I127" s="29">
        <f t="shared" si="7"/>
        <v>0</v>
      </c>
      <c r="J127" s="1"/>
    </row>
    <row r="128" spans="1:10" ht="15.5" x14ac:dyDescent="0.35">
      <c r="A128" s="26">
        <f t="shared" si="8"/>
        <v>0</v>
      </c>
      <c r="B128" s="1"/>
      <c r="C128" s="30">
        <f t="shared" si="9"/>
        <v>0</v>
      </c>
      <c r="D128" s="1"/>
      <c r="E128" s="29">
        <f t="shared" si="6"/>
        <v>0</v>
      </c>
      <c r="F128" s="1"/>
      <c r="G128" s="30">
        <f t="shared" si="5"/>
        <v>0</v>
      </c>
      <c r="H128" s="1"/>
      <c r="I128" s="29">
        <f t="shared" si="7"/>
        <v>0</v>
      </c>
      <c r="J128" s="1"/>
    </row>
    <row r="129" spans="1:10" ht="15.5" x14ac:dyDescent="0.35">
      <c r="A129" s="26">
        <f t="shared" si="8"/>
        <v>0</v>
      </c>
      <c r="B129" s="1"/>
      <c r="C129" s="30">
        <f t="shared" si="9"/>
        <v>0</v>
      </c>
      <c r="D129" s="1"/>
      <c r="E129" s="29">
        <f t="shared" si="6"/>
        <v>0</v>
      </c>
      <c r="F129" s="1"/>
      <c r="G129" s="30">
        <f t="shared" si="5"/>
        <v>0</v>
      </c>
      <c r="H129" s="1"/>
      <c r="I129" s="29">
        <f t="shared" si="7"/>
        <v>0</v>
      </c>
      <c r="J129" s="1"/>
    </row>
    <row r="130" spans="1:10" ht="15.5" x14ac:dyDescent="0.35">
      <c r="A130" s="26">
        <f t="shared" si="8"/>
        <v>0</v>
      </c>
      <c r="B130" s="1"/>
      <c r="C130" s="30">
        <f t="shared" si="9"/>
        <v>0</v>
      </c>
      <c r="D130" s="1"/>
      <c r="E130" s="29">
        <f t="shared" si="6"/>
        <v>0</v>
      </c>
      <c r="F130" s="1"/>
      <c r="G130" s="30">
        <f t="shared" si="5"/>
        <v>0</v>
      </c>
      <c r="H130" s="1"/>
      <c r="I130" s="29">
        <f t="shared" si="7"/>
        <v>0</v>
      </c>
      <c r="J130" s="1"/>
    </row>
    <row r="131" spans="1:10" ht="15.5" x14ac:dyDescent="0.35">
      <c r="A131" s="26">
        <f t="shared" si="8"/>
        <v>0</v>
      </c>
      <c r="B131" s="1"/>
      <c r="C131" s="30">
        <f t="shared" si="9"/>
        <v>0</v>
      </c>
      <c r="D131" s="1"/>
      <c r="E131" s="29">
        <f t="shared" si="6"/>
        <v>0</v>
      </c>
      <c r="F131" s="1"/>
      <c r="G131" s="30">
        <f t="shared" si="5"/>
        <v>0</v>
      </c>
      <c r="H131" s="1"/>
      <c r="I131" s="29">
        <f t="shared" si="7"/>
        <v>0</v>
      </c>
      <c r="J131" s="1"/>
    </row>
    <row r="132" spans="1:10" ht="15.5" x14ac:dyDescent="0.35">
      <c r="A132" s="26">
        <f t="shared" si="8"/>
        <v>0</v>
      </c>
      <c r="B132" s="1"/>
      <c r="C132" s="30">
        <f t="shared" si="9"/>
        <v>0</v>
      </c>
      <c r="D132" s="1"/>
      <c r="E132" s="29">
        <f t="shared" si="6"/>
        <v>0</v>
      </c>
      <c r="F132" s="1"/>
      <c r="G132" s="30">
        <f t="shared" si="5"/>
        <v>0</v>
      </c>
      <c r="H132" s="1"/>
      <c r="I132" s="29">
        <f t="shared" si="7"/>
        <v>0</v>
      </c>
      <c r="J132" s="1"/>
    </row>
    <row r="133" spans="1:10" ht="15.5" x14ac:dyDescent="0.35">
      <c r="A133" s="26">
        <f t="shared" si="8"/>
        <v>0</v>
      </c>
      <c r="B133" s="1"/>
      <c r="C133" s="30">
        <f t="shared" si="9"/>
        <v>0</v>
      </c>
      <c r="D133" s="1"/>
      <c r="E133" s="29">
        <f t="shared" si="6"/>
        <v>0</v>
      </c>
      <c r="F133" s="1"/>
      <c r="G133" s="30">
        <f t="shared" si="5"/>
        <v>0</v>
      </c>
      <c r="H133" s="1"/>
      <c r="I133" s="29">
        <f t="shared" si="7"/>
        <v>0</v>
      </c>
      <c r="J133" s="1"/>
    </row>
    <row r="134" spans="1:10" ht="15.5" x14ac:dyDescent="0.35">
      <c r="A134" s="26">
        <f t="shared" si="8"/>
        <v>0</v>
      </c>
      <c r="B134" s="1"/>
      <c r="C134" s="30">
        <f t="shared" si="9"/>
        <v>0</v>
      </c>
      <c r="D134" s="1"/>
      <c r="E134" s="29">
        <f t="shared" si="6"/>
        <v>0</v>
      </c>
      <c r="F134" s="1"/>
      <c r="G134" s="30">
        <f t="shared" si="5"/>
        <v>0</v>
      </c>
      <c r="H134" s="1"/>
      <c r="I134" s="29">
        <f t="shared" si="7"/>
        <v>0</v>
      </c>
      <c r="J134" s="1"/>
    </row>
    <row r="135" spans="1:10" ht="15.5" x14ac:dyDescent="0.35">
      <c r="A135" s="26">
        <f t="shared" si="8"/>
        <v>0</v>
      </c>
      <c r="B135" s="1"/>
      <c r="C135" s="30">
        <f t="shared" si="9"/>
        <v>0</v>
      </c>
      <c r="D135" s="1"/>
      <c r="E135" s="29">
        <f t="shared" si="6"/>
        <v>0</v>
      </c>
      <c r="F135" s="1"/>
      <c r="G135" s="30">
        <f t="shared" si="5"/>
        <v>0</v>
      </c>
      <c r="H135" s="1"/>
      <c r="I135" s="29">
        <f t="shared" si="7"/>
        <v>0</v>
      </c>
      <c r="J135" s="1"/>
    </row>
    <row r="136" spans="1:10" ht="15.5" x14ac:dyDescent="0.35">
      <c r="A136" s="26">
        <f t="shared" si="8"/>
        <v>0</v>
      </c>
      <c r="B136" s="1"/>
      <c r="C136" s="30">
        <f t="shared" si="9"/>
        <v>0</v>
      </c>
      <c r="D136" s="1"/>
      <c r="E136" s="29">
        <f t="shared" si="6"/>
        <v>0</v>
      </c>
      <c r="F136" s="1"/>
      <c r="G136" s="30">
        <f t="shared" si="5"/>
        <v>0</v>
      </c>
      <c r="H136" s="1"/>
      <c r="I136" s="29">
        <f t="shared" si="7"/>
        <v>0</v>
      </c>
      <c r="J136" s="1"/>
    </row>
    <row r="137" spans="1:10" ht="15.5" x14ac:dyDescent="0.35">
      <c r="A137" s="26">
        <f t="shared" si="8"/>
        <v>0</v>
      </c>
      <c r="B137" s="1"/>
      <c r="C137" s="30">
        <f t="shared" si="9"/>
        <v>0</v>
      </c>
      <c r="D137" s="1"/>
      <c r="E137" s="29">
        <f t="shared" si="6"/>
        <v>0</v>
      </c>
      <c r="F137" s="1"/>
      <c r="G137" s="30">
        <f t="shared" si="5"/>
        <v>0</v>
      </c>
      <c r="H137" s="1"/>
      <c r="I137" s="29">
        <f t="shared" si="7"/>
        <v>0</v>
      </c>
      <c r="J137" s="1"/>
    </row>
    <row r="138" spans="1:10" ht="15.5" x14ac:dyDescent="0.35">
      <c r="A138" s="26">
        <f t="shared" si="8"/>
        <v>0</v>
      </c>
      <c r="B138" s="1"/>
      <c r="C138" s="30">
        <f t="shared" si="9"/>
        <v>0</v>
      </c>
      <c r="D138" s="1"/>
      <c r="E138" s="29">
        <f t="shared" si="6"/>
        <v>0</v>
      </c>
      <c r="F138" s="1"/>
      <c r="G138" s="30">
        <f t="shared" si="5"/>
        <v>0</v>
      </c>
      <c r="H138" s="1"/>
      <c r="I138" s="29">
        <f t="shared" si="7"/>
        <v>0</v>
      </c>
      <c r="J138" s="1"/>
    </row>
    <row r="139" spans="1:10" ht="15.5" x14ac:dyDescent="0.35">
      <c r="A139" s="26">
        <f t="shared" si="8"/>
        <v>0</v>
      </c>
      <c r="B139" s="1"/>
      <c r="C139" s="30">
        <f t="shared" si="9"/>
        <v>0</v>
      </c>
      <c r="D139" s="1"/>
      <c r="E139" s="29">
        <f t="shared" si="6"/>
        <v>0</v>
      </c>
      <c r="F139" s="1"/>
      <c r="G139" s="30">
        <f t="shared" si="5"/>
        <v>0</v>
      </c>
      <c r="H139" s="1"/>
      <c r="I139" s="29">
        <f t="shared" si="7"/>
        <v>0</v>
      </c>
      <c r="J139" s="1"/>
    </row>
    <row r="140" spans="1:10" ht="15.5" x14ac:dyDescent="0.35">
      <c r="A140" s="26">
        <f t="shared" si="8"/>
        <v>0</v>
      </c>
      <c r="B140" s="1"/>
      <c r="C140" s="30">
        <f t="shared" si="9"/>
        <v>0</v>
      </c>
      <c r="D140" s="1"/>
      <c r="E140" s="29">
        <f t="shared" si="6"/>
        <v>0</v>
      </c>
      <c r="F140" s="1"/>
      <c r="G140" s="30">
        <f t="shared" si="5"/>
        <v>0</v>
      </c>
      <c r="H140" s="1"/>
      <c r="I140" s="29">
        <f t="shared" si="7"/>
        <v>0</v>
      </c>
      <c r="J140" s="1"/>
    </row>
    <row r="141" spans="1:10" ht="15.5" x14ac:dyDescent="0.35">
      <c r="A141" s="26">
        <f t="shared" si="8"/>
        <v>0</v>
      </c>
      <c r="B141" s="1"/>
      <c r="C141" s="30">
        <f t="shared" si="9"/>
        <v>0</v>
      </c>
      <c r="D141" s="1"/>
      <c r="E141" s="29">
        <f t="shared" si="6"/>
        <v>0</v>
      </c>
      <c r="F141" s="1"/>
      <c r="G141" s="30">
        <f t="shared" si="5"/>
        <v>0</v>
      </c>
      <c r="H141" s="1"/>
      <c r="I141" s="29">
        <f t="shared" si="7"/>
        <v>0</v>
      </c>
      <c r="J141" s="1"/>
    </row>
    <row r="142" spans="1:10" ht="15.5" x14ac:dyDescent="0.35">
      <c r="A142" s="26">
        <f t="shared" si="8"/>
        <v>0</v>
      </c>
      <c r="B142" s="1"/>
      <c r="C142" s="30">
        <f t="shared" si="9"/>
        <v>0</v>
      </c>
      <c r="D142" s="1"/>
      <c r="E142" s="29">
        <f t="shared" si="6"/>
        <v>0</v>
      </c>
      <c r="F142" s="1"/>
      <c r="G142" s="30">
        <f t="shared" si="5"/>
        <v>0</v>
      </c>
      <c r="H142" s="1"/>
      <c r="I142" s="29">
        <f t="shared" si="7"/>
        <v>0</v>
      </c>
      <c r="J142" s="1"/>
    </row>
    <row r="143" spans="1:10" ht="15.5" x14ac:dyDescent="0.35">
      <c r="A143" s="26">
        <f t="shared" si="8"/>
        <v>0</v>
      </c>
      <c r="B143" s="1"/>
      <c r="C143" s="30">
        <f t="shared" si="9"/>
        <v>0</v>
      </c>
      <c r="D143" s="1"/>
      <c r="E143" s="29">
        <f t="shared" si="6"/>
        <v>0</v>
      </c>
      <c r="F143" s="1"/>
      <c r="G143" s="30">
        <f t="shared" ref="G143:G206" si="10">IF(C143&lt;10,0,$E$10-E143)</f>
        <v>0</v>
      </c>
      <c r="H143" s="1"/>
      <c r="I143" s="29">
        <f t="shared" si="7"/>
        <v>0</v>
      </c>
      <c r="J143" s="1"/>
    </row>
    <row r="144" spans="1:10" ht="15.5" x14ac:dyDescent="0.35">
      <c r="A144" s="26">
        <f t="shared" si="8"/>
        <v>0</v>
      </c>
      <c r="B144" s="1"/>
      <c r="C144" s="30">
        <f t="shared" si="9"/>
        <v>0</v>
      </c>
      <c r="D144" s="1"/>
      <c r="E144" s="29">
        <f t="shared" ref="E144:E207" si="11">IF($E$9=0,0,ROUND(C144*($E$9/$E$6),2))</f>
        <v>0</v>
      </c>
      <c r="F144" s="1"/>
      <c r="G144" s="30">
        <f t="shared" si="10"/>
        <v>0</v>
      </c>
      <c r="H144" s="1"/>
      <c r="I144" s="29">
        <f t="shared" si="7"/>
        <v>0</v>
      </c>
      <c r="J144" s="1"/>
    </row>
    <row r="145" spans="1:10" ht="15.5" x14ac:dyDescent="0.35">
      <c r="A145" s="26">
        <f t="shared" si="8"/>
        <v>0</v>
      </c>
      <c r="B145" s="1"/>
      <c r="C145" s="30">
        <f t="shared" si="9"/>
        <v>0</v>
      </c>
      <c r="D145" s="1"/>
      <c r="E145" s="29">
        <f t="shared" si="11"/>
        <v>0</v>
      </c>
      <c r="F145" s="1"/>
      <c r="G145" s="30">
        <f t="shared" si="10"/>
        <v>0</v>
      </c>
      <c r="H145" s="1"/>
      <c r="I145" s="29">
        <f t="shared" ref="I145:I208" si="12">IF(C145-G145&lt;10,0,C145-G145)</f>
        <v>0</v>
      </c>
      <c r="J145" s="1"/>
    </row>
    <row r="146" spans="1:10" ht="15.5" x14ac:dyDescent="0.35">
      <c r="A146" s="26">
        <f t="shared" ref="A146:A209" si="13">IF(I145&lt;10,0,(A145+1))</f>
        <v>0</v>
      </c>
      <c r="B146" s="1"/>
      <c r="C146" s="30">
        <f t="shared" ref="C146:C209" si="14">I145</f>
        <v>0</v>
      </c>
      <c r="D146" s="1"/>
      <c r="E146" s="29">
        <f t="shared" si="11"/>
        <v>0</v>
      </c>
      <c r="F146" s="1"/>
      <c r="G146" s="30">
        <f t="shared" si="10"/>
        <v>0</v>
      </c>
      <c r="H146" s="1"/>
      <c r="I146" s="29">
        <f t="shared" si="12"/>
        <v>0</v>
      </c>
      <c r="J146" s="1"/>
    </row>
    <row r="147" spans="1:10" ht="15.5" x14ac:dyDescent="0.35">
      <c r="A147" s="26">
        <f t="shared" si="13"/>
        <v>0</v>
      </c>
      <c r="B147" s="1"/>
      <c r="C147" s="30">
        <f t="shared" si="14"/>
        <v>0</v>
      </c>
      <c r="D147" s="1"/>
      <c r="E147" s="29">
        <f t="shared" si="11"/>
        <v>0</v>
      </c>
      <c r="F147" s="1"/>
      <c r="G147" s="30">
        <f t="shared" si="10"/>
        <v>0</v>
      </c>
      <c r="H147" s="1"/>
      <c r="I147" s="29">
        <f t="shared" si="12"/>
        <v>0</v>
      </c>
      <c r="J147" s="1"/>
    </row>
    <row r="148" spans="1:10" ht="15.5" x14ac:dyDescent="0.35">
      <c r="A148" s="26">
        <f t="shared" si="13"/>
        <v>0</v>
      </c>
      <c r="B148" s="1"/>
      <c r="C148" s="30">
        <f t="shared" si="14"/>
        <v>0</v>
      </c>
      <c r="D148" s="1"/>
      <c r="E148" s="29">
        <f t="shared" si="11"/>
        <v>0</v>
      </c>
      <c r="F148" s="1"/>
      <c r="G148" s="30">
        <f t="shared" si="10"/>
        <v>0</v>
      </c>
      <c r="H148" s="1"/>
      <c r="I148" s="29">
        <f t="shared" si="12"/>
        <v>0</v>
      </c>
      <c r="J148" s="1"/>
    </row>
    <row r="149" spans="1:10" ht="15.5" x14ac:dyDescent="0.35">
      <c r="A149" s="26">
        <f t="shared" si="13"/>
        <v>0</v>
      </c>
      <c r="B149" s="1"/>
      <c r="C149" s="30">
        <f t="shared" si="14"/>
        <v>0</v>
      </c>
      <c r="D149" s="1"/>
      <c r="E149" s="29">
        <f t="shared" si="11"/>
        <v>0</v>
      </c>
      <c r="F149" s="1"/>
      <c r="G149" s="30">
        <f t="shared" si="10"/>
        <v>0</v>
      </c>
      <c r="H149" s="1"/>
      <c r="I149" s="29">
        <f t="shared" si="12"/>
        <v>0</v>
      </c>
      <c r="J149" s="1"/>
    </row>
    <row r="150" spans="1:10" ht="15.5" x14ac:dyDescent="0.35">
      <c r="A150" s="26">
        <f t="shared" si="13"/>
        <v>0</v>
      </c>
      <c r="B150" s="1"/>
      <c r="C150" s="30">
        <f t="shared" si="14"/>
        <v>0</v>
      </c>
      <c r="D150" s="1"/>
      <c r="E150" s="29">
        <f t="shared" si="11"/>
        <v>0</v>
      </c>
      <c r="F150" s="1"/>
      <c r="G150" s="30">
        <f t="shared" si="10"/>
        <v>0</v>
      </c>
      <c r="H150" s="1"/>
      <c r="I150" s="29">
        <f t="shared" si="12"/>
        <v>0</v>
      </c>
      <c r="J150" s="1"/>
    </row>
    <row r="151" spans="1:10" ht="15.5" x14ac:dyDescent="0.35">
      <c r="A151" s="26">
        <f t="shared" si="13"/>
        <v>0</v>
      </c>
      <c r="B151" s="1"/>
      <c r="C151" s="30">
        <f t="shared" si="14"/>
        <v>0</v>
      </c>
      <c r="D151" s="1"/>
      <c r="E151" s="29">
        <f t="shared" si="11"/>
        <v>0</v>
      </c>
      <c r="F151" s="1"/>
      <c r="G151" s="30">
        <f t="shared" si="10"/>
        <v>0</v>
      </c>
      <c r="H151" s="1"/>
      <c r="I151" s="29">
        <f t="shared" si="12"/>
        <v>0</v>
      </c>
      <c r="J151" s="1"/>
    </row>
    <row r="152" spans="1:10" ht="15.5" x14ac:dyDescent="0.35">
      <c r="A152" s="26">
        <f t="shared" si="13"/>
        <v>0</v>
      </c>
      <c r="B152" s="1"/>
      <c r="C152" s="30">
        <f t="shared" si="14"/>
        <v>0</v>
      </c>
      <c r="D152" s="1"/>
      <c r="E152" s="29">
        <f t="shared" si="11"/>
        <v>0</v>
      </c>
      <c r="F152" s="1"/>
      <c r="G152" s="30">
        <f t="shared" si="10"/>
        <v>0</v>
      </c>
      <c r="H152" s="1"/>
      <c r="I152" s="29">
        <f t="shared" si="12"/>
        <v>0</v>
      </c>
      <c r="J152" s="1"/>
    </row>
    <row r="153" spans="1:10" ht="15.5" x14ac:dyDescent="0.35">
      <c r="A153" s="26">
        <f t="shared" si="13"/>
        <v>0</v>
      </c>
      <c r="B153" s="1"/>
      <c r="C153" s="30">
        <f t="shared" si="14"/>
        <v>0</v>
      </c>
      <c r="D153" s="1"/>
      <c r="E153" s="29">
        <f t="shared" si="11"/>
        <v>0</v>
      </c>
      <c r="F153" s="1"/>
      <c r="G153" s="30">
        <f t="shared" si="10"/>
        <v>0</v>
      </c>
      <c r="H153" s="1"/>
      <c r="I153" s="29">
        <f t="shared" si="12"/>
        <v>0</v>
      </c>
      <c r="J153" s="1"/>
    </row>
    <row r="154" spans="1:10" ht="15.5" x14ac:dyDescent="0.35">
      <c r="A154" s="26">
        <f t="shared" si="13"/>
        <v>0</v>
      </c>
      <c r="B154" s="1"/>
      <c r="C154" s="30">
        <f t="shared" si="14"/>
        <v>0</v>
      </c>
      <c r="D154" s="1"/>
      <c r="E154" s="29">
        <f t="shared" si="11"/>
        <v>0</v>
      </c>
      <c r="F154" s="1"/>
      <c r="G154" s="30">
        <f t="shared" si="10"/>
        <v>0</v>
      </c>
      <c r="H154" s="1"/>
      <c r="I154" s="29">
        <f t="shared" si="12"/>
        <v>0</v>
      </c>
      <c r="J154" s="1"/>
    </row>
    <row r="155" spans="1:10" ht="15.5" x14ac:dyDescent="0.35">
      <c r="A155" s="26">
        <f t="shared" si="13"/>
        <v>0</v>
      </c>
      <c r="B155" s="1"/>
      <c r="C155" s="30">
        <f t="shared" si="14"/>
        <v>0</v>
      </c>
      <c r="D155" s="1"/>
      <c r="E155" s="29">
        <f t="shared" si="11"/>
        <v>0</v>
      </c>
      <c r="F155" s="1"/>
      <c r="G155" s="30">
        <f t="shared" si="10"/>
        <v>0</v>
      </c>
      <c r="H155" s="1"/>
      <c r="I155" s="29">
        <f t="shared" si="12"/>
        <v>0</v>
      </c>
      <c r="J155" s="1"/>
    </row>
    <row r="156" spans="1:10" ht="15.5" x14ac:dyDescent="0.35">
      <c r="A156" s="26">
        <f t="shared" si="13"/>
        <v>0</v>
      </c>
      <c r="B156" s="1"/>
      <c r="C156" s="30">
        <f t="shared" si="14"/>
        <v>0</v>
      </c>
      <c r="D156" s="1"/>
      <c r="E156" s="29">
        <f t="shared" si="11"/>
        <v>0</v>
      </c>
      <c r="F156" s="1"/>
      <c r="G156" s="30">
        <f t="shared" si="10"/>
        <v>0</v>
      </c>
      <c r="H156" s="1"/>
      <c r="I156" s="29">
        <f t="shared" si="12"/>
        <v>0</v>
      </c>
      <c r="J156" s="1"/>
    </row>
    <row r="157" spans="1:10" ht="15.5" x14ac:dyDescent="0.35">
      <c r="A157" s="26">
        <f t="shared" si="13"/>
        <v>0</v>
      </c>
      <c r="B157" s="1"/>
      <c r="C157" s="30">
        <f t="shared" si="14"/>
        <v>0</v>
      </c>
      <c r="D157" s="1"/>
      <c r="E157" s="29">
        <f t="shared" si="11"/>
        <v>0</v>
      </c>
      <c r="F157" s="1"/>
      <c r="G157" s="30">
        <f t="shared" si="10"/>
        <v>0</v>
      </c>
      <c r="H157" s="1"/>
      <c r="I157" s="29">
        <f t="shared" si="12"/>
        <v>0</v>
      </c>
      <c r="J157" s="1"/>
    </row>
    <row r="158" spans="1:10" ht="15.5" x14ac:dyDescent="0.35">
      <c r="A158" s="26">
        <f t="shared" si="13"/>
        <v>0</v>
      </c>
      <c r="B158" s="1"/>
      <c r="C158" s="30">
        <f t="shared" si="14"/>
        <v>0</v>
      </c>
      <c r="D158" s="1"/>
      <c r="E158" s="29">
        <f t="shared" si="11"/>
        <v>0</v>
      </c>
      <c r="F158" s="1"/>
      <c r="G158" s="30">
        <f t="shared" si="10"/>
        <v>0</v>
      </c>
      <c r="H158" s="1"/>
      <c r="I158" s="29">
        <f t="shared" si="12"/>
        <v>0</v>
      </c>
      <c r="J158" s="1"/>
    </row>
    <row r="159" spans="1:10" ht="15.5" x14ac:dyDescent="0.35">
      <c r="A159" s="26">
        <f t="shared" si="13"/>
        <v>0</v>
      </c>
      <c r="B159" s="1"/>
      <c r="C159" s="30">
        <f t="shared" si="14"/>
        <v>0</v>
      </c>
      <c r="D159" s="1"/>
      <c r="E159" s="29">
        <f t="shared" si="11"/>
        <v>0</v>
      </c>
      <c r="F159" s="1"/>
      <c r="G159" s="30">
        <f t="shared" si="10"/>
        <v>0</v>
      </c>
      <c r="H159" s="1"/>
      <c r="I159" s="29">
        <f t="shared" si="12"/>
        <v>0</v>
      </c>
      <c r="J159" s="1"/>
    </row>
    <row r="160" spans="1:10" ht="15.5" x14ac:dyDescent="0.35">
      <c r="A160" s="26">
        <f t="shared" si="13"/>
        <v>0</v>
      </c>
      <c r="B160" s="1"/>
      <c r="C160" s="30">
        <f t="shared" si="14"/>
        <v>0</v>
      </c>
      <c r="D160" s="1"/>
      <c r="E160" s="29">
        <f t="shared" si="11"/>
        <v>0</v>
      </c>
      <c r="F160" s="1"/>
      <c r="G160" s="30">
        <f t="shared" si="10"/>
        <v>0</v>
      </c>
      <c r="H160" s="1"/>
      <c r="I160" s="29">
        <f t="shared" si="12"/>
        <v>0</v>
      </c>
      <c r="J160" s="1"/>
    </row>
    <row r="161" spans="1:10" ht="15.5" x14ac:dyDescent="0.35">
      <c r="A161" s="26">
        <f t="shared" si="13"/>
        <v>0</v>
      </c>
      <c r="B161" s="1"/>
      <c r="C161" s="30">
        <f t="shared" si="14"/>
        <v>0</v>
      </c>
      <c r="D161" s="1"/>
      <c r="E161" s="29">
        <f t="shared" si="11"/>
        <v>0</v>
      </c>
      <c r="F161" s="1"/>
      <c r="G161" s="30">
        <f t="shared" si="10"/>
        <v>0</v>
      </c>
      <c r="H161" s="1"/>
      <c r="I161" s="29">
        <f t="shared" si="12"/>
        <v>0</v>
      </c>
      <c r="J161" s="1"/>
    </row>
    <row r="162" spans="1:10" ht="15.5" x14ac:dyDescent="0.35">
      <c r="A162" s="26">
        <f t="shared" si="13"/>
        <v>0</v>
      </c>
      <c r="B162" s="1"/>
      <c r="C162" s="30">
        <f t="shared" si="14"/>
        <v>0</v>
      </c>
      <c r="D162" s="1"/>
      <c r="E162" s="29">
        <f t="shared" si="11"/>
        <v>0</v>
      </c>
      <c r="F162" s="1"/>
      <c r="G162" s="30">
        <f t="shared" si="10"/>
        <v>0</v>
      </c>
      <c r="H162" s="1"/>
      <c r="I162" s="29">
        <f t="shared" si="12"/>
        <v>0</v>
      </c>
      <c r="J162" s="1"/>
    </row>
    <row r="163" spans="1:10" ht="15.5" x14ac:dyDescent="0.35">
      <c r="A163" s="26">
        <f t="shared" si="13"/>
        <v>0</v>
      </c>
      <c r="B163" s="1"/>
      <c r="C163" s="30">
        <f t="shared" si="14"/>
        <v>0</v>
      </c>
      <c r="D163" s="1"/>
      <c r="E163" s="29">
        <f t="shared" si="11"/>
        <v>0</v>
      </c>
      <c r="F163" s="1"/>
      <c r="G163" s="30">
        <f t="shared" si="10"/>
        <v>0</v>
      </c>
      <c r="H163" s="1"/>
      <c r="I163" s="29">
        <f t="shared" si="12"/>
        <v>0</v>
      </c>
      <c r="J163" s="1"/>
    </row>
    <row r="164" spans="1:10" ht="15.5" x14ac:dyDescent="0.35">
      <c r="A164" s="26">
        <f t="shared" si="13"/>
        <v>0</v>
      </c>
      <c r="B164" s="1"/>
      <c r="C164" s="30">
        <f t="shared" si="14"/>
        <v>0</v>
      </c>
      <c r="D164" s="1"/>
      <c r="E164" s="29">
        <f t="shared" si="11"/>
        <v>0</v>
      </c>
      <c r="F164" s="1"/>
      <c r="G164" s="30">
        <f t="shared" si="10"/>
        <v>0</v>
      </c>
      <c r="H164" s="1"/>
      <c r="I164" s="29">
        <f t="shared" si="12"/>
        <v>0</v>
      </c>
      <c r="J164" s="1"/>
    </row>
    <row r="165" spans="1:10" ht="15.5" x14ac:dyDescent="0.35">
      <c r="A165" s="26">
        <f t="shared" si="13"/>
        <v>0</v>
      </c>
      <c r="B165" s="1"/>
      <c r="C165" s="30">
        <f t="shared" si="14"/>
        <v>0</v>
      </c>
      <c r="D165" s="1"/>
      <c r="E165" s="29">
        <f t="shared" si="11"/>
        <v>0</v>
      </c>
      <c r="F165" s="1"/>
      <c r="G165" s="30">
        <f t="shared" si="10"/>
        <v>0</v>
      </c>
      <c r="H165" s="1"/>
      <c r="I165" s="29">
        <f t="shared" si="12"/>
        <v>0</v>
      </c>
      <c r="J165" s="1"/>
    </row>
    <row r="166" spans="1:10" ht="15.5" x14ac:dyDescent="0.35">
      <c r="A166" s="26">
        <f t="shared" si="13"/>
        <v>0</v>
      </c>
      <c r="B166" s="1"/>
      <c r="C166" s="30">
        <f t="shared" si="14"/>
        <v>0</v>
      </c>
      <c r="D166" s="1"/>
      <c r="E166" s="29">
        <f t="shared" si="11"/>
        <v>0</v>
      </c>
      <c r="F166" s="1"/>
      <c r="G166" s="30">
        <f t="shared" si="10"/>
        <v>0</v>
      </c>
      <c r="H166" s="1"/>
      <c r="I166" s="29">
        <f t="shared" si="12"/>
        <v>0</v>
      </c>
      <c r="J166" s="1"/>
    </row>
    <row r="167" spans="1:10" ht="15.5" x14ac:dyDescent="0.35">
      <c r="A167" s="26">
        <f t="shared" si="13"/>
        <v>0</v>
      </c>
      <c r="B167" s="1"/>
      <c r="C167" s="30">
        <f t="shared" si="14"/>
        <v>0</v>
      </c>
      <c r="D167" s="1"/>
      <c r="E167" s="29">
        <f t="shared" si="11"/>
        <v>0</v>
      </c>
      <c r="F167" s="1"/>
      <c r="G167" s="30">
        <f t="shared" si="10"/>
        <v>0</v>
      </c>
      <c r="H167" s="1"/>
      <c r="I167" s="29">
        <f t="shared" si="12"/>
        <v>0</v>
      </c>
      <c r="J167" s="1"/>
    </row>
    <row r="168" spans="1:10" ht="15.5" x14ac:dyDescent="0.35">
      <c r="A168" s="26">
        <f t="shared" si="13"/>
        <v>0</v>
      </c>
      <c r="B168" s="1"/>
      <c r="C168" s="30">
        <f t="shared" si="14"/>
        <v>0</v>
      </c>
      <c r="D168" s="1"/>
      <c r="E168" s="29">
        <f t="shared" si="11"/>
        <v>0</v>
      </c>
      <c r="F168" s="1"/>
      <c r="G168" s="30">
        <f t="shared" si="10"/>
        <v>0</v>
      </c>
      <c r="H168" s="1"/>
      <c r="I168" s="29">
        <f t="shared" si="12"/>
        <v>0</v>
      </c>
      <c r="J168" s="1"/>
    </row>
    <row r="169" spans="1:10" ht="15.5" x14ac:dyDescent="0.35">
      <c r="A169" s="26">
        <f t="shared" si="13"/>
        <v>0</v>
      </c>
      <c r="B169" s="1"/>
      <c r="C169" s="30">
        <f t="shared" si="14"/>
        <v>0</v>
      </c>
      <c r="D169" s="1"/>
      <c r="E169" s="29">
        <f t="shared" si="11"/>
        <v>0</v>
      </c>
      <c r="F169" s="1"/>
      <c r="G169" s="30">
        <f t="shared" si="10"/>
        <v>0</v>
      </c>
      <c r="H169" s="1"/>
      <c r="I169" s="29">
        <f t="shared" si="12"/>
        <v>0</v>
      </c>
      <c r="J169" s="1"/>
    </row>
    <row r="170" spans="1:10" ht="15.5" x14ac:dyDescent="0.35">
      <c r="A170" s="26">
        <f t="shared" si="13"/>
        <v>0</v>
      </c>
      <c r="B170" s="1"/>
      <c r="C170" s="30">
        <f t="shared" si="14"/>
        <v>0</v>
      </c>
      <c r="D170" s="1"/>
      <c r="E170" s="29">
        <f t="shared" si="11"/>
        <v>0</v>
      </c>
      <c r="F170" s="1"/>
      <c r="G170" s="30">
        <f t="shared" si="10"/>
        <v>0</v>
      </c>
      <c r="H170" s="1"/>
      <c r="I170" s="29">
        <f t="shared" si="12"/>
        <v>0</v>
      </c>
      <c r="J170" s="1"/>
    </row>
    <row r="171" spans="1:10" ht="15.5" x14ac:dyDescent="0.35">
      <c r="A171" s="26">
        <f t="shared" si="13"/>
        <v>0</v>
      </c>
      <c r="B171" s="1"/>
      <c r="C171" s="30">
        <f t="shared" si="14"/>
        <v>0</v>
      </c>
      <c r="D171" s="1"/>
      <c r="E171" s="29">
        <f t="shared" si="11"/>
        <v>0</v>
      </c>
      <c r="F171" s="1"/>
      <c r="G171" s="30">
        <f t="shared" si="10"/>
        <v>0</v>
      </c>
      <c r="H171" s="1"/>
      <c r="I171" s="29">
        <f t="shared" si="12"/>
        <v>0</v>
      </c>
      <c r="J171" s="1"/>
    </row>
    <row r="172" spans="1:10" ht="15.5" x14ac:dyDescent="0.35">
      <c r="A172" s="26">
        <f t="shared" si="13"/>
        <v>0</v>
      </c>
      <c r="B172" s="1"/>
      <c r="C172" s="30">
        <f t="shared" si="14"/>
        <v>0</v>
      </c>
      <c r="D172" s="1"/>
      <c r="E172" s="29">
        <f t="shared" si="11"/>
        <v>0</v>
      </c>
      <c r="F172" s="1"/>
      <c r="G172" s="30">
        <f t="shared" si="10"/>
        <v>0</v>
      </c>
      <c r="H172" s="1"/>
      <c r="I172" s="29">
        <f t="shared" si="12"/>
        <v>0</v>
      </c>
      <c r="J172" s="1"/>
    </row>
    <row r="173" spans="1:10" ht="15.5" x14ac:dyDescent="0.35">
      <c r="A173" s="26">
        <f t="shared" si="13"/>
        <v>0</v>
      </c>
      <c r="B173" s="1"/>
      <c r="C173" s="30">
        <f t="shared" si="14"/>
        <v>0</v>
      </c>
      <c r="D173" s="1"/>
      <c r="E173" s="29">
        <f t="shared" si="11"/>
        <v>0</v>
      </c>
      <c r="F173" s="1"/>
      <c r="G173" s="30">
        <f t="shared" si="10"/>
        <v>0</v>
      </c>
      <c r="H173" s="1"/>
      <c r="I173" s="29">
        <f t="shared" si="12"/>
        <v>0</v>
      </c>
      <c r="J173" s="1"/>
    </row>
    <row r="174" spans="1:10" ht="15.5" x14ac:dyDescent="0.35">
      <c r="A174" s="26">
        <f t="shared" si="13"/>
        <v>0</v>
      </c>
      <c r="B174" s="1"/>
      <c r="C174" s="30">
        <f t="shared" si="14"/>
        <v>0</v>
      </c>
      <c r="D174" s="1"/>
      <c r="E174" s="29">
        <f t="shared" si="11"/>
        <v>0</v>
      </c>
      <c r="F174" s="1"/>
      <c r="G174" s="30">
        <f t="shared" si="10"/>
        <v>0</v>
      </c>
      <c r="H174" s="1"/>
      <c r="I174" s="29">
        <f t="shared" si="12"/>
        <v>0</v>
      </c>
      <c r="J174" s="1"/>
    </row>
    <row r="175" spans="1:10" ht="15.5" x14ac:dyDescent="0.35">
      <c r="A175" s="26">
        <f t="shared" si="13"/>
        <v>0</v>
      </c>
      <c r="B175" s="1"/>
      <c r="C175" s="30">
        <f t="shared" si="14"/>
        <v>0</v>
      </c>
      <c r="D175" s="1"/>
      <c r="E175" s="29">
        <f t="shared" si="11"/>
        <v>0</v>
      </c>
      <c r="F175" s="1"/>
      <c r="G175" s="30">
        <f t="shared" si="10"/>
        <v>0</v>
      </c>
      <c r="H175" s="1"/>
      <c r="I175" s="29">
        <f t="shared" si="12"/>
        <v>0</v>
      </c>
      <c r="J175" s="1"/>
    </row>
    <row r="176" spans="1:10" ht="15.5" x14ac:dyDescent="0.35">
      <c r="A176" s="26">
        <f t="shared" si="13"/>
        <v>0</v>
      </c>
      <c r="B176" s="1"/>
      <c r="C176" s="30">
        <f t="shared" si="14"/>
        <v>0</v>
      </c>
      <c r="D176" s="1"/>
      <c r="E176" s="29">
        <f t="shared" si="11"/>
        <v>0</v>
      </c>
      <c r="F176" s="1"/>
      <c r="G176" s="30">
        <f t="shared" si="10"/>
        <v>0</v>
      </c>
      <c r="H176" s="1"/>
      <c r="I176" s="29">
        <f t="shared" si="12"/>
        <v>0</v>
      </c>
      <c r="J176" s="1"/>
    </row>
    <row r="177" spans="1:10" ht="15.5" x14ac:dyDescent="0.35">
      <c r="A177" s="26">
        <f t="shared" si="13"/>
        <v>0</v>
      </c>
      <c r="B177" s="1"/>
      <c r="C177" s="30">
        <f t="shared" si="14"/>
        <v>0</v>
      </c>
      <c r="D177" s="1"/>
      <c r="E177" s="29">
        <f t="shared" si="11"/>
        <v>0</v>
      </c>
      <c r="F177" s="1"/>
      <c r="G177" s="30">
        <f t="shared" si="10"/>
        <v>0</v>
      </c>
      <c r="H177" s="1"/>
      <c r="I177" s="29">
        <f t="shared" si="12"/>
        <v>0</v>
      </c>
      <c r="J177" s="1"/>
    </row>
    <row r="178" spans="1:10" ht="15.5" x14ac:dyDescent="0.35">
      <c r="A178" s="26">
        <f t="shared" si="13"/>
        <v>0</v>
      </c>
      <c r="B178" s="1"/>
      <c r="C178" s="30">
        <f t="shared" si="14"/>
        <v>0</v>
      </c>
      <c r="D178" s="1"/>
      <c r="E178" s="29">
        <f t="shared" si="11"/>
        <v>0</v>
      </c>
      <c r="F178" s="1"/>
      <c r="G178" s="30">
        <f t="shared" si="10"/>
        <v>0</v>
      </c>
      <c r="H178" s="1"/>
      <c r="I178" s="29">
        <f t="shared" si="12"/>
        <v>0</v>
      </c>
      <c r="J178" s="1"/>
    </row>
    <row r="179" spans="1:10" ht="15.5" x14ac:dyDescent="0.35">
      <c r="A179" s="26">
        <f t="shared" si="13"/>
        <v>0</v>
      </c>
      <c r="B179" s="1"/>
      <c r="C179" s="30">
        <f t="shared" si="14"/>
        <v>0</v>
      </c>
      <c r="D179" s="1"/>
      <c r="E179" s="29">
        <f t="shared" si="11"/>
        <v>0</v>
      </c>
      <c r="F179" s="1"/>
      <c r="G179" s="30">
        <f t="shared" si="10"/>
        <v>0</v>
      </c>
      <c r="H179" s="1"/>
      <c r="I179" s="29">
        <f t="shared" si="12"/>
        <v>0</v>
      </c>
      <c r="J179" s="1"/>
    </row>
    <row r="180" spans="1:10" ht="15.5" x14ac:dyDescent="0.35">
      <c r="A180" s="26">
        <f t="shared" si="13"/>
        <v>0</v>
      </c>
      <c r="B180" s="1"/>
      <c r="C180" s="30">
        <f t="shared" si="14"/>
        <v>0</v>
      </c>
      <c r="D180" s="1"/>
      <c r="E180" s="29">
        <f t="shared" si="11"/>
        <v>0</v>
      </c>
      <c r="F180" s="1"/>
      <c r="G180" s="30">
        <f t="shared" si="10"/>
        <v>0</v>
      </c>
      <c r="H180" s="1"/>
      <c r="I180" s="29">
        <f t="shared" si="12"/>
        <v>0</v>
      </c>
      <c r="J180" s="1"/>
    </row>
    <row r="181" spans="1:10" ht="15.5" x14ac:dyDescent="0.35">
      <c r="A181" s="26">
        <f t="shared" si="13"/>
        <v>0</v>
      </c>
      <c r="B181" s="1"/>
      <c r="C181" s="30">
        <f t="shared" si="14"/>
        <v>0</v>
      </c>
      <c r="D181" s="1"/>
      <c r="E181" s="29">
        <f t="shared" si="11"/>
        <v>0</v>
      </c>
      <c r="F181" s="1"/>
      <c r="G181" s="30">
        <f t="shared" si="10"/>
        <v>0</v>
      </c>
      <c r="H181" s="1"/>
      <c r="I181" s="29">
        <f t="shared" si="12"/>
        <v>0</v>
      </c>
      <c r="J181" s="1"/>
    </row>
    <row r="182" spans="1:10" ht="15.5" x14ac:dyDescent="0.35">
      <c r="A182" s="26">
        <f t="shared" si="13"/>
        <v>0</v>
      </c>
      <c r="B182" s="1"/>
      <c r="C182" s="30">
        <f t="shared" si="14"/>
        <v>0</v>
      </c>
      <c r="D182" s="1"/>
      <c r="E182" s="29">
        <f t="shared" si="11"/>
        <v>0</v>
      </c>
      <c r="F182" s="1"/>
      <c r="G182" s="30">
        <f t="shared" si="10"/>
        <v>0</v>
      </c>
      <c r="H182" s="1"/>
      <c r="I182" s="29">
        <f t="shared" si="12"/>
        <v>0</v>
      </c>
      <c r="J182" s="1"/>
    </row>
    <row r="183" spans="1:10" ht="15.5" x14ac:dyDescent="0.35">
      <c r="A183" s="26">
        <f t="shared" si="13"/>
        <v>0</v>
      </c>
      <c r="B183" s="1"/>
      <c r="C183" s="30">
        <f t="shared" si="14"/>
        <v>0</v>
      </c>
      <c r="D183" s="1"/>
      <c r="E183" s="29">
        <f t="shared" si="11"/>
        <v>0</v>
      </c>
      <c r="F183" s="1"/>
      <c r="G183" s="30">
        <f t="shared" si="10"/>
        <v>0</v>
      </c>
      <c r="H183" s="1"/>
      <c r="I183" s="29">
        <f t="shared" si="12"/>
        <v>0</v>
      </c>
      <c r="J183" s="1"/>
    </row>
    <row r="184" spans="1:10" ht="15.5" x14ac:dyDescent="0.35">
      <c r="A184" s="26">
        <f t="shared" si="13"/>
        <v>0</v>
      </c>
      <c r="B184" s="1"/>
      <c r="C184" s="30">
        <f t="shared" si="14"/>
        <v>0</v>
      </c>
      <c r="D184" s="1"/>
      <c r="E184" s="29">
        <f t="shared" si="11"/>
        <v>0</v>
      </c>
      <c r="F184" s="1"/>
      <c r="G184" s="30">
        <f t="shared" si="10"/>
        <v>0</v>
      </c>
      <c r="H184" s="1"/>
      <c r="I184" s="29">
        <f t="shared" si="12"/>
        <v>0</v>
      </c>
      <c r="J184" s="1"/>
    </row>
    <row r="185" spans="1:10" ht="15.5" x14ac:dyDescent="0.35">
      <c r="A185" s="26">
        <f t="shared" si="13"/>
        <v>0</v>
      </c>
      <c r="B185" s="1"/>
      <c r="C185" s="30">
        <f t="shared" si="14"/>
        <v>0</v>
      </c>
      <c r="D185" s="1"/>
      <c r="E185" s="29">
        <f t="shared" si="11"/>
        <v>0</v>
      </c>
      <c r="F185" s="1"/>
      <c r="G185" s="30">
        <f t="shared" si="10"/>
        <v>0</v>
      </c>
      <c r="H185" s="1"/>
      <c r="I185" s="29">
        <f t="shared" si="12"/>
        <v>0</v>
      </c>
      <c r="J185" s="1"/>
    </row>
    <row r="186" spans="1:10" ht="15.5" x14ac:dyDescent="0.35">
      <c r="A186" s="26">
        <f t="shared" si="13"/>
        <v>0</v>
      </c>
      <c r="B186" s="1"/>
      <c r="C186" s="30">
        <f t="shared" si="14"/>
        <v>0</v>
      </c>
      <c r="D186" s="1"/>
      <c r="E186" s="29">
        <f t="shared" si="11"/>
        <v>0</v>
      </c>
      <c r="F186" s="1"/>
      <c r="G186" s="30">
        <f t="shared" si="10"/>
        <v>0</v>
      </c>
      <c r="H186" s="1"/>
      <c r="I186" s="29">
        <f t="shared" si="12"/>
        <v>0</v>
      </c>
      <c r="J186" s="1"/>
    </row>
    <row r="187" spans="1:10" ht="15.5" x14ac:dyDescent="0.35">
      <c r="A187" s="26">
        <f t="shared" si="13"/>
        <v>0</v>
      </c>
      <c r="B187" s="1"/>
      <c r="C187" s="30">
        <f t="shared" si="14"/>
        <v>0</v>
      </c>
      <c r="D187" s="1"/>
      <c r="E187" s="29">
        <f t="shared" si="11"/>
        <v>0</v>
      </c>
      <c r="F187" s="1"/>
      <c r="G187" s="30">
        <f t="shared" si="10"/>
        <v>0</v>
      </c>
      <c r="H187" s="1"/>
      <c r="I187" s="29">
        <f t="shared" si="12"/>
        <v>0</v>
      </c>
      <c r="J187" s="1"/>
    </row>
    <row r="188" spans="1:10" ht="15.5" x14ac:dyDescent="0.35">
      <c r="A188" s="26">
        <f t="shared" si="13"/>
        <v>0</v>
      </c>
      <c r="B188" s="1"/>
      <c r="C188" s="30">
        <f t="shared" si="14"/>
        <v>0</v>
      </c>
      <c r="D188" s="1"/>
      <c r="E188" s="29">
        <f t="shared" si="11"/>
        <v>0</v>
      </c>
      <c r="F188" s="1"/>
      <c r="G188" s="30">
        <f t="shared" si="10"/>
        <v>0</v>
      </c>
      <c r="H188" s="1"/>
      <c r="I188" s="29">
        <f t="shared" si="12"/>
        <v>0</v>
      </c>
      <c r="J188" s="1"/>
    </row>
    <row r="189" spans="1:10" ht="15.5" x14ac:dyDescent="0.35">
      <c r="A189" s="26">
        <f t="shared" si="13"/>
        <v>0</v>
      </c>
      <c r="B189" s="1"/>
      <c r="C189" s="30">
        <f t="shared" si="14"/>
        <v>0</v>
      </c>
      <c r="D189" s="1"/>
      <c r="E189" s="29">
        <f t="shared" si="11"/>
        <v>0</v>
      </c>
      <c r="F189" s="1"/>
      <c r="G189" s="30">
        <f t="shared" si="10"/>
        <v>0</v>
      </c>
      <c r="H189" s="1"/>
      <c r="I189" s="29">
        <f t="shared" si="12"/>
        <v>0</v>
      </c>
      <c r="J189" s="1"/>
    </row>
    <row r="190" spans="1:10" ht="15.5" x14ac:dyDescent="0.35">
      <c r="A190" s="26">
        <f t="shared" si="13"/>
        <v>0</v>
      </c>
      <c r="B190" s="1"/>
      <c r="C190" s="30">
        <f t="shared" si="14"/>
        <v>0</v>
      </c>
      <c r="D190" s="1"/>
      <c r="E190" s="29">
        <f t="shared" si="11"/>
        <v>0</v>
      </c>
      <c r="F190" s="1"/>
      <c r="G190" s="30">
        <f t="shared" si="10"/>
        <v>0</v>
      </c>
      <c r="H190" s="1"/>
      <c r="I190" s="29">
        <f t="shared" si="12"/>
        <v>0</v>
      </c>
      <c r="J190" s="1"/>
    </row>
    <row r="191" spans="1:10" ht="15.5" x14ac:dyDescent="0.35">
      <c r="A191" s="26">
        <f t="shared" si="13"/>
        <v>0</v>
      </c>
      <c r="B191" s="1"/>
      <c r="C191" s="30">
        <f t="shared" si="14"/>
        <v>0</v>
      </c>
      <c r="D191" s="1"/>
      <c r="E191" s="29">
        <f t="shared" si="11"/>
        <v>0</v>
      </c>
      <c r="F191" s="1"/>
      <c r="G191" s="30">
        <f t="shared" si="10"/>
        <v>0</v>
      </c>
      <c r="H191" s="1"/>
      <c r="I191" s="29">
        <f t="shared" si="12"/>
        <v>0</v>
      </c>
      <c r="J191" s="1"/>
    </row>
    <row r="192" spans="1:10" ht="15.5" x14ac:dyDescent="0.35">
      <c r="A192" s="26">
        <f t="shared" si="13"/>
        <v>0</v>
      </c>
      <c r="B192" s="1"/>
      <c r="C192" s="30">
        <f t="shared" si="14"/>
        <v>0</v>
      </c>
      <c r="D192" s="1"/>
      <c r="E192" s="29">
        <f t="shared" si="11"/>
        <v>0</v>
      </c>
      <c r="F192" s="1"/>
      <c r="G192" s="30">
        <f t="shared" si="10"/>
        <v>0</v>
      </c>
      <c r="H192" s="1"/>
      <c r="I192" s="29">
        <f t="shared" si="12"/>
        <v>0</v>
      </c>
      <c r="J192" s="1"/>
    </row>
    <row r="193" spans="1:10" ht="15.5" x14ac:dyDescent="0.35">
      <c r="A193" s="26">
        <f t="shared" si="13"/>
        <v>0</v>
      </c>
      <c r="B193" s="1"/>
      <c r="C193" s="30">
        <f t="shared" si="14"/>
        <v>0</v>
      </c>
      <c r="D193" s="1"/>
      <c r="E193" s="29">
        <f t="shared" si="11"/>
        <v>0</v>
      </c>
      <c r="F193" s="1"/>
      <c r="G193" s="30">
        <f t="shared" si="10"/>
        <v>0</v>
      </c>
      <c r="H193" s="1"/>
      <c r="I193" s="29">
        <f t="shared" si="12"/>
        <v>0</v>
      </c>
      <c r="J193" s="1"/>
    </row>
    <row r="194" spans="1:10" ht="15.5" x14ac:dyDescent="0.35">
      <c r="A194" s="26">
        <f t="shared" si="13"/>
        <v>0</v>
      </c>
      <c r="B194" s="1"/>
      <c r="C194" s="30">
        <f t="shared" si="14"/>
        <v>0</v>
      </c>
      <c r="D194" s="1"/>
      <c r="E194" s="29">
        <f t="shared" si="11"/>
        <v>0</v>
      </c>
      <c r="F194" s="1"/>
      <c r="G194" s="30">
        <f t="shared" si="10"/>
        <v>0</v>
      </c>
      <c r="H194" s="1"/>
      <c r="I194" s="29">
        <f t="shared" si="12"/>
        <v>0</v>
      </c>
      <c r="J194" s="1"/>
    </row>
    <row r="195" spans="1:10" ht="15.5" x14ac:dyDescent="0.35">
      <c r="A195" s="26">
        <f t="shared" si="13"/>
        <v>0</v>
      </c>
      <c r="B195" s="1"/>
      <c r="C195" s="30">
        <f t="shared" si="14"/>
        <v>0</v>
      </c>
      <c r="D195" s="1"/>
      <c r="E195" s="29">
        <f t="shared" si="11"/>
        <v>0</v>
      </c>
      <c r="F195" s="1"/>
      <c r="G195" s="30">
        <f t="shared" si="10"/>
        <v>0</v>
      </c>
      <c r="H195" s="1"/>
      <c r="I195" s="29">
        <f t="shared" si="12"/>
        <v>0</v>
      </c>
      <c r="J195" s="1"/>
    </row>
    <row r="196" spans="1:10" ht="15.5" x14ac:dyDescent="0.35">
      <c r="A196" s="26">
        <f t="shared" si="13"/>
        <v>0</v>
      </c>
      <c r="B196" s="1"/>
      <c r="C196" s="30">
        <f t="shared" si="14"/>
        <v>0</v>
      </c>
      <c r="D196" s="1"/>
      <c r="E196" s="29">
        <f t="shared" si="11"/>
        <v>0</v>
      </c>
      <c r="F196" s="1"/>
      <c r="G196" s="30">
        <f t="shared" si="10"/>
        <v>0</v>
      </c>
      <c r="H196" s="1"/>
      <c r="I196" s="29">
        <f t="shared" si="12"/>
        <v>0</v>
      </c>
      <c r="J196" s="1"/>
    </row>
    <row r="197" spans="1:10" ht="15.5" x14ac:dyDescent="0.35">
      <c r="A197" s="26">
        <f t="shared" si="13"/>
        <v>0</v>
      </c>
      <c r="B197" s="1"/>
      <c r="C197" s="30">
        <f t="shared" si="14"/>
        <v>0</v>
      </c>
      <c r="D197" s="1"/>
      <c r="E197" s="29">
        <f t="shared" si="11"/>
        <v>0</v>
      </c>
      <c r="F197" s="1"/>
      <c r="G197" s="30">
        <f t="shared" si="10"/>
        <v>0</v>
      </c>
      <c r="H197" s="1"/>
      <c r="I197" s="29">
        <f t="shared" si="12"/>
        <v>0</v>
      </c>
      <c r="J197" s="1"/>
    </row>
    <row r="198" spans="1:10" ht="15.5" x14ac:dyDescent="0.35">
      <c r="A198" s="26">
        <f t="shared" si="13"/>
        <v>0</v>
      </c>
      <c r="B198" s="1"/>
      <c r="C198" s="30">
        <f t="shared" si="14"/>
        <v>0</v>
      </c>
      <c r="D198" s="1"/>
      <c r="E198" s="29">
        <f t="shared" si="11"/>
        <v>0</v>
      </c>
      <c r="F198" s="1"/>
      <c r="G198" s="30">
        <f t="shared" si="10"/>
        <v>0</v>
      </c>
      <c r="H198" s="1"/>
      <c r="I198" s="29">
        <f t="shared" si="12"/>
        <v>0</v>
      </c>
      <c r="J198" s="1"/>
    </row>
    <row r="199" spans="1:10" ht="15.5" x14ac:dyDescent="0.35">
      <c r="A199" s="26">
        <f t="shared" si="13"/>
        <v>0</v>
      </c>
      <c r="B199" s="1"/>
      <c r="C199" s="30">
        <f t="shared" si="14"/>
        <v>0</v>
      </c>
      <c r="D199" s="1"/>
      <c r="E199" s="29">
        <f t="shared" si="11"/>
        <v>0</v>
      </c>
      <c r="F199" s="1"/>
      <c r="G199" s="30">
        <f t="shared" si="10"/>
        <v>0</v>
      </c>
      <c r="H199" s="1"/>
      <c r="I199" s="29">
        <f t="shared" si="12"/>
        <v>0</v>
      </c>
      <c r="J199" s="1"/>
    </row>
    <row r="200" spans="1:10" ht="15.5" x14ac:dyDescent="0.35">
      <c r="A200" s="26">
        <f t="shared" si="13"/>
        <v>0</v>
      </c>
      <c r="B200" s="1"/>
      <c r="C200" s="30">
        <f t="shared" si="14"/>
        <v>0</v>
      </c>
      <c r="D200" s="1"/>
      <c r="E200" s="29">
        <f t="shared" si="11"/>
        <v>0</v>
      </c>
      <c r="F200" s="1"/>
      <c r="G200" s="30">
        <f t="shared" si="10"/>
        <v>0</v>
      </c>
      <c r="H200" s="1"/>
      <c r="I200" s="29">
        <f t="shared" si="12"/>
        <v>0</v>
      </c>
      <c r="J200" s="1"/>
    </row>
    <row r="201" spans="1:10" ht="15.5" x14ac:dyDescent="0.35">
      <c r="A201" s="26">
        <f t="shared" si="13"/>
        <v>0</v>
      </c>
      <c r="B201" s="1"/>
      <c r="C201" s="30">
        <f t="shared" si="14"/>
        <v>0</v>
      </c>
      <c r="D201" s="1"/>
      <c r="E201" s="29">
        <f t="shared" si="11"/>
        <v>0</v>
      </c>
      <c r="F201" s="1"/>
      <c r="G201" s="30">
        <f t="shared" si="10"/>
        <v>0</v>
      </c>
      <c r="H201" s="1"/>
      <c r="I201" s="29">
        <f t="shared" si="12"/>
        <v>0</v>
      </c>
      <c r="J201" s="1"/>
    </row>
    <row r="202" spans="1:10" ht="15.5" x14ac:dyDescent="0.35">
      <c r="A202" s="26">
        <f t="shared" si="13"/>
        <v>0</v>
      </c>
      <c r="B202" s="1"/>
      <c r="C202" s="30">
        <f t="shared" si="14"/>
        <v>0</v>
      </c>
      <c r="D202" s="1"/>
      <c r="E202" s="29">
        <f t="shared" si="11"/>
        <v>0</v>
      </c>
      <c r="F202" s="1"/>
      <c r="G202" s="30">
        <f t="shared" si="10"/>
        <v>0</v>
      </c>
      <c r="H202" s="1"/>
      <c r="I202" s="29">
        <f t="shared" si="12"/>
        <v>0</v>
      </c>
      <c r="J202" s="1"/>
    </row>
    <row r="203" spans="1:10" ht="15.5" x14ac:dyDescent="0.35">
      <c r="A203" s="26">
        <f t="shared" si="13"/>
        <v>0</v>
      </c>
      <c r="B203" s="1"/>
      <c r="C203" s="30">
        <f t="shared" si="14"/>
        <v>0</v>
      </c>
      <c r="D203" s="1"/>
      <c r="E203" s="29">
        <f t="shared" si="11"/>
        <v>0</v>
      </c>
      <c r="F203" s="1"/>
      <c r="G203" s="30">
        <f t="shared" si="10"/>
        <v>0</v>
      </c>
      <c r="H203" s="1"/>
      <c r="I203" s="29">
        <f t="shared" si="12"/>
        <v>0</v>
      </c>
      <c r="J203" s="1"/>
    </row>
    <row r="204" spans="1:10" ht="15.5" x14ac:dyDescent="0.35">
      <c r="A204" s="26">
        <f t="shared" si="13"/>
        <v>0</v>
      </c>
      <c r="B204" s="1"/>
      <c r="C204" s="30">
        <f t="shared" si="14"/>
        <v>0</v>
      </c>
      <c r="D204" s="1"/>
      <c r="E204" s="29">
        <f t="shared" si="11"/>
        <v>0</v>
      </c>
      <c r="F204" s="1"/>
      <c r="G204" s="30">
        <f t="shared" si="10"/>
        <v>0</v>
      </c>
      <c r="H204" s="1"/>
      <c r="I204" s="29">
        <f t="shared" si="12"/>
        <v>0</v>
      </c>
      <c r="J204" s="1"/>
    </row>
    <row r="205" spans="1:10" ht="15.5" x14ac:dyDescent="0.35">
      <c r="A205" s="26">
        <f t="shared" si="13"/>
        <v>0</v>
      </c>
      <c r="B205" s="1"/>
      <c r="C205" s="30">
        <f t="shared" si="14"/>
        <v>0</v>
      </c>
      <c r="D205" s="1"/>
      <c r="E205" s="29">
        <f t="shared" si="11"/>
        <v>0</v>
      </c>
      <c r="F205" s="1"/>
      <c r="G205" s="30">
        <f t="shared" si="10"/>
        <v>0</v>
      </c>
      <c r="H205" s="1"/>
      <c r="I205" s="29">
        <f t="shared" si="12"/>
        <v>0</v>
      </c>
      <c r="J205" s="1"/>
    </row>
    <row r="206" spans="1:10" ht="15.5" x14ac:dyDescent="0.35">
      <c r="A206" s="26">
        <f t="shared" si="13"/>
        <v>0</v>
      </c>
      <c r="B206" s="1"/>
      <c r="C206" s="30">
        <f t="shared" si="14"/>
        <v>0</v>
      </c>
      <c r="D206" s="1"/>
      <c r="E206" s="29">
        <f t="shared" si="11"/>
        <v>0</v>
      </c>
      <c r="F206" s="1"/>
      <c r="G206" s="30">
        <f t="shared" si="10"/>
        <v>0</v>
      </c>
      <c r="H206" s="1"/>
      <c r="I206" s="29">
        <f t="shared" si="12"/>
        <v>0</v>
      </c>
      <c r="J206" s="1"/>
    </row>
    <row r="207" spans="1:10" ht="15.5" x14ac:dyDescent="0.35">
      <c r="A207" s="26">
        <f t="shared" si="13"/>
        <v>0</v>
      </c>
      <c r="B207" s="1"/>
      <c r="C207" s="30">
        <f t="shared" si="14"/>
        <v>0</v>
      </c>
      <c r="D207" s="1"/>
      <c r="E207" s="29">
        <f t="shared" si="11"/>
        <v>0</v>
      </c>
      <c r="F207" s="1"/>
      <c r="G207" s="30">
        <f t="shared" ref="G207:G270" si="15">IF(C207&lt;10,0,$E$10-E207)</f>
        <v>0</v>
      </c>
      <c r="H207" s="1"/>
      <c r="I207" s="29">
        <f t="shared" si="12"/>
        <v>0</v>
      </c>
      <c r="J207" s="1"/>
    </row>
    <row r="208" spans="1:10" ht="15.5" x14ac:dyDescent="0.35">
      <c r="A208" s="26">
        <f t="shared" si="13"/>
        <v>0</v>
      </c>
      <c r="B208" s="1"/>
      <c r="C208" s="30">
        <f t="shared" si="14"/>
        <v>0</v>
      </c>
      <c r="D208" s="1"/>
      <c r="E208" s="29">
        <f t="shared" ref="E208:E271" si="16">IF($E$9=0,0,ROUND(C208*($E$9/$E$6),2))</f>
        <v>0</v>
      </c>
      <c r="F208" s="1"/>
      <c r="G208" s="30">
        <f t="shared" si="15"/>
        <v>0</v>
      </c>
      <c r="H208" s="1"/>
      <c r="I208" s="29">
        <f t="shared" si="12"/>
        <v>0</v>
      </c>
      <c r="J208" s="1"/>
    </row>
    <row r="209" spans="1:10" ht="15.5" x14ac:dyDescent="0.35">
      <c r="A209" s="26">
        <f t="shared" si="13"/>
        <v>0</v>
      </c>
      <c r="B209" s="1"/>
      <c r="C209" s="30">
        <f t="shared" si="14"/>
        <v>0</v>
      </c>
      <c r="D209" s="1"/>
      <c r="E209" s="29">
        <f t="shared" si="16"/>
        <v>0</v>
      </c>
      <c r="F209" s="1"/>
      <c r="G209" s="30">
        <f t="shared" si="15"/>
        <v>0</v>
      </c>
      <c r="H209" s="1"/>
      <c r="I209" s="29">
        <f t="shared" ref="I209:I272" si="17">IF(C209-G209&lt;10,0,C209-G209)</f>
        <v>0</v>
      </c>
      <c r="J209" s="1"/>
    </row>
    <row r="210" spans="1:10" ht="15.5" x14ac:dyDescent="0.35">
      <c r="A210" s="26">
        <f t="shared" ref="A210:A273" si="18">IF(I209&lt;10,0,(A209+1))</f>
        <v>0</v>
      </c>
      <c r="B210" s="1"/>
      <c r="C210" s="30">
        <f t="shared" ref="C210:C273" si="19">I209</f>
        <v>0</v>
      </c>
      <c r="D210" s="1"/>
      <c r="E210" s="29">
        <f t="shared" si="16"/>
        <v>0</v>
      </c>
      <c r="F210" s="1"/>
      <c r="G210" s="30">
        <f t="shared" si="15"/>
        <v>0</v>
      </c>
      <c r="H210" s="1"/>
      <c r="I210" s="29">
        <f t="shared" si="17"/>
        <v>0</v>
      </c>
      <c r="J210" s="1"/>
    </row>
    <row r="211" spans="1:10" ht="15.5" x14ac:dyDescent="0.35">
      <c r="A211" s="26">
        <f t="shared" si="18"/>
        <v>0</v>
      </c>
      <c r="B211" s="1"/>
      <c r="C211" s="30">
        <f t="shared" si="19"/>
        <v>0</v>
      </c>
      <c r="D211" s="1"/>
      <c r="E211" s="29">
        <f t="shared" si="16"/>
        <v>0</v>
      </c>
      <c r="F211" s="1"/>
      <c r="G211" s="30">
        <f t="shared" si="15"/>
        <v>0</v>
      </c>
      <c r="H211" s="1"/>
      <c r="I211" s="29">
        <f t="shared" si="17"/>
        <v>0</v>
      </c>
      <c r="J211" s="1"/>
    </row>
    <row r="212" spans="1:10" ht="15.5" x14ac:dyDescent="0.35">
      <c r="A212" s="26">
        <f t="shared" si="18"/>
        <v>0</v>
      </c>
      <c r="B212" s="1"/>
      <c r="C212" s="30">
        <f t="shared" si="19"/>
        <v>0</v>
      </c>
      <c r="D212" s="1"/>
      <c r="E212" s="29">
        <f t="shared" si="16"/>
        <v>0</v>
      </c>
      <c r="F212" s="1"/>
      <c r="G212" s="30">
        <f t="shared" si="15"/>
        <v>0</v>
      </c>
      <c r="H212" s="1"/>
      <c r="I212" s="29">
        <f t="shared" si="17"/>
        <v>0</v>
      </c>
      <c r="J212" s="1"/>
    </row>
    <row r="213" spans="1:10" ht="15.5" x14ac:dyDescent="0.35">
      <c r="A213" s="26">
        <f t="shared" si="18"/>
        <v>0</v>
      </c>
      <c r="B213" s="1"/>
      <c r="C213" s="30">
        <f t="shared" si="19"/>
        <v>0</v>
      </c>
      <c r="D213" s="1"/>
      <c r="E213" s="29">
        <f t="shared" si="16"/>
        <v>0</v>
      </c>
      <c r="F213" s="1"/>
      <c r="G213" s="30">
        <f t="shared" si="15"/>
        <v>0</v>
      </c>
      <c r="H213" s="1"/>
      <c r="I213" s="29">
        <f t="shared" si="17"/>
        <v>0</v>
      </c>
      <c r="J213" s="1"/>
    </row>
    <row r="214" spans="1:10" ht="15.5" x14ac:dyDescent="0.35">
      <c r="A214" s="26">
        <f t="shared" si="18"/>
        <v>0</v>
      </c>
      <c r="B214" s="1"/>
      <c r="C214" s="30">
        <f t="shared" si="19"/>
        <v>0</v>
      </c>
      <c r="D214" s="1"/>
      <c r="E214" s="29">
        <f t="shared" si="16"/>
        <v>0</v>
      </c>
      <c r="F214" s="1"/>
      <c r="G214" s="30">
        <f t="shared" si="15"/>
        <v>0</v>
      </c>
      <c r="H214" s="1"/>
      <c r="I214" s="29">
        <f t="shared" si="17"/>
        <v>0</v>
      </c>
      <c r="J214" s="1"/>
    </row>
    <row r="215" spans="1:10" ht="15.5" x14ac:dyDescent="0.35">
      <c r="A215" s="26">
        <f t="shared" si="18"/>
        <v>0</v>
      </c>
      <c r="B215" s="1"/>
      <c r="C215" s="30">
        <f t="shared" si="19"/>
        <v>0</v>
      </c>
      <c r="D215" s="1"/>
      <c r="E215" s="29">
        <f t="shared" si="16"/>
        <v>0</v>
      </c>
      <c r="F215" s="1"/>
      <c r="G215" s="30">
        <f t="shared" si="15"/>
        <v>0</v>
      </c>
      <c r="H215" s="1"/>
      <c r="I215" s="29">
        <f t="shared" si="17"/>
        <v>0</v>
      </c>
      <c r="J215" s="1"/>
    </row>
    <row r="216" spans="1:10" ht="15.5" x14ac:dyDescent="0.35">
      <c r="A216" s="26">
        <f t="shared" si="18"/>
        <v>0</v>
      </c>
      <c r="B216" s="1"/>
      <c r="C216" s="30">
        <f t="shared" si="19"/>
        <v>0</v>
      </c>
      <c r="D216" s="1"/>
      <c r="E216" s="29">
        <f t="shared" si="16"/>
        <v>0</v>
      </c>
      <c r="F216" s="1"/>
      <c r="G216" s="30">
        <f t="shared" si="15"/>
        <v>0</v>
      </c>
      <c r="H216" s="1"/>
      <c r="I216" s="29">
        <f t="shared" si="17"/>
        <v>0</v>
      </c>
      <c r="J216" s="1"/>
    </row>
    <row r="217" spans="1:10" ht="15.5" x14ac:dyDescent="0.35">
      <c r="A217" s="26">
        <f t="shared" si="18"/>
        <v>0</v>
      </c>
      <c r="B217" s="1"/>
      <c r="C217" s="30">
        <f t="shared" si="19"/>
        <v>0</v>
      </c>
      <c r="D217" s="1"/>
      <c r="E217" s="29">
        <f t="shared" si="16"/>
        <v>0</v>
      </c>
      <c r="F217" s="1"/>
      <c r="G217" s="30">
        <f t="shared" si="15"/>
        <v>0</v>
      </c>
      <c r="H217" s="1"/>
      <c r="I217" s="29">
        <f t="shared" si="17"/>
        <v>0</v>
      </c>
      <c r="J217" s="1"/>
    </row>
    <row r="218" spans="1:10" ht="15.5" x14ac:dyDescent="0.35">
      <c r="A218" s="26">
        <f t="shared" si="18"/>
        <v>0</v>
      </c>
      <c r="B218" s="1"/>
      <c r="C218" s="30">
        <f t="shared" si="19"/>
        <v>0</v>
      </c>
      <c r="D218" s="1"/>
      <c r="E218" s="29">
        <f t="shared" si="16"/>
        <v>0</v>
      </c>
      <c r="F218" s="1"/>
      <c r="G218" s="30">
        <f t="shared" si="15"/>
        <v>0</v>
      </c>
      <c r="H218" s="1"/>
      <c r="I218" s="29">
        <f t="shared" si="17"/>
        <v>0</v>
      </c>
      <c r="J218" s="1"/>
    </row>
    <row r="219" spans="1:10" ht="15.5" x14ac:dyDescent="0.35">
      <c r="A219" s="26">
        <f t="shared" si="18"/>
        <v>0</v>
      </c>
      <c r="B219" s="1"/>
      <c r="C219" s="30">
        <f t="shared" si="19"/>
        <v>0</v>
      </c>
      <c r="D219" s="1"/>
      <c r="E219" s="29">
        <f t="shared" si="16"/>
        <v>0</v>
      </c>
      <c r="F219" s="1"/>
      <c r="G219" s="30">
        <f t="shared" si="15"/>
        <v>0</v>
      </c>
      <c r="H219" s="1"/>
      <c r="I219" s="29">
        <f t="shared" si="17"/>
        <v>0</v>
      </c>
      <c r="J219" s="1"/>
    </row>
    <row r="220" spans="1:10" ht="15.5" x14ac:dyDescent="0.35">
      <c r="A220" s="26">
        <f t="shared" si="18"/>
        <v>0</v>
      </c>
      <c r="B220" s="1"/>
      <c r="C220" s="30">
        <f t="shared" si="19"/>
        <v>0</v>
      </c>
      <c r="D220" s="1"/>
      <c r="E220" s="29">
        <f t="shared" si="16"/>
        <v>0</v>
      </c>
      <c r="F220" s="1"/>
      <c r="G220" s="30">
        <f t="shared" si="15"/>
        <v>0</v>
      </c>
      <c r="H220" s="1"/>
      <c r="I220" s="29">
        <f t="shared" si="17"/>
        <v>0</v>
      </c>
      <c r="J220" s="1"/>
    </row>
    <row r="221" spans="1:10" ht="15.5" x14ac:dyDescent="0.35">
      <c r="A221" s="26">
        <f t="shared" si="18"/>
        <v>0</v>
      </c>
      <c r="B221" s="1"/>
      <c r="C221" s="30">
        <f t="shared" si="19"/>
        <v>0</v>
      </c>
      <c r="D221" s="1"/>
      <c r="E221" s="29">
        <f t="shared" si="16"/>
        <v>0</v>
      </c>
      <c r="F221" s="1"/>
      <c r="G221" s="30">
        <f t="shared" si="15"/>
        <v>0</v>
      </c>
      <c r="H221" s="1"/>
      <c r="I221" s="29">
        <f t="shared" si="17"/>
        <v>0</v>
      </c>
      <c r="J221" s="1"/>
    </row>
    <row r="222" spans="1:10" ht="15.5" x14ac:dyDescent="0.35">
      <c r="A222" s="26">
        <f t="shared" si="18"/>
        <v>0</v>
      </c>
      <c r="B222" s="1"/>
      <c r="C222" s="30">
        <f t="shared" si="19"/>
        <v>0</v>
      </c>
      <c r="D222" s="1"/>
      <c r="E222" s="29">
        <f t="shared" si="16"/>
        <v>0</v>
      </c>
      <c r="F222" s="1"/>
      <c r="G222" s="30">
        <f t="shared" si="15"/>
        <v>0</v>
      </c>
      <c r="H222" s="1"/>
      <c r="I222" s="29">
        <f t="shared" si="17"/>
        <v>0</v>
      </c>
      <c r="J222" s="1"/>
    </row>
    <row r="223" spans="1:10" ht="15.5" x14ac:dyDescent="0.35">
      <c r="A223" s="26">
        <f t="shared" si="18"/>
        <v>0</v>
      </c>
      <c r="B223" s="1"/>
      <c r="C223" s="30">
        <f t="shared" si="19"/>
        <v>0</v>
      </c>
      <c r="D223" s="1"/>
      <c r="E223" s="29">
        <f t="shared" si="16"/>
        <v>0</v>
      </c>
      <c r="F223" s="1"/>
      <c r="G223" s="30">
        <f t="shared" si="15"/>
        <v>0</v>
      </c>
      <c r="H223" s="1"/>
      <c r="I223" s="29">
        <f t="shared" si="17"/>
        <v>0</v>
      </c>
      <c r="J223" s="1"/>
    </row>
    <row r="224" spans="1:10" ht="15.5" x14ac:dyDescent="0.35">
      <c r="A224" s="26">
        <f t="shared" si="18"/>
        <v>0</v>
      </c>
      <c r="B224" s="1"/>
      <c r="C224" s="30">
        <f t="shared" si="19"/>
        <v>0</v>
      </c>
      <c r="D224" s="1"/>
      <c r="E224" s="29">
        <f t="shared" si="16"/>
        <v>0</v>
      </c>
      <c r="F224" s="1"/>
      <c r="G224" s="30">
        <f t="shared" si="15"/>
        <v>0</v>
      </c>
      <c r="H224" s="1"/>
      <c r="I224" s="29">
        <f t="shared" si="17"/>
        <v>0</v>
      </c>
      <c r="J224" s="1"/>
    </row>
    <row r="225" spans="1:10" ht="15.5" x14ac:dyDescent="0.35">
      <c r="A225" s="26">
        <f t="shared" si="18"/>
        <v>0</v>
      </c>
      <c r="B225" s="1"/>
      <c r="C225" s="30">
        <f t="shared" si="19"/>
        <v>0</v>
      </c>
      <c r="D225" s="1"/>
      <c r="E225" s="29">
        <f t="shared" si="16"/>
        <v>0</v>
      </c>
      <c r="F225" s="1"/>
      <c r="G225" s="30">
        <f t="shared" si="15"/>
        <v>0</v>
      </c>
      <c r="H225" s="1"/>
      <c r="I225" s="29">
        <f t="shared" si="17"/>
        <v>0</v>
      </c>
      <c r="J225" s="1"/>
    </row>
    <row r="226" spans="1:10" ht="15.5" x14ac:dyDescent="0.35">
      <c r="A226" s="26">
        <f t="shared" si="18"/>
        <v>0</v>
      </c>
      <c r="B226" s="1"/>
      <c r="C226" s="30">
        <f t="shared" si="19"/>
        <v>0</v>
      </c>
      <c r="D226" s="1"/>
      <c r="E226" s="29">
        <f t="shared" si="16"/>
        <v>0</v>
      </c>
      <c r="F226" s="1"/>
      <c r="G226" s="30">
        <f t="shared" si="15"/>
        <v>0</v>
      </c>
      <c r="H226" s="1"/>
      <c r="I226" s="29">
        <f t="shared" si="17"/>
        <v>0</v>
      </c>
      <c r="J226" s="1"/>
    </row>
    <row r="227" spans="1:10" ht="15.5" x14ac:dyDescent="0.35">
      <c r="A227" s="26">
        <f t="shared" si="18"/>
        <v>0</v>
      </c>
      <c r="B227" s="1"/>
      <c r="C227" s="30">
        <f t="shared" si="19"/>
        <v>0</v>
      </c>
      <c r="D227" s="1"/>
      <c r="E227" s="29">
        <f t="shared" si="16"/>
        <v>0</v>
      </c>
      <c r="F227" s="1"/>
      <c r="G227" s="30">
        <f t="shared" si="15"/>
        <v>0</v>
      </c>
      <c r="H227" s="1"/>
      <c r="I227" s="29">
        <f t="shared" si="17"/>
        <v>0</v>
      </c>
      <c r="J227" s="1"/>
    </row>
    <row r="228" spans="1:10" ht="15.5" x14ac:dyDescent="0.35">
      <c r="A228" s="26">
        <f t="shared" si="18"/>
        <v>0</v>
      </c>
      <c r="B228" s="1"/>
      <c r="C228" s="30">
        <f t="shared" si="19"/>
        <v>0</v>
      </c>
      <c r="D228" s="1"/>
      <c r="E228" s="29">
        <f t="shared" si="16"/>
        <v>0</v>
      </c>
      <c r="F228" s="1"/>
      <c r="G228" s="30">
        <f t="shared" si="15"/>
        <v>0</v>
      </c>
      <c r="H228" s="1"/>
      <c r="I228" s="29">
        <f t="shared" si="17"/>
        <v>0</v>
      </c>
      <c r="J228" s="1"/>
    </row>
    <row r="229" spans="1:10" ht="15.5" x14ac:dyDescent="0.35">
      <c r="A229" s="26">
        <f t="shared" si="18"/>
        <v>0</v>
      </c>
      <c r="B229" s="1"/>
      <c r="C229" s="30">
        <f t="shared" si="19"/>
        <v>0</v>
      </c>
      <c r="D229" s="1"/>
      <c r="E229" s="29">
        <f t="shared" si="16"/>
        <v>0</v>
      </c>
      <c r="F229" s="1"/>
      <c r="G229" s="30">
        <f t="shared" si="15"/>
        <v>0</v>
      </c>
      <c r="H229" s="1"/>
      <c r="I229" s="29">
        <f t="shared" si="17"/>
        <v>0</v>
      </c>
      <c r="J229" s="1"/>
    </row>
    <row r="230" spans="1:10" ht="15.5" x14ac:dyDescent="0.35">
      <c r="A230" s="26">
        <f t="shared" si="18"/>
        <v>0</v>
      </c>
      <c r="B230" s="1"/>
      <c r="C230" s="30">
        <f t="shared" si="19"/>
        <v>0</v>
      </c>
      <c r="D230" s="1"/>
      <c r="E230" s="29">
        <f t="shared" si="16"/>
        <v>0</v>
      </c>
      <c r="F230" s="1"/>
      <c r="G230" s="30">
        <f t="shared" si="15"/>
        <v>0</v>
      </c>
      <c r="H230" s="1"/>
      <c r="I230" s="29">
        <f t="shared" si="17"/>
        <v>0</v>
      </c>
      <c r="J230" s="1"/>
    </row>
    <row r="231" spans="1:10" ht="15.5" x14ac:dyDescent="0.35">
      <c r="A231" s="26">
        <f t="shared" si="18"/>
        <v>0</v>
      </c>
      <c r="B231" s="1"/>
      <c r="C231" s="30">
        <f t="shared" si="19"/>
        <v>0</v>
      </c>
      <c r="D231" s="1"/>
      <c r="E231" s="29">
        <f t="shared" si="16"/>
        <v>0</v>
      </c>
      <c r="F231" s="1"/>
      <c r="G231" s="30">
        <f t="shared" si="15"/>
        <v>0</v>
      </c>
      <c r="H231" s="1"/>
      <c r="I231" s="29">
        <f t="shared" si="17"/>
        <v>0</v>
      </c>
      <c r="J231" s="1"/>
    </row>
    <row r="232" spans="1:10" ht="15.5" x14ac:dyDescent="0.35">
      <c r="A232" s="26">
        <f t="shared" si="18"/>
        <v>0</v>
      </c>
      <c r="B232" s="1"/>
      <c r="C232" s="30">
        <f t="shared" si="19"/>
        <v>0</v>
      </c>
      <c r="D232" s="1"/>
      <c r="E232" s="29">
        <f t="shared" si="16"/>
        <v>0</v>
      </c>
      <c r="F232" s="1"/>
      <c r="G232" s="30">
        <f t="shared" si="15"/>
        <v>0</v>
      </c>
      <c r="H232" s="1"/>
      <c r="I232" s="29">
        <f t="shared" si="17"/>
        <v>0</v>
      </c>
      <c r="J232" s="1"/>
    </row>
    <row r="233" spans="1:10" ht="15.5" x14ac:dyDescent="0.35">
      <c r="A233" s="26">
        <f t="shared" si="18"/>
        <v>0</v>
      </c>
      <c r="B233" s="1"/>
      <c r="C233" s="30">
        <f t="shared" si="19"/>
        <v>0</v>
      </c>
      <c r="D233" s="1"/>
      <c r="E233" s="29">
        <f t="shared" si="16"/>
        <v>0</v>
      </c>
      <c r="F233" s="1"/>
      <c r="G233" s="30">
        <f t="shared" si="15"/>
        <v>0</v>
      </c>
      <c r="H233" s="1"/>
      <c r="I233" s="29">
        <f t="shared" si="17"/>
        <v>0</v>
      </c>
      <c r="J233" s="1"/>
    </row>
    <row r="234" spans="1:10" ht="15.5" x14ac:dyDescent="0.35">
      <c r="A234" s="26">
        <f t="shared" si="18"/>
        <v>0</v>
      </c>
      <c r="B234" s="1"/>
      <c r="C234" s="30">
        <f t="shared" si="19"/>
        <v>0</v>
      </c>
      <c r="D234" s="1"/>
      <c r="E234" s="29">
        <f t="shared" si="16"/>
        <v>0</v>
      </c>
      <c r="F234" s="1"/>
      <c r="G234" s="30">
        <f t="shared" si="15"/>
        <v>0</v>
      </c>
      <c r="H234" s="1"/>
      <c r="I234" s="29">
        <f t="shared" si="17"/>
        <v>0</v>
      </c>
      <c r="J234" s="1"/>
    </row>
    <row r="235" spans="1:10" ht="15.5" x14ac:dyDescent="0.35">
      <c r="A235" s="26">
        <f t="shared" si="18"/>
        <v>0</v>
      </c>
      <c r="B235" s="1"/>
      <c r="C235" s="30">
        <f t="shared" si="19"/>
        <v>0</v>
      </c>
      <c r="D235" s="1"/>
      <c r="E235" s="29">
        <f t="shared" si="16"/>
        <v>0</v>
      </c>
      <c r="F235" s="1"/>
      <c r="G235" s="30">
        <f t="shared" si="15"/>
        <v>0</v>
      </c>
      <c r="H235" s="1"/>
      <c r="I235" s="29">
        <f t="shared" si="17"/>
        <v>0</v>
      </c>
      <c r="J235" s="1"/>
    </row>
    <row r="236" spans="1:10" ht="15.5" x14ac:dyDescent="0.35">
      <c r="A236" s="26">
        <f t="shared" si="18"/>
        <v>0</v>
      </c>
      <c r="B236" s="1"/>
      <c r="C236" s="30">
        <f t="shared" si="19"/>
        <v>0</v>
      </c>
      <c r="D236" s="1"/>
      <c r="E236" s="29">
        <f t="shared" si="16"/>
        <v>0</v>
      </c>
      <c r="F236" s="1"/>
      <c r="G236" s="30">
        <f t="shared" si="15"/>
        <v>0</v>
      </c>
      <c r="H236" s="1"/>
      <c r="I236" s="29">
        <f t="shared" si="17"/>
        <v>0</v>
      </c>
      <c r="J236" s="1"/>
    </row>
    <row r="237" spans="1:10" ht="15.5" x14ac:dyDescent="0.35">
      <c r="A237" s="26">
        <f t="shared" si="18"/>
        <v>0</v>
      </c>
      <c r="B237" s="1"/>
      <c r="C237" s="30">
        <f t="shared" si="19"/>
        <v>0</v>
      </c>
      <c r="D237" s="1"/>
      <c r="E237" s="29">
        <f t="shared" si="16"/>
        <v>0</v>
      </c>
      <c r="F237" s="1"/>
      <c r="G237" s="30">
        <f t="shared" si="15"/>
        <v>0</v>
      </c>
      <c r="H237" s="1"/>
      <c r="I237" s="29">
        <f t="shared" si="17"/>
        <v>0</v>
      </c>
      <c r="J237" s="1"/>
    </row>
    <row r="238" spans="1:10" ht="15.5" x14ac:dyDescent="0.35">
      <c r="A238" s="26">
        <f t="shared" si="18"/>
        <v>0</v>
      </c>
      <c r="B238" s="1"/>
      <c r="C238" s="30">
        <f t="shared" si="19"/>
        <v>0</v>
      </c>
      <c r="D238" s="1"/>
      <c r="E238" s="29">
        <f t="shared" si="16"/>
        <v>0</v>
      </c>
      <c r="F238" s="1"/>
      <c r="G238" s="30">
        <f t="shared" si="15"/>
        <v>0</v>
      </c>
      <c r="H238" s="1"/>
      <c r="I238" s="29">
        <f t="shared" si="17"/>
        <v>0</v>
      </c>
      <c r="J238" s="1"/>
    </row>
    <row r="239" spans="1:10" ht="15.5" x14ac:dyDescent="0.35">
      <c r="A239" s="26">
        <f t="shared" si="18"/>
        <v>0</v>
      </c>
      <c r="B239" s="1"/>
      <c r="C239" s="30">
        <f t="shared" si="19"/>
        <v>0</v>
      </c>
      <c r="D239" s="1"/>
      <c r="E239" s="29">
        <f t="shared" si="16"/>
        <v>0</v>
      </c>
      <c r="F239" s="1"/>
      <c r="G239" s="30">
        <f t="shared" si="15"/>
        <v>0</v>
      </c>
      <c r="H239" s="1"/>
      <c r="I239" s="29">
        <f t="shared" si="17"/>
        <v>0</v>
      </c>
      <c r="J239" s="1"/>
    </row>
    <row r="240" spans="1:10" ht="15.5" x14ac:dyDescent="0.35">
      <c r="A240" s="26">
        <f t="shared" si="18"/>
        <v>0</v>
      </c>
      <c r="B240" s="1"/>
      <c r="C240" s="30">
        <f t="shared" si="19"/>
        <v>0</v>
      </c>
      <c r="D240" s="1"/>
      <c r="E240" s="29">
        <f t="shared" si="16"/>
        <v>0</v>
      </c>
      <c r="F240" s="1"/>
      <c r="G240" s="30">
        <f t="shared" si="15"/>
        <v>0</v>
      </c>
      <c r="H240" s="1"/>
      <c r="I240" s="29">
        <f t="shared" si="17"/>
        <v>0</v>
      </c>
      <c r="J240" s="1"/>
    </row>
    <row r="241" spans="1:10" ht="15.5" x14ac:dyDescent="0.35">
      <c r="A241" s="26">
        <f t="shared" si="18"/>
        <v>0</v>
      </c>
      <c r="B241" s="1"/>
      <c r="C241" s="30">
        <f t="shared" si="19"/>
        <v>0</v>
      </c>
      <c r="D241" s="1"/>
      <c r="E241" s="29">
        <f t="shared" si="16"/>
        <v>0</v>
      </c>
      <c r="F241" s="1"/>
      <c r="G241" s="30">
        <f t="shared" si="15"/>
        <v>0</v>
      </c>
      <c r="H241" s="1"/>
      <c r="I241" s="29">
        <f t="shared" si="17"/>
        <v>0</v>
      </c>
      <c r="J241" s="1"/>
    </row>
    <row r="242" spans="1:10" ht="15.5" x14ac:dyDescent="0.35">
      <c r="A242" s="26">
        <f t="shared" si="18"/>
        <v>0</v>
      </c>
      <c r="B242" s="1"/>
      <c r="C242" s="30">
        <f t="shared" si="19"/>
        <v>0</v>
      </c>
      <c r="D242" s="1"/>
      <c r="E242" s="29">
        <f t="shared" si="16"/>
        <v>0</v>
      </c>
      <c r="F242" s="1"/>
      <c r="G242" s="30">
        <f t="shared" si="15"/>
        <v>0</v>
      </c>
      <c r="H242" s="1"/>
      <c r="I242" s="29">
        <f t="shared" si="17"/>
        <v>0</v>
      </c>
      <c r="J242" s="1"/>
    </row>
    <row r="243" spans="1:10" ht="15.5" x14ac:dyDescent="0.35">
      <c r="A243" s="26">
        <f t="shared" si="18"/>
        <v>0</v>
      </c>
      <c r="B243" s="1"/>
      <c r="C243" s="30">
        <f t="shared" si="19"/>
        <v>0</v>
      </c>
      <c r="D243" s="1"/>
      <c r="E243" s="29">
        <f t="shared" si="16"/>
        <v>0</v>
      </c>
      <c r="F243" s="1"/>
      <c r="G243" s="30">
        <f t="shared" si="15"/>
        <v>0</v>
      </c>
      <c r="H243" s="1"/>
      <c r="I243" s="29">
        <f t="shared" si="17"/>
        <v>0</v>
      </c>
      <c r="J243" s="1"/>
    </row>
    <row r="244" spans="1:10" ht="15.5" x14ac:dyDescent="0.35">
      <c r="A244" s="26">
        <f t="shared" si="18"/>
        <v>0</v>
      </c>
      <c r="B244" s="1"/>
      <c r="C244" s="30">
        <f t="shared" si="19"/>
        <v>0</v>
      </c>
      <c r="D244" s="1"/>
      <c r="E244" s="29">
        <f t="shared" si="16"/>
        <v>0</v>
      </c>
      <c r="F244" s="1"/>
      <c r="G244" s="30">
        <f t="shared" si="15"/>
        <v>0</v>
      </c>
      <c r="H244" s="1"/>
      <c r="I244" s="29">
        <f t="shared" si="17"/>
        <v>0</v>
      </c>
      <c r="J244" s="1"/>
    </row>
    <row r="245" spans="1:10" ht="15.5" x14ac:dyDescent="0.35">
      <c r="A245" s="26">
        <f t="shared" si="18"/>
        <v>0</v>
      </c>
      <c r="B245" s="1"/>
      <c r="C245" s="30">
        <f t="shared" si="19"/>
        <v>0</v>
      </c>
      <c r="D245" s="1"/>
      <c r="E245" s="29">
        <f t="shared" si="16"/>
        <v>0</v>
      </c>
      <c r="F245" s="1"/>
      <c r="G245" s="30">
        <f t="shared" si="15"/>
        <v>0</v>
      </c>
      <c r="H245" s="1"/>
      <c r="I245" s="29">
        <f t="shared" si="17"/>
        <v>0</v>
      </c>
      <c r="J245" s="1"/>
    </row>
    <row r="246" spans="1:10" ht="15.5" x14ac:dyDescent="0.35">
      <c r="A246" s="26">
        <f t="shared" si="18"/>
        <v>0</v>
      </c>
      <c r="B246" s="1"/>
      <c r="C246" s="30">
        <f t="shared" si="19"/>
        <v>0</v>
      </c>
      <c r="D246" s="1"/>
      <c r="E246" s="29">
        <f t="shared" si="16"/>
        <v>0</v>
      </c>
      <c r="F246" s="1"/>
      <c r="G246" s="30">
        <f t="shared" si="15"/>
        <v>0</v>
      </c>
      <c r="H246" s="1"/>
      <c r="I246" s="29">
        <f t="shared" si="17"/>
        <v>0</v>
      </c>
      <c r="J246" s="1"/>
    </row>
    <row r="247" spans="1:10" ht="15.5" x14ac:dyDescent="0.35">
      <c r="A247" s="26">
        <f t="shared" si="18"/>
        <v>0</v>
      </c>
      <c r="B247" s="1"/>
      <c r="C247" s="30">
        <f t="shared" si="19"/>
        <v>0</v>
      </c>
      <c r="D247" s="1"/>
      <c r="E247" s="29">
        <f t="shared" si="16"/>
        <v>0</v>
      </c>
      <c r="F247" s="1"/>
      <c r="G247" s="30">
        <f t="shared" si="15"/>
        <v>0</v>
      </c>
      <c r="H247" s="1"/>
      <c r="I247" s="29">
        <f t="shared" si="17"/>
        <v>0</v>
      </c>
      <c r="J247" s="1"/>
    </row>
    <row r="248" spans="1:10" ht="15.5" x14ac:dyDescent="0.35">
      <c r="A248" s="26">
        <f t="shared" si="18"/>
        <v>0</v>
      </c>
      <c r="B248" s="1"/>
      <c r="C248" s="30">
        <f t="shared" si="19"/>
        <v>0</v>
      </c>
      <c r="D248" s="1"/>
      <c r="E248" s="29">
        <f t="shared" si="16"/>
        <v>0</v>
      </c>
      <c r="F248" s="1"/>
      <c r="G248" s="30">
        <f t="shared" si="15"/>
        <v>0</v>
      </c>
      <c r="H248" s="1"/>
      <c r="I248" s="29">
        <f t="shared" si="17"/>
        <v>0</v>
      </c>
      <c r="J248" s="1"/>
    </row>
    <row r="249" spans="1:10" ht="15.5" x14ac:dyDescent="0.35">
      <c r="A249" s="26">
        <f t="shared" si="18"/>
        <v>0</v>
      </c>
      <c r="B249" s="1"/>
      <c r="C249" s="30">
        <f t="shared" si="19"/>
        <v>0</v>
      </c>
      <c r="D249" s="1"/>
      <c r="E249" s="29">
        <f t="shared" si="16"/>
        <v>0</v>
      </c>
      <c r="F249" s="1"/>
      <c r="G249" s="30">
        <f t="shared" si="15"/>
        <v>0</v>
      </c>
      <c r="H249" s="1"/>
      <c r="I249" s="29">
        <f t="shared" si="17"/>
        <v>0</v>
      </c>
      <c r="J249" s="1"/>
    </row>
    <row r="250" spans="1:10" ht="15.5" x14ac:dyDescent="0.35">
      <c r="A250" s="26">
        <f t="shared" si="18"/>
        <v>0</v>
      </c>
      <c r="B250" s="1"/>
      <c r="C250" s="30">
        <f t="shared" si="19"/>
        <v>0</v>
      </c>
      <c r="D250" s="1"/>
      <c r="E250" s="29">
        <f t="shared" si="16"/>
        <v>0</v>
      </c>
      <c r="F250" s="1"/>
      <c r="G250" s="30">
        <f t="shared" si="15"/>
        <v>0</v>
      </c>
      <c r="H250" s="1"/>
      <c r="I250" s="29">
        <f t="shared" si="17"/>
        <v>0</v>
      </c>
      <c r="J250" s="1"/>
    </row>
    <row r="251" spans="1:10" ht="15.5" x14ac:dyDescent="0.35">
      <c r="A251" s="26">
        <f t="shared" si="18"/>
        <v>0</v>
      </c>
      <c r="B251" s="1"/>
      <c r="C251" s="30">
        <f t="shared" si="19"/>
        <v>0</v>
      </c>
      <c r="D251" s="1"/>
      <c r="E251" s="29">
        <f t="shared" si="16"/>
        <v>0</v>
      </c>
      <c r="F251" s="1"/>
      <c r="G251" s="30">
        <f t="shared" si="15"/>
        <v>0</v>
      </c>
      <c r="H251" s="1"/>
      <c r="I251" s="29">
        <f t="shared" si="17"/>
        <v>0</v>
      </c>
      <c r="J251" s="1"/>
    </row>
    <row r="252" spans="1:10" ht="15.5" x14ac:dyDescent="0.35">
      <c r="A252" s="26">
        <f t="shared" si="18"/>
        <v>0</v>
      </c>
      <c r="B252" s="1"/>
      <c r="C252" s="30">
        <f t="shared" si="19"/>
        <v>0</v>
      </c>
      <c r="D252" s="1"/>
      <c r="E252" s="29">
        <f t="shared" si="16"/>
        <v>0</v>
      </c>
      <c r="F252" s="1"/>
      <c r="G252" s="30">
        <f t="shared" si="15"/>
        <v>0</v>
      </c>
      <c r="H252" s="1"/>
      <c r="I252" s="29">
        <f t="shared" si="17"/>
        <v>0</v>
      </c>
      <c r="J252" s="1"/>
    </row>
    <row r="253" spans="1:10" ht="15.5" x14ac:dyDescent="0.35">
      <c r="A253" s="26">
        <f t="shared" si="18"/>
        <v>0</v>
      </c>
      <c r="B253" s="1"/>
      <c r="C253" s="30">
        <f t="shared" si="19"/>
        <v>0</v>
      </c>
      <c r="D253" s="1"/>
      <c r="E253" s="29">
        <f t="shared" si="16"/>
        <v>0</v>
      </c>
      <c r="F253" s="1"/>
      <c r="G253" s="30">
        <f t="shared" si="15"/>
        <v>0</v>
      </c>
      <c r="H253" s="1"/>
      <c r="I253" s="29">
        <f t="shared" si="17"/>
        <v>0</v>
      </c>
      <c r="J253" s="1"/>
    </row>
    <row r="254" spans="1:10" ht="15.5" x14ac:dyDescent="0.35">
      <c r="A254" s="26">
        <f t="shared" si="18"/>
        <v>0</v>
      </c>
      <c r="B254" s="1"/>
      <c r="C254" s="30">
        <f t="shared" si="19"/>
        <v>0</v>
      </c>
      <c r="D254" s="1"/>
      <c r="E254" s="29">
        <f t="shared" si="16"/>
        <v>0</v>
      </c>
      <c r="F254" s="1"/>
      <c r="G254" s="30">
        <f t="shared" si="15"/>
        <v>0</v>
      </c>
      <c r="H254" s="1"/>
      <c r="I254" s="29">
        <f t="shared" si="17"/>
        <v>0</v>
      </c>
      <c r="J254" s="1"/>
    </row>
    <row r="255" spans="1:10" ht="15.5" x14ac:dyDescent="0.35">
      <c r="A255" s="26">
        <f t="shared" si="18"/>
        <v>0</v>
      </c>
      <c r="B255" s="1"/>
      <c r="C255" s="30">
        <f t="shared" si="19"/>
        <v>0</v>
      </c>
      <c r="D255" s="1"/>
      <c r="E255" s="29">
        <f t="shared" si="16"/>
        <v>0</v>
      </c>
      <c r="F255" s="1"/>
      <c r="G255" s="30">
        <f t="shared" si="15"/>
        <v>0</v>
      </c>
      <c r="H255" s="1"/>
      <c r="I255" s="29">
        <f t="shared" si="17"/>
        <v>0</v>
      </c>
      <c r="J255" s="1"/>
    </row>
    <row r="256" spans="1:10" ht="15.5" x14ac:dyDescent="0.35">
      <c r="A256" s="26">
        <f t="shared" si="18"/>
        <v>0</v>
      </c>
      <c r="B256" s="1"/>
      <c r="C256" s="30">
        <f t="shared" si="19"/>
        <v>0</v>
      </c>
      <c r="D256" s="1"/>
      <c r="E256" s="29">
        <f t="shared" si="16"/>
        <v>0</v>
      </c>
      <c r="F256" s="1"/>
      <c r="G256" s="30">
        <f t="shared" si="15"/>
        <v>0</v>
      </c>
      <c r="H256" s="1"/>
      <c r="I256" s="29">
        <f t="shared" si="17"/>
        <v>0</v>
      </c>
      <c r="J256" s="1"/>
    </row>
    <row r="257" spans="1:10" ht="15.5" x14ac:dyDescent="0.35">
      <c r="A257" s="26">
        <f t="shared" si="18"/>
        <v>0</v>
      </c>
      <c r="B257" s="1"/>
      <c r="C257" s="30">
        <f t="shared" si="19"/>
        <v>0</v>
      </c>
      <c r="D257" s="1"/>
      <c r="E257" s="29">
        <f t="shared" si="16"/>
        <v>0</v>
      </c>
      <c r="F257" s="1"/>
      <c r="G257" s="30">
        <f t="shared" si="15"/>
        <v>0</v>
      </c>
      <c r="H257" s="1"/>
      <c r="I257" s="29">
        <f t="shared" si="17"/>
        <v>0</v>
      </c>
      <c r="J257" s="1"/>
    </row>
    <row r="258" spans="1:10" ht="15.5" x14ac:dyDescent="0.35">
      <c r="A258" s="26">
        <f t="shared" si="18"/>
        <v>0</v>
      </c>
      <c r="B258" s="1"/>
      <c r="C258" s="30">
        <f t="shared" si="19"/>
        <v>0</v>
      </c>
      <c r="D258" s="1"/>
      <c r="E258" s="29">
        <f t="shared" si="16"/>
        <v>0</v>
      </c>
      <c r="F258" s="1"/>
      <c r="G258" s="30">
        <f t="shared" si="15"/>
        <v>0</v>
      </c>
      <c r="H258" s="1"/>
      <c r="I258" s="29">
        <f t="shared" si="17"/>
        <v>0</v>
      </c>
      <c r="J258" s="1"/>
    </row>
    <row r="259" spans="1:10" ht="15.5" x14ac:dyDescent="0.35">
      <c r="A259" s="26">
        <f t="shared" si="18"/>
        <v>0</v>
      </c>
      <c r="B259" s="1"/>
      <c r="C259" s="30">
        <f t="shared" si="19"/>
        <v>0</v>
      </c>
      <c r="D259" s="1"/>
      <c r="E259" s="29">
        <f t="shared" si="16"/>
        <v>0</v>
      </c>
      <c r="F259" s="1"/>
      <c r="G259" s="30">
        <f t="shared" si="15"/>
        <v>0</v>
      </c>
      <c r="H259" s="1"/>
      <c r="I259" s="29">
        <f t="shared" si="17"/>
        <v>0</v>
      </c>
      <c r="J259" s="1"/>
    </row>
    <row r="260" spans="1:10" ht="15.5" x14ac:dyDescent="0.35">
      <c r="A260" s="26">
        <f t="shared" si="18"/>
        <v>0</v>
      </c>
      <c r="B260" s="1"/>
      <c r="C260" s="30">
        <f t="shared" si="19"/>
        <v>0</v>
      </c>
      <c r="D260" s="1"/>
      <c r="E260" s="29">
        <f t="shared" si="16"/>
        <v>0</v>
      </c>
      <c r="F260" s="1"/>
      <c r="G260" s="30">
        <f t="shared" si="15"/>
        <v>0</v>
      </c>
      <c r="H260" s="1"/>
      <c r="I260" s="29">
        <f t="shared" si="17"/>
        <v>0</v>
      </c>
      <c r="J260" s="1"/>
    </row>
    <row r="261" spans="1:10" ht="15.5" x14ac:dyDescent="0.35">
      <c r="A261" s="26">
        <f t="shared" si="18"/>
        <v>0</v>
      </c>
      <c r="B261" s="1"/>
      <c r="C261" s="30">
        <f t="shared" si="19"/>
        <v>0</v>
      </c>
      <c r="D261" s="1"/>
      <c r="E261" s="29">
        <f t="shared" si="16"/>
        <v>0</v>
      </c>
      <c r="F261" s="1"/>
      <c r="G261" s="30">
        <f t="shared" si="15"/>
        <v>0</v>
      </c>
      <c r="H261" s="1"/>
      <c r="I261" s="29">
        <f t="shared" si="17"/>
        <v>0</v>
      </c>
      <c r="J261" s="1"/>
    </row>
    <row r="262" spans="1:10" ht="15.5" x14ac:dyDescent="0.35">
      <c r="A262" s="26">
        <f t="shared" si="18"/>
        <v>0</v>
      </c>
      <c r="B262" s="1"/>
      <c r="C262" s="30">
        <f t="shared" si="19"/>
        <v>0</v>
      </c>
      <c r="D262" s="1"/>
      <c r="E262" s="29">
        <f t="shared" si="16"/>
        <v>0</v>
      </c>
      <c r="F262" s="1"/>
      <c r="G262" s="30">
        <f t="shared" si="15"/>
        <v>0</v>
      </c>
      <c r="H262" s="1"/>
      <c r="I262" s="29">
        <f t="shared" si="17"/>
        <v>0</v>
      </c>
      <c r="J262" s="1"/>
    </row>
    <row r="263" spans="1:10" ht="15.5" x14ac:dyDescent="0.35">
      <c r="A263" s="26">
        <f t="shared" si="18"/>
        <v>0</v>
      </c>
      <c r="B263" s="1"/>
      <c r="C263" s="30">
        <f t="shared" si="19"/>
        <v>0</v>
      </c>
      <c r="D263" s="1"/>
      <c r="E263" s="29">
        <f t="shared" si="16"/>
        <v>0</v>
      </c>
      <c r="F263" s="1"/>
      <c r="G263" s="30">
        <f t="shared" si="15"/>
        <v>0</v>
      </c>
      <c r="H263" s="1"/>
      <c r="I263" s="29">
        <f t="shared" si="17"/>
        <v>0</v>
      </c>
      <c r="J263" s="1"/>
    </row>
    <row r="264" spans="1:10" ht="15.5" x14ac:dyDescent="0.35">
      <c r="A264" s="26">
        <f t="shared" si="18"/>
        <v>0</v>
      </c>
      <c r="B264" s="1"/>
      <c r="C264" s="30">
        <f t="shared" si="19"/>
        <v>0</v>
      </c>
      <c r="D264" s="1"/>
      <c r="E264" s="29">
        <f t="shared" si="16"/>
        <v>0</v>
      </c>
      <c r="F264" s="1"/>
      <c r="G264" s="30">
        <f t="shared" si="15"/>
        <v>0</v>
      </c>
      <c r="H264" s="1"/>
      <c r="I264" s="29">
        <f t="shared" si="17"/>
        <v>0</v>
      </c>
      <c r="J264" s="1"/>
    </row>
    <row r="265" spans="1:10" ht="15.5" x14ac:dyDescent="0.35">
      <c r="A265" s="26">
        <f t="shared" si="18"/>
        <v>0</v>
      </c>
      <c r="B265" s="1"/>
      <c r="C265" s="30">
        <f t="shared" si="19"/>
        <v>0</v>
      </c>
      <c r="D265" s="1"/>
      <c r="E265" s="29">
        <f t="shared" si="16"/>
        <v>0</v>
      </c>
      <c r="F265" s="1"/>
      <c r="G265" s="30">
        <f t="shared" si="15"/>
        <v>0</v>
      </c>
      <c r="H265" s="1"/>
      <c r="I265" s="29">
        <f t="shared" si="17"/>
        <v>0</v>
      </c>
      <c r="J265" s="1"/>
    </row>
    <row r="266" spans="1:10" ht="15.5" x14ac:dyDescent="0.35">
      <c r="A266" s="26">
        <f t="shared" si="18"/>
        <v>0</v>
      </c>
      <c r="B266" s="1"/>
      <c r="C266" s="30">
        <f t="shared" si="19"/>
        <v>0</v>
      </c>
      <c r="D266" s="1"/>
      <c r="E266" s="29">
        <f t="shared" si="16"/>
        <v>0</v>
      </c>
      <c r="F266" s="1"/>
      <c r="G266" s="30">
        <f t="shared" si="15"/>
        <v>0</v>
      </c>
      <c r="H266" s="1"/>
      <c r="I266" s="29">
        <f t="shared" si="17"/>
        <v>0</v>
      </c>
      <c r="J266" s="1"/>
    </row>
    <row r="267" spans="1:10" ht="15.5" x14ac:dyDescent="0.35">
      <c r="A267" s="26">
        <f t="shared" si="18"/>
        <v>0</v>
      </c>
      <c r="B267" s="1"/>
      <c r="C267" s="30">
        <f t="shared" si="19"/>
        <v>0</v>
      </c>
      <c r="D267" s="1"/>
      <c r="E267" s="29">
        <f t="shared" si="16"/>
        <v>0</v>
      </c>
      <c r="F267" s="1"/>
      <c r="G267" s="30">
        <f t="shared" si="15"/>
        <v>0</v>
      </c>
      <c r="H267" s="1"/>
      <c r="I267" s="29">
        <f t="shared" si="17"/>
        <v>0</v>
      </c>
      <c r="J267" s="1"/>
    </row>
    <row r="268" spans="1:10" ht="15.5" x14ac:dyDescent="0.35">
      <c r="A268" s="26">
        <f t="shared" si="18"/>
        <v>0</v>
      </c>
      <c r="B268" s="1"/>
      <c r="C268" s="30">
        <f t="shared" si="19"/>
        <v>0</v>
      </c>
      <c r="D268" s="1"/>
      <c r="E268" s="29">
        <f t="shared" si="16"/>
        <v>0</v>
      </c>
      <c r="F268" s="1"/>
      <c r="G268" s="30">
        <f t="shared" si="15"/>
        <v>0</v>
      </c>
      <c r="H268" s="1"/>
      <c r="I268" s="29">
        <f t="shared" si="17"/>
        <v>0</v>
      </c>
      <c r="J268" s="1"/>
    </row>
    <row r="269" spans="1:10" ht="15.5" x14ac:dyDescent="0.35">
      <c r="A269" s="26">
        <f t="shared" si="18"/>
        <v>0</v>
      </c>
      <c r="B269" s="1"/>
      <c r="C269" s="30">
        <f t="shared" si="19"/>
        <v>0</v>
      </c>
      <c r="D269" s="1"/>
      <c r="E269" s="29">
        <f t="shared" si="16"/>
        <v>0</v>
      </c>
      <c r="F269" s="1"/>
      <c r="G269" s="30">
        <f t="shared" si="15"/>
        <v>0</v>
      </c>
      <c r="H269" s="1"/>
      <c r="I269" s="29">
        <f t="shared" si="17"/>
        <v>0</v>
      </c>
      <c r="J269" s="1"/>
    </row>
    <row r="270" spans="1:10" ht="15.5" x14ac:dyDescent="0.35">
      <c r="A270" s="26">
        <f t="shared" si="18"/>
        <v>0</v>
      </c>
      <c r="B270" s="1"/>
      <c r="C270" s="30">
        <f t="shared" si="19"/>
        <v>0</v>
      </c>
      <c r="D270" s="1"/>
      <c r="E270" s="29">
        <f t="shared" si="16"/>
        <v>0</v>
      </c>
      <c r="F270" s="1"/>
      <c r="G270" s="30">
        <f t="shared" si="15"/>
        <v>0</v>
      </c>
      <c r="H270" s="1"/>
      <c r="I270" s="29">
        <f t="shared" si="17"/>
        <v>0</v>
      </c>
      <c r="J270" s="1"/>
    </row>
    <row r="271" spans="1:10" ht="15.5" x14ac:dyDescent="0.35">
      <c r="A271" s="26">
        <f t="shared" si="18"/>
        <v>0</v>
      </c>
      <c r="B271" s="1"/>
      <c r="C271" s="30">
        <f t="shared" si="19"/>
        <v>0</v>
      </c>
      <c r="D271" s="1"/>
      <c r="E271" s="29">
        <f t="shared" si="16"/>
        <v>0</v>
      </c>
      <c r="F271" s="1"/>
      <c r="G271" s="30">
        <f t="shared" ref="G271:G334" si="20">IF(C271&lt;10,0,$E$10-E271)</f>
        <v>0</v>
      </c>
      <c r="H271" s="1"/>
      <c r="I271" s="29">
        <f t="shared" si="17"/>
        <v>0</v>
      </c>
      <c r="J271" s="1"/>
    </row>
    <row r="272" spans="1:10" ht="15.5" x14ac:dyDescent="0.35">
      <c r="A272" s="26">
        <f t="shared" si="18"/>
        <v>0</v>
      </c>
      <c r="B272" s="1"/>
      <c r="C272" s="30">
        <f t="shared" si="19"/>
        <v>0</v>
      </c>
      <c r="D272" s="1"/>
      <c r="E272" s="29">
        <f t="shared" ref="E272:E335" si="21">IF($E$9=0,0,ROUND(C272*($E$9/$E$6),2))</f>
        <v>0</v>
      </c>
      <c r="F272" s="1"/>
      <c r="G272" s="30">
        <f t="shared" si="20"/>
        <v>0</v>
      </c>
      <c r="H272" s="1"/>
      <c r="I272" s="29">
        <f t="shared" si="17"/>
        <v>0</v>
      </c>
      <c r="J272" s="1"/>
    </row>
    <row r="273" spans="1:10" ht="15.5" x14ac:dyDescent="0.35">
      <c r="A273" s="26">
        <f t="shared" si="18"/>
        <v>0</v>
      </c>
      <c r="B273" s="1"/>
      <c r="C273" s="30">
        <f t="shared" si="19"/>
        <v>0</v>
      </c>
      <c r="D273" s="1"/>
      <c r="E273" s="29">
        <f t="shared" si="21"/>
        <v>0</v>
      </c>
      <c r="F273" s="1"/>
      <c r="G273" s="30">
        <f t="shared" si="20"/>
        <v>0</v>
      </c>
      <c r="H273" s="1"/>
      <c r="I273" s="29">
        <f t="shared" ref="I273:I336" si="22">IF(C273-G273&lt;10,0,C273-G273)</f>
        <v>0</v>
      </c>
      <c r="J273" s="1"/>
    </row>
    <row r="274" spans="1:10" ht="15.5" x14ac:dyDescent="0.35">
      <c r="A274" s="26">
        <f t="shared" ref="A274:A337" si="23">IF(I273&lt;10,0,(A273+1))</f>
        <v>0</v>
      </c>
      <c r="B274" s="1"/>
      <c r="C274" s="30">
        <f t="shared" ref="C274:C337" si="24">I273</f>
        <v>0</v>
      </c>
      <c r="D274" s="1"/>
      <c r="E274" s="29">
        <f t="shared" si="21"/>
        <v>0</v>
      </c>
      <c r="F274" s="1"/>
      <c r="G274" s="30">
        <f t="shared" si="20"/>
        <v>0</v>
      </c>
      <c r="H274" s="1"/>
      <c r="I274" s="29">
        <f t="shared" si="22"/>
        <v>0</v>
      </c>
      <c r="J274" s="1"/>
    </row>
    <row r="275" spans="1:10" ht="15.5" x14ac:dyDescent="0.35">
      <c r="A275" s="26">
        <f t="shared" si="23"/>
        <v>0</v>
      </c>
      <c r="B275" s="1"/>
      <c r="C275" s="30">
        <f t="shared" si="24"/>
        <v>0</v>
      </c>
      <c r="D275" s="1"/>
      <c r="E275" s="29">
        <f t="shared" si="21"/>
        <v>0</v>
      </c>
      <c r="F275" s="1"/>
      <c r="G275" s="30">
        <f t="shared" si="20"/>
        <v>0</v>
      </c>
      <c r="H275" s="1"/>
      <c r="I275" s="29">
        <f t="shared" si="22"/>
        <v>0</v>
      </c>
      <c r="J275" s="1"/>
    </row>
    <row r="276" spans="1:10" ht="15.5" x14ac:dyDescent="0.35">
      <c r="A276" s="26">
        <f t="shared" si="23"/>
        <v>0</v>
      </c>
      <c r="B276" s="1"/>
      <c r="C276" s="30">
        <f t="shared" si="24"/>
        <v>0</v>
      </c>
      <c r="D276" s="1"/>
      <c r="E276" s="29">
        <f t="shared" si="21"/>
        <v>0</v>
      </c>
      <c r="F276" s="1"/>
      <c r="G276" s="30">
        <f t="shared" si="20"/>
        <v>0</v>
      </c>
      <c r="H276" s="1"/>
      <c r="I276" s="29">
        <f t="shared" si="22"/>
        <v>0</v>
      </c>
      <c r="J276" s="1"/>
    </row>
    <row r="277" spans="1:10" ht="15.5" x14ac:dyDescent="0.35">
      <c r="A277" s="26">
        <f t="shared" si="23"/>
        <v>0</v>
      </c>
      <c r="B277" s="1"/>
      <c r="C277" s="30">
        <f t="shared" si="24"/>
        <v>0</v>
      </c>
      <c r="D277" s="1"/>
      <c r="E277" s="29">
        <f t="shared" si="21"/>
        <v>0</v>
      </c>
      <c r="F277" s="1"/>
      <c r="G277" s="30">
        <f t="shared" si="20"/>
        <v>0</v>
      </c>
      <c r="H277" s="1"/>
      <c r="I277" s="29">
        <f t="shared" si="22"/>
        <v>0</v>
      </c>
      <c r="J277" s="1"/>
    </row>
    <row r="278" spans="1:10" ht="15.5" x14ac:dyDescent="0.35">
      <c r="A278" s="26">
        <f t="shared" si="23"/>
        <v>0</v>
      </c>
      <c r="B278" s="1"/>
      <c r="C278" s="30">
        <f t="shared" si="24"/>
        <v>0</v>
      </c>
      <c r="D278" s="1"/>
      <c r="E278" s="29">
        <f t="shared" si="21"/>
        <v>0</v>
      </c>
      <c r="F278" s="1"/>
      <c r="G278" s="30">
        <f t="shared" si="20"/>
        <v>0</v>
      </c>
      <c r="H278" s="1"/>
      <c r="I278" s="29">
        <f t="shared" si="22"/>
        <v>0</v>
      </c>
      <c r="J278" s="1"/>
    </row>
    <row r="279" spans="1:10" ht="15.5" x14ac:dyDescent="0.35">
      <c r="A279" s="26">
        <f t="shared" si="23"/>
        <v>0</v>
      </c>
      <c r="B279" s="1"/>
      <c r="C279" s="30">
        <f t="shared" si="24"/>
        <v>0</v>
      </c>
      <c r="D279" s="1"/>
      <c r="E279" s="29">
        <f t="shared" si="21"/>
        <v>0</v>
      </c>
      <c r="F279" s="1"/>
      <c r="G279" s="30">
        <f t="shared" si="20"/>
        <v>0</v>
      </c>
      <c r="H279" s="1"/>
      <c r="I279" s="29">
        <f t="shared" si="22"/>
        <v>0</v>
      </c>
      <c r="J279" s="1"/>
    </row>
    <row r="280" spans="1:10" ht="15.5" x14ac:dyDescent="0.35">
      <c r="A280" s="26">
        <f t="shared" si="23"/>
        <v>0</v>
      </c>
      <c r="B280" s="1"/>
      <c r="C280" s="30">
        <f t="shared" si="24"/>
        <v>0</v>
      </c>
      <c r="D280" s="1"/>
      <c r="E280" s="29">
        <f t="shared" si="21"/>
        <v>0</v>
      </c>
      <c r="F280" s="1"/>
      <c r="G280" s="30">
        <f t="shared" si="20"/>
        <v>0</v>
      </c>
      <c r="H280" s="1"/>
      <c r="I280" s="29">
        <f t="shared" si="22"/>
        <v>0</v>
      </c>
      <c r="J280" s="1"/>
    </row>
    <row r="281" spans="1:10" ht="15.5" x14ac:dyDescent="0.35">
      <c r="A281" s="26">
        <f t="shared" si="23"/>
        <v>0</v>
      </c>
      <c r="B281" s="1"/>
      <c r="C281" s="30">
        <f t="shared" si="24"/>
        <v>0</v>
      </c>
      <c r="D281" s="1"/>
      <c r="E281" s="29">
        <f t="shared" si="21"/>
        <v>0</v>
      </c>
      <c r="F281" s="1"/>
      <c r="G281" s="30">
        <f t="shared" si="20"/>
        <v>0</v>
      </c>
      <c r="H281" s="1"/>
      <c r="I281" s="29">
        <f t="shared" si="22"/>
        <v>0</v>
      </c>
      <c r="J281" s="1"/>
    </row>
    <row r="282" spans="1:10" ht="15.5" x14ac:dyDescent="0.35">
      <c r="A282" s="26">
        <f t="shared" si="23"/>
        <v>0</v>
      </c>
      <c r="B282" s="1"/>
      <c r="C282" s="30">
        <f t="shared" si="24"/>
        <v>0</v>
      </c>
      <c r="D282" s="1"/>
      <c r="E282" s="29">
        <f t="shared" si="21"/>
        <v>0</v>
      </c>
      <c r="F282" s="1"/>
      <c r="G282" s="30">
        <f t="shared" si="20"/>
        <v>0</v>
      </c>
      <c r="H282" s="1"/>
      <c r="I282" s="29">
        <f t="shared" si="22"/>
        <v>0</v>
      </c>
      <c r="J282" s="1"/>
    </row>
    <row r="283" spans="1:10" ht="15.5" x14ac:dyDescent="0.35">
      <c r="A283" s="26">
        <f t="shared" si="23"/>
        <v>0</v>
      </c>
      <c r="B283" s="1"/>
      <c r="C283" s="30">
        <f t="shared" si="24"/>
        <v>0</v>
      </c>
      <c r="D283" s="1"/>
      <c r="E283" s="29">
        <f t="shared" si="21"/>
        <v>0</v>
      </c>
      <c r="F283" s="1"/>
      <c r="G283" s="30">
        <f t="shared" si="20"/>
        <v>0</v>
      </c>
      <c r="H283" s="1"/>
      <c r="I283" s="29">
        <f t="shared" si="22"/>
        <v>0</v>
      </c>
      <c r="J283" s="1"/>
    </row>
    <row r="284" spans="1:10" ht="15.5" x14ac:dyDescent="0.35">
      <c r="A284" s="26">
        <f t="shared" si="23"/>
        <v>0</v>
      </c>
      <c r="B284" s="1"/>
      <c r="C284" s="30">
        <f t="shared" si="24"/>
        <v>0</v>
      </c>
      <c r="D284" s="1"/>
      <c r="E284" s="29">
        <f t="shared" si="21"/>
        <v>0</v>
      </c>
      <c r="F284" s="1"/>
      <c r="G284" s="30">
        <f t="shared" si="20"/>
        <v>0</v>
      </c>
      <c r="H284" s="1"/>
      <c r="I284" s="29">
        <f t="shared" si="22"/>
        <v>0</v>
      </c>
      <c r="J284" s="1"/>
    </row>
    <row r="285" spans="1:10" ht="15.5" x14ac:dyDescent="0.35">
      <c r="A285" s="26">
        <f t="shared" si="23"/>
        <v>0</v>
      </c>
      <c r="B285" s="1"/>
      <c r="C285" s="30">
        <f t="shared" si="24"/>
        <v>0</v>
      </c>
      <c r="D285" s="1"/>
      <c r="E285" s="29">
        <f t="shared" si="21"/>
        <v>0</v>
      </c>
      <c r="F285" s="1"/>
      <c r="G285" s="30">
        <f t="shared" si="20"/>
        <v>0</v>
      </c>
      <c r="H285" s="1"/>
      <c r="I285" s="29">
        <f t="shared" si="22"/>
        <v>0</v>
      </c>
      <c r="J285" s="1"/>
    </row>
    <row r="286" spans="1:10" ht="15.5" x14ac:dyDescent="0.35">
      <c r="A286" s="26">
        <f t="shared" si="23"/>
        <v>0</v>
      </c>
      <c r="B286" s="1"/>
      <c r="C286" s="30">
        <f t="shared" si="24"/>
        <v>0</v>
      </c>
      <c r="D286" s="1"/>
      <c r="E286" s="29">
        <f t="shared" si="21"/>
        <v>0</v>
      </c>
      <c r="F286" s="1"/>
      <c r="G286" s="30">
        <f t="shared" si="20"/>
        <v>0</v>
      </c>
      <c r="H286" s="1"/>
      <c r="I286" s="29">
        <f t="shared" si="22"/>
        <v>0</v>
      </c>
      <c r="J286" s="1"/>
    </row>
    <row r="287" spans="1:10" ht="15.5" x14ac:dyDescent="0.35">
      <c r="A287" s="26">
        <f t="shared" si="23"/>
        <v>0</v>
      </c>
      <c r="B287" s="1"/>
      <c r="C287" s="30">
        <f t="shared" si="24"/>
        <v>0</v>
      </c>
      <c r="D287" s="1"/>
      <c r="E287" s="29">
        <f t="shared" si="21"/>
        <v>0</v>
      </c>
      <c r="F287" s="1"/>
      <c r="G287" s="30">
        <f t="shared" si="20"/>
        <v>0</v>
      </c>
      <c r="H287" s="1"/>
      <c r="I287" s="29">
        <f t="shared" si="22"/>
        <v>0</v>
      </c>
      <c r="J287" s="1"/>
    </row>
    <row r="288" spans="1:10" ht="15.5" x14ac:dyDescent="0.35">
      <c r="A288" s="26">
        <f t="shared" si="23"/>
        <v>0</v>
      </c>
      <c r="B288" s="1"/>
      <c r="C288" s="30">
        <f t="shared" si="24"/>
        <v>0</v>
      </c>
      <c r="D288" s="1"/>
      <c r="E288" s="29">
        <f t="shared" si="21"/>
        <v>0</v>
      </c>
      <c r="F288" s="1"/>
      <c r="G288" s="30">
        <f t="shared" si="20"/>
        <v>0</v>
      </c>
      <c r="H288" s="1"/>
      <c r="I288" s="29">
        <f t="shared" si="22"/>
        <v>0</v>
      </c>
      <c r="J288" s="1"/>
    </row>
    <row r="289" spans="1:10" ht="15.5" x14ac:dyDescent="0.35">
      <c r="A289" s="26">
        <f t="shared" si="23"/>
        <v>0</v>
      </c>
      <c r="B289" s="1"/>
      <c r="C289" s="30">
        <f t="shared" si="24"/>
        <v>0</v>
      </c>
      <c r="D289" s="1"/>
      <c r="E289" s="29">
        <f t="shared" si="21"/>
        <v>0</v>
      </c>
      <c r="F289" s="1"/>
      <c r="G289" s="30">
        <f t="shared" si="20"/>
        <v>0</v>
      </c>
      <c r="H289" s="1"/>
      <c r="I289" s="29">
        <f t="shared" si="22"/>
        <v>0</v>
      </c>
      <c r="J289" s="1"/>
    </row>
    <row r="290" spans="1:10" ht="15.5" x14ac:dyDescent="0.35">
      <c r="A290" s="26">
        <f t="shared" si="23"/>
        <v>0</v>
      </c>
      <c r="B290" s="1"/>
      <c r="C290" s="30">
        <f t="shared" si="24"/>
        <v>0</v>
      </c>
      <c r="D290" s="1"/>
      <c r="E290" s="29">
        <f t="shared" si="21"/>
        <v>0</v>
      </c>
      <c r="F290" s="1"/>
      <c r="G290" s="30">
        <f t="shared" si="20"/>
        <v>0</v>
      </c>
      <c r="H290" s="1"/>
      <c r="I290" s="29">
        <f t="shared" si="22"/>
        <v>0</v>
      </c>
      <c r="J290" s="1"/>
    </row>
    <row r="291" spans="1:10" ht="15.5" x14ac:dyDescent="0.35">
      <c r="A291" s="26">
        <f t="shared" si="23"/>
        <v>0</v>
      </c>
      <c r="B291" s="1"/>
      <c r="C291" s="30">
        <f t="shared" si="24"/>
        <v>0</v>
      </c>
      <c r="D291" s="1"/>
      <c r="E291" s="29">
        <f t="shared" si="21"/>
        <v>0</v>
      </c>
      <c r="F291" s="1"/>
      <c r="G291" s="30">
        <f t="shared" si="20"/>
        <v>0</v>
      </c>
      <c r="H291" s="1"/>
      <c r="I291" s="29">
        <f t="shared" si="22"/>
        <v>0</v>
      </c>
      <c r="J291" s="1"/>
    </row>
    <row r="292" spans="1:10" ht="15.5" x14ac:dyDescent="0.35">
      <c r="A292" s="26">
        <f t="shared" si="23"/>
        <v>0</v>
      </c>
      <c r="B292" s="1"/>
      <c r="C292" s="30">
        <f t="shared" si="24"/>
        <v>0</v>
      </c>
      <c r="D292" s="1"/>
      <c r="E292" s="29">
        <f t="shared" si="21"/>
        <v>0</v>
      </c>
      <c r="F292" s="1"/>
      <c r="G292" s="30">
        <f t="shared" si="20"/>
        <v>0</v>
      </c>
      <c r="H292" s="1"/>
      <c r="I292" s="29">
        <f t="shared" si="22"/>
        <v>0</v>
      </c>
      <c r="J292" s="1"/>
    </row>
    <row r="293" spans="1:10" ht="15.5" x14ac:dyDescent="0.35">
      <c r="A293" s="26">
        <f t="shared" si="23"/>
        <v>0</v>
      </c>
      <c r="B293" s="1"/>
      <c r="C293" s="30">
        <f t="shared" si="24"/>
        <v>0</v>
      </c>
      <c r="D293" s="1"/>
      <c r="E293" s="29">
        <f t="shared" si="21"/>
        <v>0</v>
      </c>
      <c r="F293" s="1"/>
      <c r="G293" s="30">
        <f t="shared" si="20"/>
        <v>0</v>
      </c>
      <c r="H293" s="1"/>
      <c r="I293" s="29">
        <f t="shared" si="22"/>
        <v>0</v>
      </c>
      <c r="J293" s="1"/>
    </row>
    <row r="294" spans="1:10" ht="15.5" x14ac:dyDescent="0.35">
      <c r="A294" s="26">
        <f t="shared" si="23"/>
        <v>0</v>
      </c>
      <c r="B294" s="1"/>
      <c r="C294" s="30">
        <f t="shared" si="24"/>
        <v>0</v>
      </c>
      <c r="D294" s="1"/>
      <c r="E294" s="29">
        <f t="shared" si="21"/>
        <v>0</v>
      </c>
      <c r="F294" s="1"/>
      <c r="G294" s="30">
        <f t="shared" si="20"/>
        <v>0</v>
      </c>
      <c r="H294" s="1"/>
      <c r="I294" s="29">
        <f t="shared" si="22"/>
        <v>0</v>
      </c>
      <c r="J294" s="1"/>
    </row>
    <row r="295" spans="1:10" ht="15.5" x14ac:dyDescent="0.35">
      <c r="A295" s="26">
        <f t="shared" si="23"/>
        <v>0</v>
      </c>
      <c r="B295" s="1"/>
      <c r="C295" s="30">
        <f t="shared" si="24"/>
        <v>0</v>
      </c>
      <c r="D295" s="1"/>
      <c r="E295" s="29">
        <f t="shared" si="21"/>
        <v>0</v>
      </c>
      <c r="F295" s="1"/>
      <c r="G295" s="30">
        <f t="shared" si="20"/>
        <v>0</v>
      </c>
      <c r="H295" s="1"/>
      <c r="I295" s="29">
        <f t="shared" si="22"/>
        <v>0</v>
      </c>
      <c r="J295" s="1"/>
    </row>
    <row r="296" spans="1:10" ht="15.5" x14ac:dyDescent="0.35">
      <c r="A296" s="26">
        <f t="shared" si="23"/>
        <v>0</v>
      </c>
      <c r="B296" s="1"/>
      <c r="C296" s="30">
        <f t="shared" si="24"/>
        <v>0</v>
      </c>
      <c r="D296" s="1"/>
      <c r="E296" s="29">
        <f t="shared" si="21"/>
        <v>0</v>
      </c>
      <c r="F296" s="1"/>
      <c r="G296" s="30">
        <f t="shared" si="20"/>
        <v>0</v>
      </c>
      <c r="H296" s="1"/>
      <c r="I296" s="29">
        <f t="shared" si="22"/>
        <v>0</v>
      </c>
      <c r="J296" s="1"/>
    </row>
    <row r="297" spans="1:10" ht="15.5" x14ac:dyDescent="0.35">
      <c r="A297" s="26">
        <f t="shared" si="23"/>
        <v>0</v>
      </c>
      <c r="B297" s="1"/>
      <c r="C297" s="30">
        <f t="shared" si="24"/>
        <v>0</v>
      </c>
      <c r="D297" s="1"/>
      <c r="E297" s="29">
        <f t="shared" si="21"/>
        <v>0</v>
      </c>
      <c r="F297" s="1"/>
      <c r="G297" s="30">
        <f t="shared" si="20"/>
        <v>0</v>
      </c>
      <c r="H297" s="1"/>
      <c r="I297" s="29">
        <f t="shared" si="22"/>
        <v>0</v>
      </c>
      <c r="J297" s="1"/>
    </row>
    <row r="298" spans="1:10" ht="15.5" x14ac:dyDescent="0.35">
      <c r="A298" s="26">
        <f t="shared" si="23"/>
        <v>0</v>
      </c>
      <c r="B298" s="1"/>
      <c r="C298" s="30">
        <f t="shared" si="24"/>
        <v>0</v>
      </c>
      <c r="D298" s="1"/>
      <c r="E298" s="29">
        <f t="shared" si="21"/>
        <v>0</v>
      </c>
      <c r="F298" s="1"/>
      <c r="G298" s="30">
        <f t="shared" si="20"/>
        <v>0</v>
      </c>
      <c r="H298" s="1"/>
      <c r="I298" s="29">
        <f t="shared" si="22"/>
        <v>0</v>
      </c>
      <c r="J298" s="1"/>
    </row>
    <row r="299" spans="1:10" ht="15.5" x14ac:dyDescent="0.35">
      <c r="A299" s="26">
        <f t="shared" si="23"/>
        <v>0</v>
      </c>
      <c r="B299" s="1"/>
      <c r="C299" s="30">
        <f t="shared" si="24"/>
        <v>0</v>
      </c>
      <c r="D299" s="1"/>
      <c r="E299" s="29">
        <f t="shared" si="21"/>
        <v>0</v>
      </c>
      <c r="F299" s="1"/>
      <c r="G299" s="30">
        <f t="shared" si="20"/>
        <v>0</v>
      </c>
      <c r="H299" s="1"/>
      <c r="I299" s="29">
        <f t="shared" si="22"/>
        <v>0</v>
      </c>
      <c r="J299" s="1"/>
    </row>
    <row r="300" spans="1:10" ht="15.5" x14ac:dyDescent="0.35">
      <c r="A300" s="26">
        <f t="shared" si="23"/>
        <v>0</v>
      </c>
      <c r="B300" s="1"/>
      <c r="C300" s="30">
        <f t="shared" si="24"/>
        <v>0</v>
      </c>
      <c r="D300" s="1"/>
      <c r="E300" s="29">
        <f t="shared" si="21"/>
        <v>0</v>
      </c>
      <c r="F300" s="1"/>
      <c r="G300" s="30">
        <f t="shared" si="20"/>
        <v>0</v>
      </c>
      <c r="H300" s="1"/>
      <c r="I300" s="29">
        <f t="shared" si="22"/>
        <v>0</v>
      </c>
      <c r="J300" s="1"/>
    </row>
    <row r="301" spans="1:10" ht="15.5" x14ac:dyDescent="0.35">
      <c r="A301" s="26">
        <f t="shared" si="23"/>
        <v>0</v>
      </c>
      <c r="B301" s="1"/>
      <c r="C301" s="30">
        <f t="shared" si="24"/>
        <v>0</v>
      </c>
      <c r="D301" s="1"/>
      <c r="E301" s="29">
        <f t="shared" si="21"/>
        <v>0</v>
      </c>
      <c r="F301" s="1"/>
      <c r="G301" s="30">
        <f t="shared" si="20"/>
        <v>0</v>
      </c>
      <c r="H301" s="1"/>
      <c r="I301" s="29">
        <f t="shared" si="22"/>
        <v>0</v>
      </c>
      <c r="J301" s="1"/>
    </row>
    <row r="302" spans="1:10" ht="15.5" x14ac:dyDescent="0.35">
      <c r="A302" s="26">
        <f t="shared" si="23"/>
        <v>0</v>
      </c>
      <c r="B302" s="1"/>
      <c r="C302" s="30">
        <f t="shared" si="24"/>
        <v>0</v>
      </c>
      <c r="D302" s="1"/>
      <c r="E302" s="29">
        <f t="shared" si="21"/>
        <v>0</v>
      </c>
      <c r="F302" s="1"/>
      <c r="G302" s="30">
        <f t="shared" si="20"/>
        <v>0</v>
      </c>
      <c r="H302" s="1"/>
      <c r="I302" s="29">
        <f t="shared" si="22"/>
        <v>0</v>
      </c>
      <c r="J302" s="1"/>
    </row>
    <row r="303" spans="1:10" ht="15.5" x14ac:dyDescent="0.35">
      <c r="A303" s="26">
        <f t="shared" si="23"/>
        <v>0</v>
      </c>
      <c r="B303" s="1"/>
      <c r="C303" s="30">
        <f t="shared" si="24"/>
        <v>0</v>
      </c>
      <c r="D303" s="1"/>
      <c r="E303" s="29">
        <f t="shared" si="21"/>
        <v>0</v>
      </c>
      <c r="F303" s="1"/>
      <c r="G303" s="30">
        <f t="shared" si="20"/>
        <v>0</v>
      </c>
      <c r="H303" s="1"/>
      <c r="I303" s="29">
        <f t="shared" si="22"/>
        <v>0</v>
      </c>
      <c r="J303" s="1"/>
    </row>
    <row r="304" spans="1:10" ht="15.5" x14ac:dyDescent="0.35">
      <c r="A304" s="26">
        <f t="shared" si="23"/>
        <v>0</v>
      </c>
      <c r="B304" s="1"/>
      <c r="C304" s="30">
        <f t="shared" si="24"/>
        <v>0</v>
      </c>
      <c r="D304" s="1"/>
      <c r="E304" s="29">
        <f t="shared" si="21"/>
        <v>0</v>
      </c>
      <c r="F304" s="1"/>
      <c r="G304" s="30">
        <f t="shared" si="20"/>
        <v>0</v>
      </c>
      <c r="H304" s="1"/>
      <c r="I304" s="29">
        <f t="shared" si="22"/>
        <v>0</v>
      </c>
      <c r="J304" s="1"/>
    </row>
    <row r="305" spans="1:10" ht="15.5" x14ac:dyDescent="0.35">
      <c r="A305" s="26">
        <f t="shared" si="23"/>
        <v>0</v>
      </c>
      <c r="B305" s="1"/>
      <c r="C305" s="30">
        <f t="shared" si="24"/>
        <v>0</v>
      </c>
      <c r="D305" s="1"/>
      <c r="E305" s="29">
        <f t="shared" si="21"/>
        <v>0</v>
      </c>
      <c r="F305" s="1"/>
      <c r="G305" s="30">
        <f t="shared" si="20"/>
        <v>0</v>
      </c>
      <c r="H305" s="1"/>
      <c r="I305" s="29">
        <f t="shared" si="22"/>
        <v>0</v>
      </c>
      <c r="J305" s="1"/>
    </row>
    <row r="306" spans="1:10" ht="15.5" x14ac:dyDescent="0.35">
      <c r="A306" s="26">
        <f t="shared" si="23"/>
        <v>0</v>
      </c>
      <c r="B306" s="1"/>
      <c r="C306" s="30">
        <f t="shared" si="24"/>
        <v>0</v>
      </c>
      <c r="D306" s="1"/>
      <c r="E306" s="29">
        <f t="shared" si="21"/>
        <v>0</v>
      </c>
      <c r="F306" s="1"/>
      <c r="G306" s="30">
        <f t="shared" si="20"/>
        <v>0</v>
      </c>
      <c r="H306" s="1"/>
      <c r="I306" s="29">
        <f t="shared" si="22"/>
        <v>0</v>
      </c>
      <c r="J306" s="1"/>
    </row>
    <row r="307" spans="1:10" ht="15.5" x14ac:dyDescent="0.35">
      <c r="A307" s="26">
        <f t="shared" si="23"/>
        <v>0</v>
      </c>
      <c r="B307" s="1"/>
      <c r="C307" s="30">
        <f t="shared" si="24"/>
        <v>0</v>
      </c>
      <c r="D307" s="1"/>
      <c r="E307" s="29">
        <f t="shared" si="21"/>
        <v>0</v>
      </c>
      <c r="F307" s="1"/>
      <c r="G307" s="30">
        <f t="shared" si="20"/>
        <v>0</v>
      </c>
      <c r="H307" s="1"/>
      <c r="I307" s="29">
        <f t="shared" si="22"/>
        <v>0</v>
      </c>
      <c r="J307" s="1"/>
    </row>
    <row r="308" spans="1:10" ht="15.5" x14ac:dyDescent="0.35">
      <c r="A308" s="26">
        <f t="shared" si="23"/>
        <v>0</v>
      </c>
      <c r="B308" s="1"/>
      <c r="C308" s="30">
        <f t="shared" si="24"/>
        <v>0</v>
      </c>
      <c r="D308" s="1"/>
      <c r="E308" s="29">
        <f t="shared" si="21"/>
        <v>0</v>
      </c>
      <c r="F308" s="1"/>
      <c r="G308" s="30">
        <f t="shared" si="20"/>
        <v>0</v>
      </c>
      <c r="H308" s="1"/>
      <c r="I308" s="29">
        <f t="shared" si="22"/>
        <v>0</v>
      </c>
      <c r="J308" s="1"/>
    </row>
    <row r="309" spans="1:10" ht="15.5" x14ac:dyDescent="0.35">
      <c r="A309" s="26">
        <f t="shared" si="23"/>
        <v>0</v>
      </c>
      <c r="B309" s="1"/>
      <c r="C309" s="30">
        <f t="shared" si="24"/>
        <v>0</v>
      </c>
      <c r="D309" s="1"/>
      <c r="E309" s="29">
        <f t="shared" si="21"/>
        <v>0</v>
      </c>
      <c r="F309" s="1"/>
      <c r="G309" s="30">
        <f t="shared" si="20"/>
        <v>0</v>
      </c>
      <c r="H309" s="1"/>
      <c r="I309" s="29">
        <f t="shared" si="22"/>
        <v>0</v>
      </c>
      <c r="J309" s="1"/>
    </row>
    <row r="310" spans="1:10" ht="15.5" x14ac:dyDescent="0.35">
      <c r="A310" s="26">
        <f t="shared" si="23"/>
        <v>0</v>
      </c>
      <c r="B310" s="1"/>
      <c r="C310" s="30">
        <f t="shared" si="24"/>
        <v>0</v>
      </c>
      <c r="D310" s="1"/>
      <c r="E310" s="29">
        <f t="shared" si="21"/>
        <v>0</v>
      </c>
      <c r="F310" s="1"/>
      <c r="G310" s="30">
        <f t="shared" si="20"/>
        <v>0</v>
      </c>
      <c r="H310" s="1"/>
      <c r="I310" s="29">
        <f t="shared" si="22"/>
        <v>0</v>
      </c>
      <c r="J310" s="1"/>
    </row>
    <row r="311" spans="1:10" ht="15.5" x14ac:dyDescent="0.35">
      <c r="A311" s="26">
        <f t="shared" si="23"/>
        <v>0</v>
      </c>
      <c r="B311" s="1"/>
      <c r="C311" s="30">
        <f t="shared" si="24"/>
        <v>0</v>
      </c>
      <c r="D311" s="1"/>
      <c r="E311" s="29">
        <f t="shared" si="21"/>
        <v>0</v>
      </c>
      <c r="F311" s="1"/>
      <c r="G311" s="30">
        <f t="shared" si="20"/>
        <v>0</v>
      </c>
      <c r="H311" s="1"/>
      <c r="I311" s="29">
        <f t="shared" si="22"/>
        <v>0</v>
      </c>
      <c r="J311" s="1"/>
    </row>
    <row r="312" spans="1:10" ht="15.5" x14ac:dyDescent="0.35">
      <c r="A312" s="26">
        <f t="shared" si="23"/>
        <v>0</v>
      </c>
      <c r="B312" s="1"/>
      <c r="C312" s="30">
        <f t="shared" si="24"/>
        <v>0</v>
      </c>
      <c r="D312" s="1"/>
      <c r="E312" s="29">
        <f t="shared" si="21"/>
        <v>0</v>
      </c>
      <c r="F312" s="1"/>
      <c r="G312" s="30">
        <f t="shared" si="20"/>
        <v>0</v>
      </c>
      <c r="H312" s="1"/>
      <c r="I312" s="29">
        <f t="shared" si="22"/>
        <v>0</v>
      </c>
      <c r="J312" s="1"/>
    </row>
    <row r="313" spans="1:10" ht="15.5" x14ac:dyDescent="0.35">
      <c r="A313" s="26">
        <f t="shared" si="23"/>
        <v>0</v>
      </c>
      <c r="B313" s="1"/>
      <c r="C313" s="30">
        <f t="shared" si="24"/>
        <v>0</v>
      </c>
      <c r="D313" s="1"/>
      <c r="E313" s="29">
        <f t="shared" si="21"/>
        <v>0</v>
      </c>
      <c r="F313" s="1"/>
      <c r="G313" s="30">
        <f t="shared" si="20"/>
        <v>0</v>
      </c>
      <c r="H313" s="1"/>
      <c r="I313" s="29">
        <f t="shared" si="22"/>
        <v>0</v>
      </c>
      <c r="J313" s="1"/>
    </row>
    <row r="314" spans="1:10" ht="15.5" x14ac:dyDescent="0.35">
      <c r="A314" s="26">
        <f t="shared" si="23"/>
        <v>0</v>
      </c>
      <c r="B314" s="1"/>
      <c r="C314" s="30">
        <f t="shared" si="24"/>
        <v>0</v>
      </c>
      <c r="D314" s="1"/>
      <c r="E314" s="29">
        <f t="shared" si="21"/>
        <v>0</v>
      </c>
      <c r="F314" s="1"/>
      <c r="G314" s="30">
        <f t="shared" si="20"/>
        <v>0</v>
      </c>
      <c r="H314" s="1"/>
      <c r="I314" s="29">
        <f t="shared" si="22"/>
        <v>0</v>
      </c>
      <c r="J314" s="1"/>
    </row>
    <row r="315" spans="1:10" ht="15.5" x14ac:dyDescent="0.35">
      <c r="A315" s="26">
        <f t="shared" si="23"/>
        <v>0</v>
      </c>
      <c r="B315" s="1"/>
      <c r="C315" s="30">
        <f t="shared" si="24"/>
        <v>0</v>
      </c>
      <c r="D315" s="1"/>
      <c r="E315" s="29">
        <f t="shared" si="21"/>
        <v>0</v>
      </c>
      <c r="F315" s="1"/>
      <c r="G315" s="30">
        <f t="shared" si="20"/>
        <v>0</v>
      </c>
      <c r="H315" s="1"/>
      <c r="I315" s="29">
        <f t="shared" si="22"/>
        <v>0</v>
      </c>
      <c r="J315" s="1"/>
    </row>
    <row r="316" spans="1:10" ht="15.5" x14ac:dyDescent="0.35">
      <c r="A316" s="26">
        <f t="shared" si="23"/>
        <v>0</v>
      </c>
      <c r="B316" s="1"/>
      <c r="C316" s="30">
        <f t="shared" si="24"/>
        <v>0</v>
      </c>
      <c r="D316" s="1"/>
      <c r="E316" s="29">
        <f t="shared" si="21"/>
        <v>0</v>
      </c>
      <c r="F316" s="1"/>
      <c r="G316" s="30">
        <f t="shared" si="20"/>
        <v>0</v>
      </c>
      <c r="H316" s="1"/>
      <c r="I316" s="29">
        <f t="shared" si="22"/>
        <v>0</v>
      </c>
      <c r="J316" s="1"/>
    </row>
    <row r="317" spans="1:10" ht="15.5" x14ac:dyDescent="0.35">
      <c r="A317" s="26">
        <f t="shared" si="23"/>
        <v>0</v>
      </c>
      <c r="B317" s="1"/>
      <c r="C317" s="30">
        <f t="shared" si="24"/>
        <v>0</v>
      </c>
      <c r="D317" s="1"/>
      <c r="E317" s="29">
        <f t="shared" si="21"/>
        <v>0</v>
      </c>
      <c r="F317" s="1"/>
      <c r="G317" s="30">
        <f t="shared" si="20"/>
        <v>0</v>
      </c>
      <c r="H317" s="1"/>
      <c r="I317" s="29">
        <f t="shared" si="22"/>
        <v>0</v>
      </c>
      <c r="J317" s="1"/>
    </row>
    <row r="318" spans="1:10" ht="15.5" x14ac:dyDescent="0.35">
      <c r="A318" s="26">
        <f t="shared" si="23"/>
        <v>0</v>
      </c>
      <c r="B318" s="1"/>
      <c r="C318" s="30">
        <f t="shared" si="24"/>
        <v>0</v>
      </c>
      <c r="D318" s="1"/>
      <c r="E318" s="29">
        <f t="shared" si="21"/>
        <v>0</v>
      </c>
      <c r="F318" s="1"/>
      <c r="G318" s="30">
        <f t="shared" si="20"/>
        <v>0</v>
      </c>
      <c r="H318" s="1"/>
      <c r="I318" s="29">
        <f t="shared" si="22"/>
        <v>0</v>
      </c>
      <c r="J318" s="1"/>
    </row>
    <row r="319" spans="1:10" ht="15.5" x14ac:dyDescent="0.35">
      <c r="A319" s="26">
        <f t="shared" si="23"/>
        <v>0</v>
      </c>
      <c r="B319" s="1"/>
      <c r="C319" s="30">
        <f t="shared" si="24"/>
        <v>0</v>
      </c>
      <c r="D319" s="1"/>
      <c r="E319" s="29">
        <f t="shared" si="21"/>
        <v>0</v>
      </c>
      <c r="F319" s="1"/>
      <c r="G319" s="30">
        <f t="shared" si="20"/>
        <v>0</v>
      </c>
      <c r="H319" s="1"/>
      <c r="I319" s="29">
        <f t="shared" si="22"/>
        <v>0</v>
      </c>
      <c r="J319" s="1"/>
    </row>
    <row r="320" spans="1:10" ht="15.5" x14ac:dyDescent="0.35">
      <c r="A320" s="26">
        <f t="shared" si="23"/>
        <v>0</v>
      </c>
      <c r="B320" s="1"/>
      <c r="C320" s="30">
        <f t="shared" si="24"/>
        <v>0</v>
      </c>
      <c r="D320" s="1"/>
      <c r="E320" s="29">
        <f t="shared" si="21"/>
        <v>0</v>
      </c>
      <c r="F320" s="1"/>
      <c r="G320" s="30">
        <f t="shared" si="20"/>
        <v>0</v>
      </c>
      <c r="H320" s="1"/>
      <c r="I320" s="29">
        <f t="shared" si="22"/>
        <v>0</v>
      </c>
      <c r="J320" s="1"/>
    </row>
    <row r="321" spans="1:10" ht="15.5" x14ac:dyDescent="0.35">
      <c r="A321" s="26">
        <f t="shared" si="23"/>
        <v>0</v>
      </c>
      <c r="B321" s="1"/>
      <c r="C321" s="30">
        <f t="shared" si="24"/>
        <v>0</v>
      </c>
      <c r="D321" s="1"/>
      <c r="E321" s="29">
        <f t="shared" si="21"/>
        <v>0</v>
      </c>
      <c r="F321" s="1"/>
      <c r="G321" s="30">
        <f t="shared" si="20"/>
        <v>0</v>
      </c>
      <c r="H321" s="1"/>
      <c r="I321" s="29">
        <f t="shared" si="22"/>
        <v>0</v>
      </c>
      <c r="J321" s="1"/>
    </row>
    <row r="322" spans="1:10" ht="15.5" x14ac:dyDescent="0.35">
      <c r="A322" s="26">
        <f t="shared" si="23"/>
        <v>0</v>
      </c>
      <c r="B322" s="1"/>
      <c r="C322" s="30">
        <f t="shared" si="24"/>
        <v>0</v>
      </c>
      <c r="D322" s="1"/>
      <c r="E322" s="29">
        <f t="shared" si="21"/>
        <v>0</v>
      </c>
      <c r="F322" s="1"/>
      <c r="G322" s="30">
        <f t="shared" si="20"/>
        <v>0</v>
      </c>
      <c r="H322" s="1"/>
      <c r="I322" s="29">
        <f t="shared" si="22"/>
        <v>0</v>
      </c>
      <c r="J322" s="1"/>
    </row>
    <row r="323" spans="1:10" ht="15.5" x14ac:dyDescent="0.35">
      <c r="A323" s="26">
        <f t="shared" si="23"/>
        <v>0</v>
      </c>
      <c r="B323" s="1"/>
      <c r="C323" s="30">
        <f t="shared" si="24"/>
        <v>0</v>
      </c>
      <c r="D323" s="1"/>
      <c r="E323" s="29">
        <f t="shared" si="21"/>
        <v>0</v>
      </c>
      <c r="F323" s="1"/>
      <c r="G323" s="30">
        <f t="shared" si="20"/>
        <v>0</v>
      </c>
      <c r="H323" s="1"/>
      <c r="I323" s="29">
        <f t="shared" si="22"/>
        <v>0</v>
      </c>
      <c r="J323" s="1"/>
    </row>
    <row r="324" spans="1:10" ht="15.5" x14ac:dyDescent="0.35">
      <c r="A324" s="26">
        <f t="shared" si="23"/>
        <v>0</v>
      </c>
      <c r="B324" s="1"/>
      <c r="C324" s="30">
        <f t="shared" si="24"/>
        <v>0</v>
      </c>
      <c r="D324" s="1"/>
      <c r="E324" s="29">
        <f t="shared" si="21"/>
        <v>0</v>
      </c>
      <c r="F324" s="1"/>
      <c r="G324" s="30">
        <f t="shared" si="20"/>
        <v>0</v>
      </c>
      <c r="H324" s="1"/>
      <c r="I324" s="29">
        <f t="shared" si="22"/>
        <v>0</v>
      </c>
      <c r="J324" s="1"/>
    </row>
    <row r="325" spans="1:10" ht="15.5" x14ac:dyDescent="0.35">
      <c r="A325" s="26">
        <f t="shared" si="23"/>
        <v>0</v>
      </c>
      <c r="B325" s="1"/>
      <c r="C325" s="30">
        <f t="shared" si="24"/>
        <v>0</v>
      </c>
      <c r="D325" s="1"/>
      <c r="E325" s="29">
        <f t="shared" si="21"/>
        <v>0</v>
      </c>
      <c r="F325" s="1"/>
      <c r="G325" s="30">
        <f t="shared" si="20"/>
        <v>0</v>
      </c>
      <c r="H325" s="1"/>
      <c r="I325" s="29">
        <f t="shared" si="22"/>
        <v>0</v>
      </c>
      <c r="J325" s="1"/>
    </row>
    <row r="326" spans="1:10" ht="15.5" x14ac:dyDescent="0.35">
      <c r="A326" s="26">
        <f t="shared" si="23"/>
        <v>0</v>
      </c>
      <c r="B326" s="1"/>
      <c r="C326" s="30">
        <f t="shared" si="24"/>
        <v>0</v>
      </c>
      <c r="D326" s="1"/>
      <c r="E326" s="29">
        <f t="shared" si="21"/>
        <v>0</v>
      </c>
      <c r="F326" s="1"/>
      <c r="G326" s="30">
        <f t="shared" si="20"/>
        <v>0</v>
      </c>
      <c r="H326" s="1"/>
      <c r="I326" s="29">
        <f t="shared" si="22"/>
        <v>0</v>
      </c>
      <c r="J326" s="1"/>
    </row>
    <row r="327" spans="1:10" ht="15.5" x14ac:dyDescent="0.35">
      <c r="A327" s="26">
        <f t="shared" si="23"/>
        <v>0</v>
      </c>
      <c r="B327" s="1"/>
      <c r="C327" s="30">
        <f t="shared" si="24"/>
        <v>0</v>
      </c>
      <c r="D327" s="1"/>
      <c r="E327" s="29">
        <f t="shared" si="21"/>
        <v>0</v>
      </c>
      <c r="F327" s="1"/>
      <c r="G327" s="30">
        <f t="shared" si="20"/>
        <v>0</v>
      </c>
      <c r="H327" s="1"/>
      <c r="I327" s="29">
        <f t="shared" si="22"/>
        <v>0</v>
      </c>
      <c r="J327" s="1"/>
    </row>
    <row r="328" spans="1:10" ht="15.5" x14ac:dyDescent="0.35">
      <c r="A328" s="26">
        <f t="shared" si="23"/>
        <v>0</v>
      </c>
      <c r="B328" s="1"/>
      <c r="C328" s="30">
        <f t="shared" si="24"/>
        <v>0</v>
      </c>
      <c r="D328" s="1"/>
      <c r="E328" s="29">
        <f t="shared" si="21"/>
        <v>0</v>
      </c>
      <c r="F328" s="1"/>
      <c r="G328" s="30">
        <f t="shared" si="20"/>
        <v>0</v>
      </c>
      <c r="H328" s="1"/>
      <c r="I328" s="29">
        <f t="shared" si="22"/>
        <v>0</v>
      </c>
      <c r="J328" s="1"/>
    </row>
    <row r="329" spans="1:10" ht="15.5" x14ac:dyDescent="0.35">
      <c r="A329" s="26">
        <f t="shared" si="23"/>
        <v>0</v>
      </c>
      <c r="B329" s="1"/>
      <c r="C329" s="30">
        <f t="shared" si="24"/>
        <v>0</v>
      </c>
      <c r="D329" s="1"/>
      <c r="E329" s="29">
        <f t="shared" si="21"/>
        <v>0</v>
      </c>
      <c r="F329" s="1"/>
      <c r="G329" s="30">
        <f t="shared" si="20"/>
        <v>0</v>
      </c>
      <c r="H329" s="1"/>
      <c r="I329" s="29">
        <f t="shared" si="22"/>
        <v>0</v>
      </c>
      <c r="J329" s="1"/>
    </row>
    <row r="330" spans="1:10" ht="15.5" x14ac:dyDescent="0.35">
      <c r="A330" s="26">
        <f t="shared" si="23"/>
        <v>0</v>
      </c>
      <c r="B330" s="1"/>
      <c r="C330" s="30">
        <f t="shared" si="24"/>
        <v>0</v>
      </c>
      <c r="D330" s="1"/>
      <c r="E330" s="29">
        <f t="shared" si="21"/>
        <v>0</v>
      </c>
      <c r="F330" s="1"/>
      <c r="G330" s="30">
        <f t="shared" si="20"/>
        <v>0</v>
      </c>
      <c r="H330" s="1"/>
      <c r="I330" s="29">
        <f t="shared" si="22"/>
        <v>0</v>
      </c>
      <c r="J330" s="1"/>
    </row>
    <row r="331" spans="1:10" ht="15.5" x14ac:dyDescent="0.35">
      <c r="A331" s="26">
        <f t="shared" si="23"/>
        <v>0</v>
      </c>
      <c r="B331" s="1"/>
      <c r="C331" s="30">
        <f t="shared" si="24"/>
        <v>0</v>
      </c>
      <c r="D331" s="1"/>
      <c r="E331" s="29">
        <f t="shared" si="21"/>
        <v>0</v>
      </c>
      <c r="F331" s="1"/>
      <c r="G331" s="30">
        <f t="shared" si="20"/>
        <v>0</v>
      </c>
      <c r="H331" s="1"/>
      <c r="I331" s="29">
        <f t="shared" si="22"/>
        <v>0</v>
      </c>
      <c r="J331" s="1"/>
    </row>
    <row r="332" spans="1:10" ht="15.5" x14ac:dyDescent="0.35">
      <c r="A332" s="26">
        <f t="shared" si="23"/>
        <v>0</v>
      </c>
      <c r="B332" s="1"/>
      <c r="C332" s="30">
        <f t="shared" si="24"/>
        <v>0</v>
      </c>
      <c r="D332" s="1"/>
      <c r="E332" s="29">
        <f t="shared" si="21"/>
        <v>0</v>
      </c>
      <c r="F332" s="1"/>
      <c r="G332" s="30">
        <f t="shared" si="20"/>
        <v>0</v>
      </c>
      <c r="H332" s="1"/>
      <c r="I332" s="29">
        <f t="shared" si="22"/>
        <v>0</v>
      </c>
      <c r="J332" s="1"/>
    </row>
    <row r="333" spans="1:10" ht="15.5" x14ac:dyDescent="0.35">
      <c r="A333" s="26">
        <f t="shared" si="23"/>
        <v>0</v>
      </c>
      <c r="B333" s="1"/>
      <c r="C333" s="30">
        <f t="shared" si="24"/>
        <v>0</v>
      </c>
      <c r="D333" s="1"/>
      <c r="E333" s="29">
        <f t="shared" si="21"/>
        <v>0</v>
      </c>
      <c r="F333" s="1"/>
      <c r="G333" s="30">
        <f t="shared" si="20"/>
        <v>0</v>
      </c>
      <c r="H333" s="1"/>
      <c r="I333" s="29">
        <f t="shared" si="22"/>
        <v>0</v>
      </c>
      <c r="J333" s="1"/>
    </row>
    <row r="334" spans="1:10" ht="15.5" x14ac:dyDescent="0.35">
      <c r="A334" s="26">
        <f t="shared" si="23"/>
        <v>0</v>
      </c>
      <c r="B334" s="1"/>
      <c r="C334" s="30">
        <f t="shared" si="24"/>
        <v>0</v>
      </c>
      <c r="D334" s="1"/>
      <c r="E334" s="29">
        <f t="shared" si="21"/>
        <v>0</v>
      </c>
      <c r="F334" s="1"/>
      <c r="G334" s="30">
        <f t="shared" si="20"/>
        <v>0</v>
      </c>
      <c r="H334" s="1"/>
      <c r="I334" s="29">
        <f t="shared" si="22"/>
        <v>0</v>
      </c>
      <c r="J334" s="1"/>
    </row>
    <row r="335" spans="1:10" ht="15.5" x14ac:dyDescent="0.35">
      <c r="A335" s="26">
        <f t="shared" si="23"/>
        <v>0</v>
      </c>
      <c r="B335" s="1"/>
      <c r="C335" s="30">
        <f t="shared" si="24"/>
        <v>0</v>
      </c>
      <c r="D335" s="1"/>
      <c r="E335" s="29">
        <f t="shared" si="21"/>
        <v>0</v>
      </c>
      <c r="F335" s="1"/>
      <c r="G335" s="30">
        <f t="shared" ref="G335:G374" si="25">IF(C335&lt;10,0,$E$10-E335)</f>
        <v>0</v>
      </c>
      <c r="H335" s="1"/>
      <c r="I335" s="29">
        <f t="shared" si="22"/>
        <v>0</v>
      </c>
      <c r="J335" s="1"/>
    </row>
    <row r="336" spans="1:10" ht="15.5" x14ac:dyDescent="0.35">
      <c r="A336" s="26">
        <f t="shared" si="23"/>
        <v>0</v>
      </c>
      <c r="B336" s="1"/>
      <c r="C336" s="30">
        <f t="shared" si="24"/>
        <v>0</v>
      </c>
      <c r="D336" s="1"/>
      <c r="E336" s="29">
        <f t="shared" ref="E336:E374" si="26">IF($E$9=0,0,ROUND(C336*($E$9/$E$6),2))</f>
        <v>0</v>
      </c>
      <c r="F336" s="1"/>
      <c r="G336" s="30">
        <f t="shared" si="25"/>
        <v>0</v>
      </c>
      <c r="H336" s="1"/>
      <c r="I336" s="29">
        <f t="shared" si="22"/>
        <v>0</v>
      </c>
      <c r="J336" s="1"/>
    </row>
    <row r="337" spans="1:10" ht="15.5" x14ac:dyDescent="0.35">
      <c r="A337" s="26">
        <f t="shared" si="23"/>
        <v>0</v>
      </c>
      <c r="B337" s="1"/>
      <c r="C337" s="30">
        <f t="shared" si="24"/>
        <v>0</v>
      </c>
      <c r="D337" s="1"/>
      <c r="E337" s="29">
        <f t="shared" si="26"/>
        <v>0</v>
      </c>
      <c r="F337" s="1"/>
      <c r="G337" s="30">
        <f t="shared" si="25"/>
        <v>0</v>
      </c>
      <c r="H337" s="1"/>
      <c r="I337" s="29">
        <f t="shared" ref="I337:I374" si="27">IF(C337-G337&lt;10,0,C337-G337)</f>
        <v>0</v>
      </c>
      <c r="J337" s="1"/>
    </row>
    <row r="338" spans="1:10" ht="15.5" x14ac:dyDescent="0.35">
      <c r="A338" s="26">
        <f t="shared" ref="A338:A374" si="28">IF(I337&lt;10,0,(A337+1))</f>
        <v>0</v>
      </c>
      <c r="B338" s="1"/>
      <c r="C338" s="30">
        <f t="shared" ref="C338:C374" si="29">I337</f>
        <v>0</v>
      </c>
      <c r="D338" s="1"/>
      <c r="E338" s="29">
        <f t="shared" si="26"/>
        <v>0</v>
      </c>
      <c r="F338" s="1"/>
      <c r="G338" s="30">
        <f t="shared" si="25"/>
        <v>0</v>
      </c>
      <c r="H338" s="1"/>
      <c r="I338" s="29">
        <f t="shared" si="27"/>
        <v>0</v>
      </c>
      <c r="J338" s="1"/>
    </row>
    <row r="339" spans="1:10" ht="15.5" x14ac:dyDescent="0.35">
      <c r="A339" s="26">
        <f t="shared" si="28"/>
        <v>0</v>
      </c>
      <c r="B339" s="1"/>
      <c r="C339" s="30">
        <f t="shared" si="29"/>
        <v>0</v>
      </c>
      <c r="D339" s="1"/>
      <c r="E339" s="29">
        <f t="shared" si="26"/>
        <v>0</v>
      </c>
      <c r="F339" s="1"/>
      <c r="G339" s="30">
        <f t="shared" si="25"/>
        <v>0</v>
      </c>
      <c r="H339" s="1"/>
      <c r="I339" s="29">
        <f t="shared" si="27"/>
        <v>0</v>
      </c>
      <c r="J339" s="1"/>
    </row>
    <row r="340" spans="1:10" ht="15.5" x14ac:dyDescent="0.35">
      <c r="A340" s="26">
        <f t="shared" si="28"/>
        <v>0</v>
      </c>
      <c r="B340" s="1"/>
      <c r="C340" s="30">
        <f t="shared" si="29"/>
        <v>0</v>
      </c>
      <c r="D340" s="1"/>
      <c r="E340" s="29">
        <f t="shared" si="26"/>
        <v>0</v>
      </c>
      <c r="F340" s="1"/>
      <c r="G340" s="30">
        <f t="shared" si="25"/>
        <v>0</v>
      </c>
      <c r="H340" s="1"/>
      <c r="I340" s="29">
        <f t="shared" si="27"/>
        <v>0</v>
      </c>
      <c r="J340" s="1"/>
    </row>
    <row r="341" spans="1:10" ht="15.5" x14ac:dyDescent="0.35">
      <c r="A341" s="26">
        <f t="shared" si="28"/>
        <v>0</v>
      </c>
      <c r="B341" s="1"/>
      <c r="C341" s="30">
        <f t="shared" si="29"/>
        <v>0</v>
      </c>
      <c r="D341" s="1"/>
      <c r="E341" s="29">
        <f t="shared" si="26"/>
        <v>0</v>
      </c>
      <c r="F341" s="1"/>
      <c r="G341" s="30">
        <f t="shared" si="25"/>
        <v>0</v>
      </c>
      <c r="H341" s="1"/>
      <c r="I341" s="29">
        <f t="shared" si="27"/>
        <v>0</v>
      </c>
      <c r="J341" s="1"/>
    </row>
    <row r="342" spans="1:10" ht="15.5" x14ac:dyDescent="0.35">
      <c r="A342" s="26">
        <f t="shared" si="28"/>
        <v>0</v>
      </c>
      <c r="B342" s="1"/>
      <c r="C342" s="30">
        <f t="shared" si="29"/>
        <v>0</v>
      </c>
      <c r="D342" s="1"/>
      <c r="E342" s="29">
        <f t="shared" si="26"/>
        <v>0</v>
      </c>
      <c r="F342" s="1"/>
      <c r="G342" s="30">
        <f t="shared" si="25"/>
        <v>0</v>
      </c>
      <c r="H342" s="1"/>
      <c r="I342" s="29">
        <f t="shared" si="27"/>
        <v>0</v>
      </c>
      <c r="J342" s="1"/>
    </row>
    <row r="343" spans="1:10" ht="15.5" x14ac:dyDescent="0.35">
      <c r="A343" s="26">
        <f t="shared" si="28"/>
        <v>0</v>
      </c>
      <c r="B343" s="1"/>
      <c r="C343" s="30">
        <f t="shared" si="29"/>
        <v>0</v>
      </c>
      <c r="D343" s="1"/>
      <c r="E343" s="29">
        <f t="shared" si="26"/>
        <v>0</v>
      </c>
      <c r="F343" s="1"/>
      <c r="G343" s="30">
        <f t="shared" si="25"/>
        <v>0</v>
      </c>
      <c r="H343" s="1"/>
      <c r="I343" s="29">
        <f t="shared" si="27"/>
        <v>0</v>
      </c>
      <c r="J343" s="1"/>
    </row>
    <row r="344" spans="1:10" ht="15.5" x14ac:dyDescent="0.35">
      <c r="A344" s="26">
        <f t="shared" si="28"/>
        <v>0</v>
      </c>
      <c r="B344" s="1"/>
      <c r="C344" s="30">
        <f t="shared" si="29"/>
        <v>0</v>
      </c>
      <c r="D344" s="1"/>
      <c r="E344" s="29">
        <f t="shared" si="26"/>
        <v>0</v>
      </c>
      <c r="F344" s="1"/>
      <c r="G344" s="30">
        <f t="shared" si="25"/>
        <v>0</v>
      </c>
      <c r="H344" s="1"/>
      <c r="I344" s="29">
        <f t="shared" si="27"/>
        <v>0</v>
      </c>
      <c r="J344" s="1"/>
    </row>
    <row r="345" spans="1:10" ht="15.5" x14ac:dyDescent="0.35">
      <c r="A345" s="26">
        <f t="shared" si="28"/>
        <v>0</v>
      </c>
      <c r="B345" s="1"/>
      <c r="C345" s="30">
        <f t="shared" si="29"/>
        <v>0</v>
      </c>
      <c r="D345" s="1"/>
      <c r="E345" s="29">
        <f t="shared" si="26"/>
        <v>0</v>
      </c>
      <c r="F345" s="1"/>
      <c r="G345" s="30">
        <f t="shared" si="25"/>
        <v>0</v>
      </c>
      <c r="H345" s="1"/>
      <c r="I345" s="29">
        <f t="shared" si="27"/>
        <v>0</v>
      </c>
      <c r="J345" s="1"/>
    </row>
    <row r="346" spans="1:10" ht="15.5" x14ac:dyDescent="0.35">
      <c r="A346" s="26">
        <f t="shared" si="28"/>
        <v>0</v>
      </c>
      <c r="B346" s="1"/>
      <c r="C346" s="30">
        <f t="shared" si="29"/>
        <v>0</v>
      </c>
      <c r="D346" s="1"/>
      <c r="E346" s="29">
        <f t="shared" si="26"/>
        <v>0</v>
      </c>
      <c r="F346" s="1"/>
      <c r="G346" s="30">
        <f t="shared" si="25"/>
        <v>0</v>
      </c>
      <c r="H346" s="1"/>
      <c r="I346" s="29">
        <f t="shared" si="27"/>
        <v>0</v>
      </c>
      <c r="J346" s="1"/>
    </row>
    <row r="347" spans="1:10" ht="15.5" x14ac:dyDescent="0.35">
      <c r="A347" s="26">
        <f t="shared" si="28"/>
        <v>0</v>
      </c>
      <c r="B347" s="1"/>
      <c r="C347" s="30">
        <f t="shared" si="29"/>
        <v>0</v>
      </c>
      <c r="D347" s="1"/>
      <c r="E347" s="29">
        <f t="shared" si="26"/>
        <v>0</v>
      </c>
      <c r="F347" s="1"/>
      <c r="G347" s="30">
        <f t="shared" si="25"/>
        <v>0</v>
      </c>
      <c r="H347" s="1"/>
      <c r="I347" s="29">
        <f t="shared" si="27"/>
        <v>0</v>
      </c>
      <c r="J347" s="1"/>
    </row>
    <row r="348" spans="1:10" ht="15.5" x14ac:dyDescent="0.35">
      <c r="A348" s="26">
        <f t="shared" si="28"/>
        <v>0</v>
      </c>
      <c r="B348" s="1"/>
      <c r="C348" s="30">
        <f t="shared" si="29"/>
        <v>0</v>
      </c>
      <c r="D348" s="1"/>
      <c r="E348" s="29">
        <f t="shared" si="26"/>
        <v>0</v>
      </c>
      <c r="F348" s="1"/>
      <c r="G348" s="30">
        <f t="shared" si="25"/>
        <v>0</v>
      </c>
      <c r="H348" s="1"/>
      <c r="I348" s="29">
        <f t="shared" si="27"/>
        <v>0</v>
      </c>
      <c r="J348" s="1"/>
    </row>
    <row r="349" spans="1:10" ht="15.5" x14ac:dyDescent="0.35">
      <c r="A349" s="26">
        <f t="shared" si="28"/>
        <v>0</v>
      </c>
      <c r="B349" s="1"/>
      <c r="C349" s="30">
        <f t="shared" si="29"/>
        <v>0</v>
      </c>
      <c r="D349" s="1"/>
      <c r="E349" s="29">
        <f t="shared" si="26"/>
        <v>0</v>
      </c>
      <c r="F349" s="1"/>
      <c r="G349" s="30">
        <f t="shared" si="25"/>
        <v>0</v>
      </c>
      <c r="H349" s="1"/>
      <c r="I349" s="29">
        <f t="shared" si="27"/>
        <v>0</v>
      </c>
      <c r="J349" s="1"/>
    </row>
    <row r="350" spans="1:10" ht="15.5" x14ac:dyDescent="0.35">
      <c r="A350" s="26">
        <f t="shared" si="28"/>
        <v>0</v>
      </c>
      <c r="B350" s="1"/>
      <c r="C350" s="30">
        <f t="shared" si="29"/>
        <v>0</v>
      </c>
      <c r="D350" s="1"/>
      <c r="E350" s="29">
        <f t="shared" si="26"/>
        <v>0</v>
      </c>
      <c r="F350" s="1"/>
      <c r="G350" s="30">
        <f t="shared" si="25"/>
        <v>0</v>
      </c>
      <c r="H350" s="1"/>
      <c r="I350" s="29">
        <f t="shared" si="27"/>
        <v>0</v>
      </c>
      <c r="J350" s="1"/>
    </row>
    <row r="351" spans="1:10" ht="15.5" x14ac:dyDescent="0.35">
      <c r="A351" s="26">
        <f t="shared" si="28"/>
        <v>0</v>
      </c>
      <c r="B351" s="1"/>
      <c r="C351" s="30">
        <f t="shared" si="29"/>
        <v>0</v>
      </c>
      <c r="D351" s="1"/>
      <c r="E351" s="29">
        <f t="shared" si="26"/>
        <v>0</v>
      </c>
      <c r="F351" s="1"/>
      <c r="G351" s="30">
        <f t="shared" si="25"/>
        <v>0</v>
      </c>
      <c r="H351" s="1"/>
      <c r="I351" s="29">
        <f t="shared" si="27"/>
        <v>0</v>
      </c>
      <c r="J351" s="1"/>
    </row>
    <row r="352" spans="1:10" ht="15.5" x14ac:dyDescent="0.35">
      <c r="A352" s="26">
        <f t="shared" si="28"/>
        <v>0</v>
      </c>
      <c r="B352" s="1"/>
      <c r="C352" s="30">
        <f t="shared" si="29"/>
        <v>0</v>
      </c>
      <c r="D352" s="1"/>
      <c r="E352" s="29">
        <f t="shared" si="26"/>
        <v>0</v>
      </c>
      <c r="F352" s="1"/>
      <c r="G352" s="30">
        <f t="shared" si="25"/>
        <v>0</v>
      </c>
      <c r="H352" s="1"/>
      <c r="I352" s="29">
        <f t="shared" si="27"/>
        <v>0</v>
      </c>
      <c r="J352" s="1"/>
    </row>
    <row r="353" spans="1:10" ht="15.5" x14ac:dyDescent="0.35">
      <c r="A353" s="26">
        <f t="shared" si="28"/>
        <v>0</v>
      </c>
      <c r="B353" s="1"/>
      <c r="C353" s="30">
        <f t="shared" si="29"/>
        <v>0</v>
      </c>
      <c r="D353" s="1"/>
      <c r="E353" s="29">
        <f t="shared" si="26"/>
        <v>0</v>
      </c>
      <c r="F353" s="1"/>
      <c r="G353" s="30">
        <f t="shared" si="25"/>
        <v>0</v>
      </c>
      <c r="H353" s="1"/>
      <c r="I353" s="29">
        <f t="shared" si="27"/>
        <v>0</v>
      </c>
      <c r="J353" s="1"/>
    </row>
    <row r="354" spans="1:10" ht="15.5" x14ac:dyDescent="0.35">
      <c r="A354" s="26">
        <f t="shared" si="28"/>
        <v>0</v>
      </c>
      <c r="B354" s="1"/>
      <c r="C354" s="30">
        <f t="shared" si="29"/>
        <v>0</v>
      </c>
      <c r="D354" s="1"/>
      <c r="E354" s="29">
        <f t="shared" si="26"/>
        <v>0</v>
      </c>
      <c r="F354" s="1"/>
      <c r="G354" s="30">
        <f t="shared" si="25"/>
        <v>0</v>
      </c>
      <c r="H354" s="1"/>
      <c r="I354" s="29">
        <f t="shared" si="27"/>
        <v>0</v>
      </c>
      <c r="J354" s="1"/>
    </row>
    <row r="355" spans="1:10" ht="15.5" x14ac:dyDescent="0.35">
      <c r="A355" s="26">
        <f t="shared" si="28"/>
        <v>0</v>
      </c>
      <c r="B355" s="1"/>
      <c r="C355" s="30">
        <f t="shared" si="29"/>
        <v>0</v>
      </c>
      <c r="D355" s="1"/>
      <c r="E355" s="29">
        <f t="shared" si="26"/>
        <v>0</v>
      </c>
      <c r="F355" s="1"/>
      <c r="G355" s="30">
        <f t="shared" si="25"/>
        <v>0</v>
      </c>
      <c r="H355" s="1"/>
      <c r="I355" s="29">
        <f t="shared" si="27"/>
        <v>0</v>
      </c>
      <c r="J355" s="1"/>
    </row>
    <row r="356" spans="1:10" ht="15.5" x14ac:dyDescent="0.35">
      <c r="A356" s="26">
        <f t="shared" si="28"/>
        <v>0</v>
      </c>
      <c r="B356" s="1"/>
      <c r="C356" s="30">
        <f t="shared" si="29"/>
        <v>0</v>
      </c>
      <c r="D356" s="1"/>
      <c r="E356" s="29">
        <f t="shared" si="26"/>
        <v>0</v>
      </c>
      <c r="F356" s="1"/>
      <c r="G356" s="30">
        <f t="shared" si="25"/>
        <v>0</v>
      </c>
      <c r="H356" s="1"/>
      <c r="I356" s="29">
        <f t="shared" si="27"/>
        <v>0</v>
      </c>
      <c r="J356" s="1"/>
    </row>
    <row r="357" spans="1:10" ht="15.5" x14ac:dyDescent="0.35">
      <c r="A357" s="26">
        <f t="shared" si="28"/>
        <v>0</v>
      </c>
      <c r="B357" s="1"/>
      <c r="C357" s="30">
        <f t="shared" si="29"/>
        <v>0</v>
      </c>
      <c r="D357" s="1"/>
      <c r="E357" s="29">
        <f t="shared" si="26"/>
        <v>0</v>
      </c>
      <c r="F357" s="1"/>
      <c r="G357" s="30">
        <f t="shared" si="25"/>
        <v>0</v>
      </c>
      <c r="H357" s="1"/>
      <c r="I357" s="29">
        <f t="shared" si="27"/>
        <v>0</v>
      </c>
      <c r="J357" s="1"/>
    </row>
    <row r="358" spans="1:10" ht="15.5" x14ac:dyDescent="0.35">
      <c r="A358" s="26">
        <f t="shared" si="28"/>
        <v>0</v>
      </c>
      <c r="B358" s="1"/>
      <c r="C358" s="30">
        <f t="shared" si="29"/>
        <v>0</v>
      </c>
      <c r="D358" s="1"/>
      <c r="E358" s="29">
        <f t="shared" si="26"/>
        <v>0</v>
      </c>
      <c r="F358" s="1"/>
      <c r="G358" s="30">
        <f t="shared" si="25"/>
        <v>0</v>
      </c>
      <c r="H358" s="1"/>
      <c r="I358" s="29">
        <f t="shared" si="27"/>
        <v>0</v>
      </c>
      <c r="J358" s="1"/>
    </row>
    <row r="359" spans="1:10" ht="15.5" x14ac:dyDescent="0.35">
      <c r="A359" s="26">
        <f t="shared" si="28"/>
        <v>0</v>
      </c>
      <c r="B359" s="1"/>
      <c r="C359" s="30">
        <f t="shared" si="29"/>
        <v>0</v>
      </c>
      <c r="D359" s="1"/>
      <c r="E359" s="29">
        <f t="shared" si="26"/>
        <v>0</v>
      </c>
      <c r="F359" s="1"/>
      <c r="G359" s="30">
        <f t="shared" si="25"/>
        <v>0</v>
      </c>
      <c r="H359" s="1"/>
      <c r="I359" s="29">
        <f t="shared" si="27"/>
        <v>0</v>
      </c>
      <c r="J359" s="1"/>
    </row>
    <row r="360" spans="1:10" ht="15.5" x14ac:dyDescent="0.35">
      <c r="A360" s="26">
        <f t="shared" si="28"/>
        <v>0</v>
      </c>
      <c r="B360" s="1"/>
      <c r="C360" s="30">
        <f t="shared" si="29"/>
        <v>0</v>
      </c>
      <c r="D360" s="1"/>
      <c r="E360" s="29">
        <f t="shared" si="26"/>
        <v>0</v>
      </c>
      <c r="F360" s="1"/>
      <c r="G360" s="30">
        <f t="shared" si="25"/>
        <v>0</v>
      </c>
      <c r="H360" s="1"/>
      <c r="I360" s="29">
        <f t="shared" si="27"/>
        <v>0</v>
      </c>
      <c r="J360" s="1"/>
    </row>
    <row r="361" spans="1:10" ht="15.5" x14ac:dyDescent="0.35">
      <c r="A361" s="26">
        <f t="shared" si="28"/>
        <v>0</v>
      </c>
      <c r="B361" s="1"/>
      <c r="C361" s="30">
        <f t="shared" si="29"/>
        <v>0</v>
      </c>
      <c r="D361" s="1"/>
      <c r="E361" s="29">
        <f t="shared" si="26"/>
        <v>0</v>
      </c>
      <c r="F361" s="1"/>
      <c r="G361" s="30">
        <f t="shared" si="25"/>
        <v>0</v>
      </c>
      <c r="H361" s="1"/>
      <c r="I361" s="29">
        <f t="shared" si="27"/>
        <v>0</v>
      </c>
      <c r="J361" s="1"/>
    </row>
    <row r="362" spans="1:10" ht="15.5" x14ac:dyDescent="0.35">
      <c r="A362" s="26">
        <f t="shared" si="28"/>
        <v>0</v>
      </c>
      <c r="B362" s="1"/>
      <c r="C362" s="30">
        <f t="shared" si="29"/>
        <v>0</v>
      </c>
      <c r="D362" s="1"/>
      <c r="E362" s="29">
        <f t="shared" si="26"/>
        <v>0</v>
      </c>
      <c r="F362" s="1"/>
      <c r="G362" s="30">
        <f t="shared" si="25"/>
        <v>0</v>
      </c>
      <c r="H362" s="1"/>
      <c r="I362" s="29">
        <f t="shared" si="27"/>
        <v>0</v>
      </c>
      <c r="J362" s="1"/>
    </row>
    <row r="363" spans="1:10" ht="15.5" x14ac:dyDescent="0.35">
      <c r="A363" s="26">
        <f t="shared" si="28"/>
        <v>0</v>
      </c>
      <c r="B363" s="1"/>
      <c r="C363" s="30">
        <f t="shared" si="29"/>
        <v>0</v>
      </c>
      <c r="D363" s="1"/>
      <c r="E363" s="29">
        <f t="shared" si="26"/>
        <v>0</v>
      </c>
      <c r="F363" s="1"/>
      <c r="G363" s="30">
        <f t="shared" si="25"/>
        <v>0</v>
      </c>
      <c r="H363" s="1"/>
      <c r="I363" s="29">
        <f t="shared" si="27"/>
        <v>0</v>
      </c>
      <c r="J363" s="1"/>
    </row>
    <row r="364" spans="1:10" ht="15.5" x14ac:dyDescent="0.35">
      <c r="A364" s="26">
        <f t="shared" si="28"/>
        <v>0</v>
      </c>
      <c r="B364" s="1"/>
      <c r="C364" s="30">
        <f t="shared" si="29"/>
        <v>0</v>
      </c>
      <c r="D364" s="1"/>
      <c r="E364" s="29">
        <f t="shared" si="26"/>
        <v>0</v>
      </c>
      <c r="F364" s="1"/>
      <c r="G364" s="30">
        <f t="shared" si="25"/>
        <v>0</v>
      </c>
      <c r="H364" s="1"/>
      <c r="I364" s="29">
        <f t="shared" si="27"/>
        <v>0</v>
      </c>
      <c r="J364" s="1"/>
    </row>
    <row r="365" spans="1:10" ht="15.5" x14ac:dyDescent="0.35">
      <c r="A365" s="26">
        <f t="shared" si="28"/>
        <v>0</v>
      </c>
      <c r="B365" s="1"/>
      <c r="C365" s="30">
        <f t="shared" si="29"/>
        <v>0</v>
      </c>
      <c r="D365" s="1"/>
      <c r="E365" s="29">
        <f t="shared" si="26"/>
        <v>0</v>
      </c>
      <c r="F365" s="1"/>
      <c r="G365" s="30">
        <f t="shared" si="25"/>
        <v>0</v>
      </c>
      <c r="H365" s="1"/>
      <c r="I365" s="29">
        <f t="shared" si="27"/>
        <v>0</v>
      </c>
      <c r="J365" s="1"/>
    </row>
    <row r="366" spans="1:10" ht="15.5" x14ac:dyDescent="0.35">
      <c r="A366" s="26">
        <f t="shared" si="28"/>
        <v>0</v>
      </c>
      <c r="B366" s="1"/>
      <c r="C366" s="30">
        <f t="shared" si="29"/>
        <v>0</v>
      </c>
      <c r="D366" s="1"/>
      <c r="E366" s="29">
        <f t="shared" si="26"/>
        <v>0</v>
      </c>
      <c r="F366" s="1"/>
      <c r="G366" s="30">
        <f t="shared" si="25"/>
        <v>0</v>
      </c>
      <c r="H366" s="1"/>
      <c r="I366" s="29">
        <f t="shared" si="27"/>
        <v>0</v>
      </c>
      <c r="J366" s="1"/>
    </row>
    <row r="367" spans="1:10" ht="15.5" x14ac:dyDescent="0.35">
      <c r="A367" s="26">
        <f t="shared" si="28"/>
        <v>0</v>
      </c>
      <c r="B367" s="1"/>
      <c r="C367" s="30">
        <f t="shared" si="29"/>
        <v>0</v>
      </c>
      <c r="D367" s="1"/>
      <c r="E367" s="29">
        <f t="shared" si="26"/>
        <v>0</v>
      </c>
      <c r="F367" s="1"/>
      <c r="G367" s="30">
        <f t="shared" si="25"/>
        <v>0</v>
      </c>
      <c r="H367" s="1"/>
      <c r="I367" s="29">
        <f t="shared" si="27"/>
        <v>0</v>
      </c>
      <c r="J367" s="1"/>
    </row>
    <row r="368" spans="1:10" ht="15.5" x14ac:dyDescent="0.35">
      <c r="A368" s="26">
        <f t="shared" si="28"/>
        <v>0</v>
      </c>
      <c r="B368" s="1"/>
      <c r="C368" s="30">
        <f t="shared" si="29"/>
        <v>0</v>
      </c>
      <c r="D368" s="1"/>
      <c r="E368" s="29">
        <f t="shared" si="26"/>
        <v>0</v>
      </c>
      <c r="F368" s="1"/>
      <c r="G368" s="30">
        <f t="shared" si="25"/>
        <v>0</v>
      </c>
      <c r="H368" s="1"/>
      <c r="I368" s="29">
        <f t="shared" si="27"/>
        <v>0</v>
      </c>
      <c r="J368" s="1"/>
    </row>
    <row r="369" spans="1:10" ht="15.5" x14ac:dyDescent="0.35">
      <c r="A369" s="26">
        <f t="shared" si="28"/>
        <v>0</v>
      </c>
      <c r="B369" s="1"/>
      <c r="C369" s="30">
        <f t="shared" si="29"/>
        <v>0</v>
      </c>
      <c r="D369" s="1"/>
      <c r="E369" s="29">
        <f t="shared" si="26"/>
        <v>0</v>
      </c>
      <c r="F369" s="1"/>
      <c r="G369" s="30">
        <f t="shared" si="25"/>
        <v>0</v>
      </c>
      <c r="H369" s="1"/>
      <c r="I369" s="29">
        <f t="shared" si="27"/>
        <v>0</v>
      </c>
      <c r="J369" s="1"/>
    </row>
    <row r="370" spans="1:10" ht="15.5" x14ac:dyDescent="0.35">
      <c r="A370" s="26">
        <f t="shared" si="28"/>
        <v>0</v>
      </c>
      <c r="B370" s="1"/>
      <c r="C370" s="30">
        <f t="shared" si="29"/>
        <v>0</v>
      </c>
      <c r="D370" s="1"/>
      <c r="E370" s="29">
        <f t="shared" si="26"/>
        <v>0</v>
      </c>
      <c r="F370" s="1"/>
      <c r="G370" s="30">
        <f t="shared" si="25"/>
        <v>0</v>
      </c>
      <c r="H370" s="1"/>
      <c r="I370" s="29">
        <f t="shared" si="27"/>
        <v>0</v>
      </c>
      <c r="J370" s="1"/>
    </row>
    <row r="371" spans="1:10" ht="15.5" x14ac:dyDescent="0.35">
      <c r="A371" s="26">
        <f t="shared" si="28"/>
        <v>0</v>
      </c>
      <c r="B371" s="1"/>
      <c r="C371" s="30">
        <f t="shared" si="29"/>
        <v>0</v>
      </c>
      <c r="D371" s="1"/>
      <c r="E371" s="29">
        <f t="shared" si="26"/>
        <v>0</v>
      </c>
      <c r="F371" s="1"/>
      <c r="G371" s="30">
        <f t="shared" si="25"/>
        <v>0</v>
      </c>
      <c r="H371" s="1"/>
      <c r="I371" s="29">
        <f t="shared" si="27"/>
        <v>0</v>
      </c>
      <c r="J371" s="1"/>
    </row>
    <row r="372" spans="1:10" ht="15.5" x14ac:dyDescent="0.35">
      <c r="A372" s="26">
        <f t="shared" si="28"/>
        <v>0</v>
      </c>
      <c r="B372" s="1"/>
      <c r="C372" s="30">
        <f t="shared" si="29"/>
        <v>0</v>
      </c>
      <c r="D372" s="1"/>
      <c r="E372" s="29">
        <f t="shared" si="26"/>
        <v>0</v>
      </c>
      <c r="F372" s="1"/>
      <c r="G372" s="30">
        <f t="shared" si="25"/>
        <v>0</v>
      </c>
      <c r="H372" s="1"/>
      <c r="I372" s="29">
        <f t="shared" si="27"/>
        <v>0</v>
      </c>
      <c r="J372" s="1"/>
    </row>
    <row r="373" spans="1:10" ht="15.5" x14ac:dyDescent="0.35">
      <c r="A373" s="26">
        <f t="shared" si="28"/>
        <v>0</v>
      </c>
      <c r="B373" s="1"/>
      <c r="C373" s="30">
        <f t="shared" si="29"/>
        <v>0</v>
      </c>
      <c r="D373" s="1"/>
      <c r="E373" s="29">
        <f t="shared" si="26"/>
        <v>0</v>
      </c>
      <c r="F373" s="1"/>
      <c r="G373" s="30">
        <f t="shared" si="25"/>
        <v>0</v>
      </c>
      <c r="H373" s="1"/>
      <c r="I373" s="29">
        <f t="shared" si="27"/>
        <v>0</v>
      </c>
      <c r="J373" s="1"/>
    </row>
    <row r="374" spans="1:10" ht="15.5" x14ac:dyDescent="0.35">
      <c r="A374" s="26">
        <f t="shared" si="28"/>
        <v>0</v>
      </c>
      <c r="B374" s="1"/>
      <c r="C374" s="30">
        <f t="shared" si="29"/>
        <v>0</v>
      </c>
      <c r="D374" s="1"/>
      <c r="E374" s="29">
        <f t="shared" si="26"/>
        <v>0</v>
      </c>
      <c r="F374" s="1"/>
      <c r="G374" s="30">
        <f t="shared" si="25"/>
        <v>0</v>
      </c>
      <c r="H374" s="1"/>
      <c r="I374" s="29">
        <f t="shared" si="27"/>
        <v>0</v>
      </c>
      <c r="J374" s="1"/>
    </row>
    <row r="375" spans="1:10" ht="15.5" x14ac:dyDescent="0.35">
      <c r="A375" s="31"/>
      <c r="B375" s="1"/>
      <c r="C375" s="1"/>
      <c r="D375" s="1"/>
      <c r="E375" s="29">
        <f t="shared" ref="E375:E399" si="30">IF($E$9=0,0,ROUND(C375*($E$9/$E$6),2))</f>
        <v>0</v>
      </c>
      <c r="F375" s="1"/>
      <c r="G375" s="1"/>
      <c r="H375" s="1"/>
      <c r="I375" s="1"/>
      <c r="J375" s="1"/>
    </row>
    <row r="376" spans="1:10" ht="15.5" x14ac:dyDescent="0.35">
      <c r="A376" s="31"/>
      <c r="B376" s="1"/>
      <c r="C376" s="1"/>
      <c r="D376" s="1"/>
      <c r="E376" s="29">
        <f t="shared" si="30"/>
        <v>0</v>
      </c>
      <c r="F376" s="1"/>
      <c r="G376" s="1"/>
      <c r="H376" s="1"/>
      <c r="I376" s="1"/>
      <c r="J376" s="1"/>
    </row>
    <row r="377" spans="1:10" ht="15.5" x14ac:dyDescent="0.35">
      <c r="A377" s="31"/>
      <c r="B377" s="1"/>
      <c r="C377" s="1"/>
      <c r="D377" s="1"/>
      <c r="E377" s="29">
        <f t="shared" si="30"/>
        <v>0</v>
      </c>
      <c r="F377" s="1"/>
      <c r="G377" s="1"/>
      <c r="H377" s="1"/>
      <c r="I377" s="1"/>
      <c r="J377" s="1"/>
    </row>
    <row r="378" spans="1:10" ht="15.5" x14ac:dyDescent="0.35">
      <c r="A378" s="31"/>
      <c r="B378" s="1"/>
      <c r="C378" s="1"/>
      <c r="D378" s="1"/>
      <c r="E378" s="29">
        <f t="shared" si="30"/>
        <v>0</v>
      </c>
      <c r="F378" s="1"/>
      <c r="G378" s="1"/>
      <c r="H378" s="1"/>
      <c r="I378" s="1"/>
      <c r="J378" s="1"/>
    </row>
    <row r="379" spans="1:10" ht="15.5" x14ac:dyDescent="0.35">
      <c r="A379" s="31"/>
      <c r="B379" s="1"/>
      <c r="C379" s="1"/>
      <c r="D379" s="1"/>
      <c r="E379" s="29">
        <f t="shared" si="30"/>
        <v>0</v>
      </c>
      <c r="F379" s="1"/>
      <c r="G379" s="1"/>
      <c r="H379" s="1"/>
      <c r="I379" s="1"/>
      <c r="J379" s="1"/>
    </row>
    <row r="380" spans="1:10" ht="15.5" x14ac:dyDescent="0.35">
      <c r="A380" s="1"/>
      <c r="B380" s="1"/>
      <c r="C380" s="1"/>
      <c r="D380" s="1"/>
      <c r="E380" s="29">
        <f t="shared" si="30"/>
        <v>0</v>
      </c>
      <c r="F380" s="1"/>
      <c r="G380" s="1"/>
      <c r="H380" s="1"/>
      <c r="I380" s="1"/>
      <c r="J380" s="1"/>
    </row>
    <row r="381" spans="1:10" ht="15.5" x14ac:dyDescent="0.35">
      <c r="A381" s="1"/>
      <c r="B381" s="1"/>
      <c r="C381" s="1"/>
      <c r="D381" s="1"/>
      <c r="E381" s="29">
        <f t="shared" si="30"/>
        <v>0</v>
      </c>
      <c r="F381" s="1"/>
      <c r="G381" s="1"/>
      <c r="H381" s="1"/>
      <c r="I381" s="1"/>
      <c r="J381" s="1"/>
    </row>
    <row r="382" spans="1:10" ht="15.5" x14ac:dyDescent="0.35">
      <c r="A382" s="1"/>
      <c r="B382" s="1"/>
      <c r="C382" s="1"/>
      <c r="D382" s="1"/>
      <c r="E382" s="29">
        <f t="shared" si="30"/>
        <v>0</v>
      </c>
      <c r="F382" s="1"/>
      <c r="G382" s="1"/>
      <c r="H382" s="1"/>
      <c r="I382" s="1"/>
      <c r="J382" s="1"/>
    </row>
    <row r="383" spans="1:10" ht="15.5" x14ac:dyDescent="0.35">
      <c r="A383" s="1"/>
      <c r="B383" s="1"/>
      <c r="C383" s="1"/>
      <c r="D383" s="1"/>
      <c r="E383" s="29">
        <f t="shared" si="30"/>
        <v>0</v>
      </c>
      <c r="F383" s="1"/>
      <c r="G383" s="1"/>
      <c r="H383" s="1"/>
      <c r="I383" s="1"/>
      <c r="J383" s="1"/>
    </row>
    <row r="384" spans="1:10" ht="15.5" x14ac:dyDescent="0.35">
      <c r="A384" s="1"/>
      <c r="B384" s="1"/>
      <c r="C384" s="1"/>
      <c r="D384" s="1"/>
      <c r="E384" s="29">
        <f t="shared" si="30"/>
        <v>0</v>
      </c>
      <c r="F384" s="1"/>
      <c r="G384" s="1"/>
      <c r="H384" s="1"/>
      <c r="I384" s="1"/>
      <c r="J384" s="1"/>
    </row>
    <row r="385" spans="5:5" ht="15.5" x14ac:dyDescent="0.35">
      <c r="E385" s="29">
        <f t="shared" si="30"/>
        <v>0</v>
      </c>
    </row>
    <row r="386" spans="5:5" ht="15.5" x14ac:dyDescent="0.35">
      <c r="E386" s="29">
        <f t="shared" si="30"/>
        <v>0</v>
      </c>
    </row>
    <row r="387" spans="5:5" ht="15.5" x14ac:dyDescent="0.35">
      <c r="E387" s="29">
        <f t="shared" si="30"/>
        <v>0</v>
      </c>
    </row>
    <row r="388" spans="5:5" ht="15.5" x14ac:dyDescent="0.35">
      <c r="E388" s="29">
        <f t="shared" si="30"/>
        <v>0</v>
      </c>
    </row>
    <row r="389" spans="5:5" ht="15.5" x14ac:dyDescent="0.35">
      <c r="E389" s="29">
        <f t="shared" si="30"/>
        <v>0</v>
      </c>
    </row>
    <row r="390" spans="5:5" ht="15.5" x14ac:dyDescent="0.35">
      <c r="E390" s="29">
        <f t="shared" si="30"/>
        <v>0</v>
      </c>
    </row>
    <row r="391" spans="5:5" ht="15.5" x14ac:dyDescent="0.35">
      <c r="E391" s="29">
        <f t="shared" si="30"/>
        <v>0</v>
      </c>
    </row>
    <row r="392" spans="5:5" ht="15.5" x14ac:dyDescent="0.35">
      <c r="E392" s="29">
        <f t="shared" si="30"/>
        <v>0</v>
      </c>
    </row>
    <row r="393" spans="5:5" ht="15.5" x14ac:dyDescent="0.35">
      <c r="E393" s="29">
        <f t="shared" si="30"/>
        <v>0</v>
      </c>
    </row>
    <row r="394" spans="5:5" ht="15.5" x14ac:dyDescent="0.35">
      <c r="E394" s="29">
        <f t="shared" si="30"/>
        <v>0</v>
      </c>
    </row>
    <row r="395" spans="5:5" ht="15.5" x14ac:dyDescent="0.35">
      <c r="E395" s="29">
        <f t="shared" si="30"/>
        <v>0</v>
      </c>
    </row>
    <row r="396" spans="5:5" ht="15.5" x14ac:dyDescent="0.35">
      <c r="E396" s="29">
        <f t="shared" si="30"/>
        <v>0</v>
      </c>
    </row>
    <row r="397" spans="5:5" ht="15.5" x14ac:dyDescent="0.35">
      <c r="E397" s="29">
        <f t="shared" si="30"/>
        <v>0</v>
      </c>
    </row>
    <row r="398" spans="5:5" ht="15.5" x14ac:dyDescent="0.35">
      <c r="E398" s="29">
        <f t="shared" si="30"/>
        <v>0</v>
      </c>
    </row>
    <row r="399" spans="5:5" ht="15.5" x14ac:dyDescent="0.35">
      <c r="E399" s="29">
        <f t="shared" si="30"/>
        <v>0</v>
      </c>
    </row>
    <row r="400" spans="5:5" ht="15.5" x14ac:dyDescent="0.35">
      <c r="E400" s="29">
        <f t="shared" ref="E400:E463" si="31">IF($E$9=0,0,ROUND(C400*($E$9/$E$6),2))</f>
        <v>0</v>
      </c>
    </row>
    <row r="401" spans="5:5" ht="15.5" x14ac:dyDescent="0.35">
      <c r="E401" s="29">
        <f t="shared" si="31"/>
        <v>0</v>
      </c>
    </row>
    <row r="402" spans="5:5" ht="15.5" x14ac:dyDescent="0.35">
      <c r="E402" s="29">
        <f t="shared" si="31"/>
        <v>0</v>
      </c>
    </row>
    <row r="403" spans="5:5" ht="15.5" x14ac:dyDescent="0.35">
      <c r="E403" s="29">
        <f t="shared" si="31"/>
        <v>0</v>
      </c>
    </row>
    <row r="404" spans="5:5" ht="15.5" x14ac:dyDescent="0.35">
      <c r="E404" s="29">
        <f t="shared" si="31"/>
        <v>0</v>
      </c>
    </row>
    <row r="405" spans="5:5" ht="15.5" x14ac:dyDescent="0.35">
      <c r="E405" s="29">
        <f t="shared" si="31"/>
        <v>0</v>
      </c>
    </row>
    <row r="406" spans="5:5" ht="15.5" x14ac:dyDescent="0.35">
      <c r="E406" s="29">
        <f t="shared" si="31"/>
        <v>0</v>
      </c>
    </row>
    <row r="407" spans="5:5" ht="15.5" x14ac:dyDescent="0.35">
      <c r="E407" s="29">
        <f t="shared" si="31"/>
        <v>0</v>
      </c>
    </row>
    <row r="408" spans="5:5" ht="15.5" x14ac:dyDescent="0.35">
      <c r="E408" s="29">
        <f t="shared" si="31"/>
        <v>0</v>
      </c>
    </row>
    <row r="409" spans="5:5" ht="15.5" x14ac:dyDescent="0.35">
      <c r="E409" s="29">
        <f t="shared" si="31"/>
        <v>0</v>
      </c>
    </row>
    <row r="410" spans="5:5" ht="15.5" x14ac:dyDescent="0.35">
      <c r="E410" s="29">
        <f t="shared" si="31"/>
        <v>0</v>
      </c>
    </row>
    <row r="411" spans="5:5" ht="15.5" x14ac:dyDescent="0.35">
      <c r="E411" s="29">
        <f t="shared" si="31"/>
        <v>0</v>
      </c>
    </row>
    <row r="412" spans="5:5" ht="15.5" x14ac:dyDescent="0.35">
      <c r="E412" s="29">
        <f t="shared" si="31"/>
        <v>0</v>
      </c>
    </row>
    <row r="413" spans="5:5" ht="15.5" x14ac:dyDescent="0.35">
      <c r="E413" s="29">
        <f t="shared" si="31"/>
        <v>0</v>
      </c>
    </row>
    <row r="414" spans="5:5" ht="15.5" x14ac:dyDescent="0.35">
      <c r="E414" s="29">
        <f t="shared" si="31"/>
        <v>0</v>
      </c>
    </row>
    <row r="415" spans="5:5" ht="15.5" x14ac:dyDescent="0.35">
      <c r="E415" s="29">
        <f t="shared" si="31"/>
        <v>0</v>
      </c>
    </row>
    <row r="416" spans="5:5" ht="15.5" x14ac:dyDescent="0.35">
      <c r="E416" s="29">
        <f t="shared" si="31"/>
        <v>0</v>
      </c>
    </row>
    <row r="417" spans="5:5" ht="15.5" x14ac:dyDescent="0.35">
      <c r="E417" s="29">
        <f t="shared" si="31"/>
        <v>0</v>
      </c>
    </row>
    <row r="418" spans="5:5" ht="15.5" x14ac:dyDescent="0.35">
      <c r="E418" s="29">
        <f t="shared" si="31"/>
        <v>0</v>
      </c>
    </row>
    <row r="419" spans="5:5" ht="15.5" x14ac:dyDescent="0.35">
      <c r="E419" s="29">
        <f t="shared" si="31"/>
        <v>0</v>
      </c>
    </row>
    <row r="420" spans="5:5" ht="15.5" x14ac:dyDescent="0.35">
      <c r="E420" s="29">
        <f t="shared" si="31"/>
        <v>0</v>
      </c>
    </row>
    <row r="421" spans="5:5" ht="15.5" x14ac:dyDescent="0.35">
      <c r="E421" s="29">
        <f t="shared" si="31"/>
        <v>0</v>
      </c>
    </row>
    <row r="422" spans="5:5" ht="15.5" x14ac:dyDescent="0.35">
      <c r="E422" s="29">
        <f t="shared" si="31"/>
        <v>0</v>
      </c>
    </row>
    <row r="423" spans="5:5" ht="15.5" x14ac:dyDescent="0.35">
      <c r="E423" s="29">
        <f t="shared" si="31"/>
        <v>0</v>
      </c>
    </row>
    <row r="424" spans="5:5" ht="15.5" x14ac:dyDescent="0.35">
      <c r="E424" s="29">
        <f t="shared" si="31"/>
        <v>0</v>
      </c>
    </row>
    <row r="425" spans="5:5" ht="15.5" x14ac:dyDescent="0.35">
      <c r="E425" s="29">
        <f t="shared" si="31"/>
        <v>0</v>
      </c>
    </row>
    <row r="426" spans="5:5" ht="15.5" x14ac:dyDescent="0.35">
      <c r="E426" s="29">
        <f t="shared" si="31"/>
        <v>0</v>
      </c>
    </row>
    <row r="427" spans="5:5" ht="15.5" x14ac:dyDescent="0.35">
      <c r="E427" s="29">
        <f t="shared" si="31"/>
        <v>0</v>
      </c>
    </row>
    <row r="428" spans="5:5" ht="15.5" x14ac:dyDescent="0.35">
      <c r="E428" s="29">
        <f t="shared" si="31"/>
        <v>0</v>
      </c>
    </row>
    <row r="429" spans="5:5" ht="15.5" x14ac:dyDescent="0.35">
      <c r="E429" s="29">
        <f t="shared" si="31"/>
        <v>0</v>
      </c>
    </row>
    <row r="430" spans="5:5" ht="15.5" x14ac:dyDescent="0.35">
      <c r="E430" s="29">
        <f t="shared" si="31"/>
        <v>0</v>
      </c>
    </row>
    <row r="431" spans="5:5" ht="15.5" x14ac:dyDescent="0.35">
      <c r="E431" s="29">
        <f t="shared" si="31"/>
        <v>0</v>
      </c>
    </row>
    <row r="432" spans="5:5" ht="15.5" x14ac:dyDescent="0.35">
      <c r="E432" s="29">
        <f t="shared" si="31"/>
        <v>0</v>
      </c>
    </row>
    <row r="433" spans="5:5" ht="15.5" x14ac:dyDescent="0.35">
      <c r="E433" s="29">
        <f t="shared" si="31"/>
        <v>0</v>
      </c>
    </row>
    <row r="434" spans="5:5" ht="15.5" x14ac:dyDescent="0.35">
      <c r="E434" s="29">
        <f t="shared" si="31"/>
        <v>0</v>
      </c>
    </row>
    <row r="435" spans="5:5" ht="15.5" x14ac:dyDescent="0.35">
      <c r="E435" s="29">
        <f t="shared" si="31"/>
        <v>0</v>
      </c>
    </row>
    <row r="436" spans="5:5" ht="15.5" x14ac:dyDescent="0.35">
      <c r="E436" s="29">
        <f t="shared" si="31"/>
        <v>0</v>
      </c>
    </row>
    <row r="437" spans="5:5" ht="15.5" x14ac:dyDescent="0.35">
      <c r="E437" s="29">
        <f t="shared" si="31"/>
        <v>0</v>
      </c>
    </row>
    <row r="438" spans="5:5" ht="15.5" x14ac:dyDescent="0.35">
      <c r="E438" s="29">
        <f t="shared" si="31"/>
        <v>0</v>
      </c>
    </row>
    <row r="439" spans="5:5" ht="15.5" x14ac:dyDescent="0.35">
      <c r="E439" s="29">
        <f t="shared" si="31"/>
        <v>0</v>
      </c>
    </row>
    <row r="440" spans="5:5" ht="15.5" x14ac:dyDescent="0.35">
      <c r="E440" s="29">
        <f t="shared" si="31"/>
        <v>0</v>
      </c>
    </row>
    <row r="441" spans="5:5" ht="15.5" x14ac:dyDescent="0.35">
      <c r="E441" s="29">
        <f t="shared" si="31"/>
        <v>0</v>
      </c>
    </row>
    <row r="442" spans="5:5" ht="15.5" x14ac:dyDescent="0.35">
      <c r="E442" s="29">
        <f t="shared" si="31"/>
        <v>0</v>
      </c>
    </row>
    <row r="443" spans="5:5" ht="15.5" x14ac:dyDescent="0.35">
      <c r="E443" s="29">
        <f t="shared" si="31"/>
        <v>0</v>
      </c>
    </row>
    <row r="444" spans="5:5" ht="15.5" x14ac:dyDescent="0.35">
      <c r="E444" s="29">
        <f t="shared" si="31"/>
        <v>0</v>
      </c>
    </row>
    <row r="445" spans="5:5" ht="15.5" x14ac:dyDescent="0.35">
      <c r="E445" s="29">
        <f t="shared" si="31"/>
        <v>0</v>
      </c>
    </row>
    <row r="446" spans="5:5" ht="15.5" x14ac:dyDescent="0.35">
      <c r="E446" s="29">
        <f t="shared" si="31"/>
        <v>0</v>
      </c>
    </row>
    <row r="447" spans="5:5" ht="15.5" x14ac:dyDescent="0.35">
      <c r="E447" s="29">
        <f t="shared" si="31"/>
        <v>0</v>
      </c>
    </row>
    <row r="448" spans="5:5" ht="15.5" x14ac:dyDescent="0.35">
      <c r="E448" s="29">
        <f t="shared" si="31"/>
        <v>0</v>
      </c>
    </row>
    <row r="449" spans="5:5" ht="15.5" x14ac:dyDescent="0.35">
      <c r="E449" s="29">
        <f t="shared" si="31"/>
        <v>0</v>
      </c>
    </row>
    <row r="450" spans="5:5" ht="15.5" x14ac:dyDescent="0.35">
      <c r="E450" s="29">
        <f t="shared" si="31"/>
        <v>0</v>
      </c>
    </row>
    <row r="451" spans="5:5" ht="15.5" x14ac:dyDescent="0.35">
      <c r="E451" s="29">
        <f t="shared" si="31"/>
        <v>0</v>
      </c>
    </row>
    <row r="452" spans="5:5" ht="15.5" x14ac:dyDescent="0.35">
      <c r="E452" s="29">
        <f t="shared" si="31"/>
        <v>0</v>
      </c>
    </row>
    <row r="453" spans="5:5" ht="15.5" x14ac:dyDescent="0.35">
      <c r="E453" s="29">
        <f t="shared" si="31"/>
        <v>0</v>
      </c>
    </row>
    <row r="454" spans="5:5" ht="15.5" x14ac:dyDescent="0.35">
      <c r="E454" s="29">
        <f t="shared" si="31"/>
        <v>0</v>
      </c>
    </row>
    <row r="455" spans="5:5" ht="15.5" x14ac:dyDescent="0.35">
      <c r="E455" s="29">
        <f t="shared" si="31"/>
        <v>0</v>
      </c>
    </row>
    <row r="456" spans="5:5" ht="15.5" x14ac:dyDescent="0.35">
      <c r="E456" s="29">
        <f t="shared" si="31"/>
        <v>0</v>
      </c>
    </row>
    <row r="457" spans="5:5" ht="15.5" x14ac:dyDescent="0.35">
      <c r="E457" s="29">
        <f t="shared" si="31"/>
        <v>0</v>
      </c>
    </row>
    <row r="458" spans="5:5" ht="15.5" x14ac:dyDescent="0.35">
      <c r="E458" s="29">
        <f t="shared" si="31"/>
        <v>0</v>
      </c>
    </row>
    <row r="459" spans="5:5" ht="15.5" x14ac:dyDescent="0.35">
      <c r="E459" s="29">
        <f t="shared" si="31"/>
        <v>0</v>
      </c>
    </row>
    <row r="460" spans="5:5" ht="15.5" x14ac:dyDescent="0.35">
      <c r="E460" s="29">
        <f t="shared" si="31"/>
        <v>0</v>
      </c>
    </row>
    <row r="461" spans="5:5" ht="15.5" x14ac:dyDescent="0.35">
      <c r="E461" s="29">
        <f t="shared" si="31"/>
        <v>0</v>
      </c>
    </row>
    <row r="462" spans="5:5" ht="15.5" x14ac:dyDescent="0.35">
      <c r="E462" s="29">
        <f t="shared" si="31"/>
        <v>0</v>
      </c>
    </row>
    <row r="463" spans="5:5" ht="15.5" x14ac:dyDescent="0.35">
      <c r="E463" s="29">
        <f t="shared" si="31"/>
        <v>0</v>
      </c>
    </row>
    <row r="464" spans="5:5" ht="15.5" x14ac:dyDescent="0.35">
      <c r="E464" s="29">
        <f t="shared" ref="E464:E527" si="32">IF($E$9=0,0,ROUND(C464*($E$9/$E$6),2))</f>
        <v>0</v>
      </c>
    </row>
    <row r="465" spans="5:5" ht="15.5" x14ac:dyDescent="0.35">
      <c r="E465" s="29">
        <f t="shared" si="32"/>
        <v>0</v>
      </c>
    </row>
    <row r="466" spans="5:5" ht="15.5" x14ac:dyDescent="0.35">
      <c r="E466" s="29">
        <f t="shared" si="32"/>
        <v>0</v>
      </c>
    </row>
    <row r="467" spans="5:5" ht="15.5" x14ac:dyDescent="0.35">
      <c r="E467" s="29">
        <f t="shared" si="32"/>
        <v>0</v>
      </c>
    </row>
    <row r="468" spans="5:5" ht="15.5" x14ac:dyDescent="0.35">
      <c r="E468" s="29">
        <f t="shared" si="32"/>
        <v>0</v>
      </c>
    </row>
    <row r="469" spans="5:5" ht="15.5" x14ac:dyDescent="0.35">
      <c r="E469" s="29">
        <f t="shared" si="32"/>
        <v>0</v>
      </c>
    </row>
    <row r="470" spans="5:5" ht="15.5" x14ac:dyDescent="0.35">
      <c r="E470" s="29">
        <f t="shared" si="32"/>
        <v>0</v>
      </c>
    </row>
    <row r="471" spans="5:5" ht="15.5" x14ac:dyDescent="0.35">
      <c r="E471" s="29">
        <f t="shared" si="32"/>
        <v>0</v>
      </c>
    </row>
    <row r="472" spans="5:5" ht="15.5" x14ac:dyDescent="0.35">
      <c r="E472" s="29">
        <f t="shared" si="32"/>
        <v>0</v>
      </c>
    </row>
    <row r="473" spans="5:5" ht="15.5" x14ac:dyDescent="0.35">
      <c r="E473" s="29">
        <f t="shared" si="32"/>
        <v>0</v>
      </c>
    </row>
    <row r="474" spans="5:5" ht="15.5" x14ac:dyDescent="0.35">
      <c r="E474" s="29">
        <f t="shared" si="32"/>
        <v>0</v>
      </c>
    </row>
    <row r="475" spans="5:5" ht="15.5" x14ac:dyDescent="0.35">
      <c r="E475" s="29">
        <f t="shared" si="32"/>
        <v>0</v>
      </c>
    </row>
    <row r="476" spans="5:5" ht="15.5" x14ac:dyDescent="0.35">
      <c r="E476" s="29">
        <f t="shared" si="32"/>
        <v>0</v>
      </c>
    </row>
    <row r="477" spans="5:5" ht="15.5" x14ac:dyDescent="0.35">
      <c r="E477" s="29">
        <f t="shared" si="32"/>
        <v>0</v>
      </c>
    </row>
    <row r="478" spans="5:5" ht="15.5" x14ac:dyDescent="0.35">
      <c r="E478" s="29">
        <f t="shared" si="32"/>
        <v>0</v>
      </c>
    </row>
    <row r="479" spans="5:5" ht="15.5" x14ac:dyDescent="0.35">
      <c r="E479" s="29">
        <f t="shared" si="32"/>
        <v>0</v>
      </c>
    </row>
    <row r="480" spans="5:5" ht="15.5" x14ac:dyDescent="0.35">
      <c r="E480" s="29">
        <f t="shared" si="32"/>
        <v>0</v>
      </c>
    </row>
    <row r="481" spans="5:5" ht="15.5" x14ac:dyDescent="0.35">
      <c r="E481" s="29">
        <f t="shared" si="32"/>
        <v>0</v>
      </c>
    </row>
    <row r="482" spans="5:5" ht="15.5" x14ac:dyDescent="0.35">
      <c r="E482" s="29">
        <f t="shared" si="32"/>
        <v>0</v>
      </c>
    </row>
    <row r="483" spans="5:5" ht="15.5" x14ac:dyDescent="0.35">
      <c r="E483" s="29">
        <f t="shared" si="32"/>
        <v>0</v>
      </c>
    </row>
    <row r="484" spans="5:5" ht="15.5" x14ac:dyDescent="0.35">
      <c r="E484" s="29">
        <f t="shared" si="32"/>
        <v>0</v>
      </c>
    </row>
    <row r="485" spans="5:5" ht="15.5" x14ac:dyDescent="0.35">
      <c r="E485" s="29">
        <f t="shared" si="32"/>
        <v>0</v>
      </c>
    </row>
    <row r="486" spans="5:5" ht="15.5" x14ac:dyDescent="0.35">
      <c r="E486" s="29">
        <f t="shared" si="32"/>
        <v>0</v>
      </c>
    </row>
    <row r="487" spans="5:5" ht="15.5" x14ac:dyDescent="0.35">
      <c r="E487" s="29">
        <f t="shared" si="32"/>
        <v>0</v>
      </c>
    </row>
    <row r="488" spans="5:5" ht="15.5" x14ac:dyDescent="0.35">
      <c r="E488" s="29">
        <f t="shared" si="32"/>
        <v>0</v>
      </c>
    </row>
    <row r="489" spans="5:5" ht="15.5" x14ac:dyDescent="0.35">
      <c r="E489" s="29">
        <f t="shared" si="32"/>
        <v>0</v>
      </c>
    </row>
    <row r="490" spans="5:5" ht="15.5" x14ac:dyDescent="0.35">
      <c r="E490" s="29">
        <f t="shared" si="32"/>
        <v>0</v>
      </c>
    </row>
    <row r="491" spans="5:5" ht="15.5" x14ac:dyDescent="0.35">
      <c r="E491" s="29">
        <f t="shared" si="32"/>
        <v>0</v>
      </c>
    </row>
    <row r="492" spans="5:5" ht="15.5" x14ac:dyDescent="0.35">
      <c r="E492" s="29">
        <f t="shared" si="32"/>
        <v>0</v>
      </c>
    </row>
    <row r="493" spans="5:5" ht="15.5" x14ac:dyDescent="0.35">
      <c r="E493" s="29">
        <f t="shared" si="32"/>
        <v>0</v>
      </c>
    </row>
    <row r="494" spans="5:5" ht="15.5" x14ac:dyDescent="0.35">
      <c r="E494" s="29">
        <f t="shared" si="32"/>
        <v>0</v>
      </c>
    </row>
    <row r="495" spans="5:5" ht="15.5" x14ac:dyDescent="0.35">
      <c r="E495" s="29">
        <f t="shared" si="32"/>
        <v>0</v>
      </c>
    </row>
    <row r="496" spans="5:5" ht="15.5" x14ac:dyDescent="0.35">
      <c r="E496" s="29">
        <f t="shared" si="32"/>
        <v>0</v>
      </c>
    </row>
    <row r="497" spans="5:5" ht="15.5" x14ac:dyDescent="0.35">
      <c r="E497" s="29">
        <f t="shared" si="32"/>
        <v>0</v>
      </c>
    </row>
    <row r="498" spans="5:5" ht="15.5" x14ac:dyDescent="0.35">
      <c r="E498" s="29">
        <f t="shared" si="32"/>
        <v>0</v>
      </c>
    </row>
    <row r="499" spans="5:5" ht="15.5" x14ac:dyDescent="0.35">
      <c r="E499" s="29">
        <f t="shared" si="32"/>
        <v>0</v>
      </c>
    </row>
    <row r="500" spans="5:5" ht="15.5" x14ac:dyDescent="0.35">
      <c r="E500" s="29">
        <f t="shared" si="32"/>
        <v>0</v>
      </c>
    </row>
    <row r="501" spans="5:5" ht="15.5" x14ac:dyDescent="0.35">
      <c r="E501" s="29">
        <f t="shared" si="32"/>
        <v>0</v>
      </c>
    </row>
    <row r="502" spans="5:5" ht="15.5" x14ac:dyDescent="0.35">
      <c r="E502" s="29">
        <f t="shared" si="32"/>
        <v>0</v>
      </c>
    </row>
    <row r="503" spans="5:5" ht="15.5" x14ac:dyDescent="0.35">
      <c r="E503" s="29">
        <f t="shared" si="32"/>
        <v>0</v>
      </c>
    </row>
    <row r="504" spans="5:5" ht="15.5" x14ac:dyDescent="0.35">
      <c r="E504" s="29">
        <f t="shared" si="32"/>
        <v>0</v>
      </c>
    </row>
    <row r="505" spans="5:5" ht="15.5" x14ac:dyDescent="0.35">
      <c r="E505" s="29">
        <f t="shared" si="32"/>
        <v>0</v>
      </c>
    </row>
    <row r="506" spans="5:5" ht="15.5" x14ac:dyDescent="0.35">
      <c r="E506" s="29">
        <f t="shared" si="32"/>
        <v>0</v>
      </c>
    </row>
    <row r="507" spans="5:5" ht="15.5" x14ac:dyDescent="0.35">
      <c r="E507" s="29">
        <f t="shared" si="32"/>
        <v>0</v>
      </c>
    </row>
    <row r="508" spans="5:5" ht="15.5" x14ac:dyDescent="0.35">
      <c r="E508" s="29">
        <f t="shared" si="32"/>
        <v>0</v>
      </c>
    </row>
    <row r="509" spans="5:5" ht="15.5" x14ac:dyDescent="0.35">
      <c r="E509" s="29">
        <f t="shared" si="32"/>
        <v>0</v>
      </c>
    </row>
    <row r="510" spans="5:5" ht="15.5" x14ac:dyDescent="0.35">
      <c r="E510" s="29">
        <f t="shared" si="32"/>
        <v>0</v>
      </c>
    </row>
    <row r="511" spans="5:5" ht="15.5" x14ac:dyDescent="0.35">
      <c r="E511" s="29">
        <f t="shared" si="32"/>
        <v>0</v>
      </c>
    </row>
    <row r="512" spans="5:5" ht="15.5" x14ac:dyDescent="0.35">
      <c r="E512" s="29">
        <f t="shared" si="32"/>
        <v>0</v>
      </c>
    </row>
    <row r="513" spans="5:5" ht="15.5" x14ac:dyDescent="0.35">
      <c r="E513" s="29">
        <f t="shared" si="32"/>
        <v>0</v>
      </c>
    </row>
    <row r="514" spans="5:5" ht="15.5" x14ac:dyDescent="0.35">
      <c r="E514" s="29">
        <f t="shared" si="32"/>
        <v>0</v>
      </c>
    </row>
    <row r="515" spans="5:5" ht="15.5" x14ac:dyDescent="0.35">
      <c r="E515" s="29">
        <f t="shared" si="32"/>
        <v>0</v>
      </c>
    </row>
    <row r="516" spans="5:5" ht="15.5" x14ac:dyDescent="0.35">
      <c r="E516" s="29">
        <f t="shared" si="32"/>
        <v>0</v>
      </c>
    </row>
    <row r="517" spans="5:5" ht="15.5" x14ac:dyDescent="0.35">
      <c r="E517" s="29">
        <f t="shared" si="32"/>
        <v>0</v>
      </c>
    </row>
    <row r="518" spans="5:5" ht="15.5" x14ac:dyDescent="0.35">
      <c r="E518" s="29">
        <f t="shared" si="32"/>
        <v>0</v>
      </c>
    </row>
    <row r="519" spans="5:5" ht="15.5" x14ac:dyDescent="0.35">
      <c r="E519" s="29">
        <f t="shared" si="32"/>
        <v>0</v>
      </c>
    </row>
    <row r="520" spans="5:5" ht="15.5" x14ac:dyDescent="0.35">
      <c r="E520" s="29">
        <f t="shared" si="32"/>
        <v>0</v>
      </c>
    </row>
    <row r="521" spans="5:5" ht="15.5" x14ac:dyDescent="0.35">
      <c r="E521" s="29">
        <f t="shared" si="32"/>
        <v>0</v>
      </c>
    </row>
    <row r="522" spans="5:5" ht="15.5" x14ac:dyDescent="0.35">
      <c r="E522" s="29">
        <f t="shared" si="32"/>
        <v>0</v>
      </c>
    </row>
    <row r="523" spans="5:5" ht="15.5" x14ac:dyDescent="0.35">
      <c r="E523" s="29">
        <f t="shared" si="32"/>
        <v>0</v>
      </c>
    </row>
    <row r="524" spans="5:5" ht="15.5" x14ac:dyDescent="0.35">
      <c r="E524" s="29">
        <f t="shared" si="32"/>
        <v>0</v>
      </c>
    </row>
    <row r="525" spans="5:5" ht="15.5" x14ac:dyDescent="0.35">
      <c r="E525" s="29">
        <f t="shared" si="32"/>
        <v>0</v>
      </c>
    </row>
    <row r="526" spans="5:5" ht="15.5" x14ac:dyDescent="0.35">
      <c r="E526" s="29">
        <f t="shared" si="32"/>
        <v>0</v>
      </c>
    </row>
    <row r="527" spans="5:5" ht="15.5" x14ac:dyDescent="0.35">
      <c r="E527" s="29">
        <f t="shared" si="32"/>
        <v>0</v>
      </c>
    </row>
    <row r="528" spans="5:5" ht="15.5" x14ac:dyDescent="0.35">
      <c r="E528" s="29">
        <f t="shared" ref="E528:E591" si="33">IF($E$9=0,0,ROUND(C528*($E$9/$E$6),2))</f>
        <v>0</v>
      </c>
    </row>
    <row r="529" spans="5:5" ht="15.5" x14ac:dyDescent="0.35">
      <c r="E529" s="29">
        <f t="shared" si="33"/>
        <v>0</v>
      </c>
    </row>
    <row r="530" spans="5:5" ht="15.5" x14ac:dyDescent="0.35">
      <c r="E530" s="29">
        <f t="shared" si="33"/>
        <v>0</v>
      </c>
    </row>
    <row r="531" spans="5:5" ht="15.5" x14ac:dyDescent="0.35">
      <c r="E531" s="29">
        <f t="shared" si="33"/>
        <v>0</v>
      </c>
    </row>
    <row r="532" spans="5:5" ht="15.5" x14ac:dyDescent="0.35">
      <c r="E532" s="29">
        <f t="shared" si="33"/>
        <v>0</v>
      </c>
    </row>
    <row r="533" spans="5:5" ht="15.5" x14ac:dyDescent="0.35">
      <c r="E533" s="29">
        <f t="shared" si="33"/>
        <v>0</v>
      </c>
    </row>
    <row r="534" spans="5:5" ht="15.5" x14ac:dyDescent="0.35">
      <c r="E534" s="29">
        <f t="shared" si="33"/>
        <v>0</v>
      </c>
    </row>
    <row r="535" spans="5:5" ht="15.5" x14ac:dyDescent="0.35">
      <c r="E535" s="29">
        <f t="shared" si="33"/>
        <v>0</v>
      </c>
    </row>
    <row r="536" spans="5:5" ht="15.5" x14ac:dyDescent="0.35">
      <c r="E536" s="29">
        <f t="shared" si="33"/>
        <v>0</v>
      </c>
    </row>
    <row r="537" spans="5:5" ht="15.5" x14ac:dyDescent="0.35">
      <c r="E537" s="29">
        <f t="shared" si="33"/>
        <v>0</v>
      </c>
    </row>
    <row r="538" spans="5:5" ht="15.5" x14ac:dyDescent="0.35">
      <c r="E538" s="29">
        <f t="shared" si="33"/>
        <v>0</v>
      </c>
    </row>
    <row r="539" spans="5:5" ht="15.5" x14ac:dyDescent="0.35">
      <c r="E539" s="29">
        <f t="shared" si="33"/>
        <v>0</v>
      </c>
    </row>
    <row r="540" spans="5:5" ht="15.5" x14ac:dyDescent="0.35">
      <c r="E540" s="29">
        <f t="shared" si="33"/>
        <v>0</v>
      </c>
    </row>
    <row r="541" spans="5:5" ht="15.5" x14ac:dyDescent="0.35">
      <c r="E541" s="29">
        <f t="shared" si="33"/>
        <v>0</v>
      </c>
    </row>
    <row r="542" spans="5:5" ht="15.5" x14ac:dyDescent="0.35">
      <c r="E542" s="29">
        <f t="shared" si="33"/>
        <v>0</v>
      </c>
    </row>
    <row r="543" spans="5:5" ht="15.5" x14ac:dyDescent="0.35">
      <c r="E543" s="29">
        <f t="shared" si="33"/>
        <v>0</v>
      </c>
    </row>
    <row r="544" spans="5:5" ht="15.5" x14ac:dyDescent="0.35">
      <c r="E544" s="29">
        <f t="shared" si="33"/>
        <v>0</v>
      </c>
    </row>
    <row r="545" spans="5:5" ht="15.5" x14ac:dyDescent="0.35">
      <c r="E545" s="29">
        <f t="shared" si="33"/>
        <v>0</v>
      </c>
    </row>
    <row r="546" spans="5:5" ht="15.5" x14ac:dyDescent="0.35">
      <c r="E546" s="29">
        <f t="shared" si="33"/>
        <v>0</v>
      </c>
    </row>
    <row r="547" spans="5:5" ht="15.5" x14ac:dyDescent="0.35">
      <c r="E547" s="29">
        <f t="shared" si="33"/>
        <v>0</v>
      </c>
    </row>
    <row r="548" spans="5:5" ht="15.5" x14ac:dyDescent="0.35">
      <c r="E548" s="29">
        <f t="shared" si="33"/>
        <v>0</v>
      </c>
    </row>
    <row r="549" spans="5:5" ht="15.5" x14ac:dyDescent="0.35">
      <c r="E549" s="29">
        <f t="shared" si="33"/>
        <v>0</v>
      </c>
    </row>
    <row r="550" spans="5:5" ht="15.5" x14ac:dyDescent="0.35">
      <c r="E550" s="29">
        <f t="shared" si="33"/>
        <v>0</v>
      </c>
    </row>
    <row r="551" spans="5:5" ht="15.5" x14ac:dyDescent="0.35">
      <c r="E551" s="29">
        <f t="shared" si="33"/>
        <v>0</v>
      </c>
    </row>
    <row r="552" spans="5:5" ht="15.5" x14ac:dyDescent="0.35">
      <c r="E552" s="29">
        <f t="shared" si="33"/>
        <v>0</v>
      </c>
    </row>
    <row r="553" spans="5:5" ht="15.5" x14ac:dyDescent="0.35">
      <c r="E553" s="29">
        <f t="shared" si="33"/>
        <v>0</v>
      </c>
    </row>
    <row r="554" spans="5:5" ht="15.5" x14ac:dyDescent="0.35">
      <c r="E554" s="29">
        <f t="shared" si="33"/>
        <v>0</v>
      </c>
    </row>
    <row r="555" spans="5:5" ht="15.5" x14ac:dyDescent="0.35">
      <c r="E555" s="29">
        <f t="shared" si="33"/>
        <v>0</v>
      </c>
    </row>
    <row r="556" spans="5:5" ht="15.5" x14ac:dyDescent="0.35">
      <c r="E556" s="29">
        <f t="shared" si="33"/>
        <v>0</v>
      </c>
    </row>
    <row r="557" spans="5:5" ht="15.5" x14ac:dyDescent="0.35">
      <c r="E557" s="29">
        <f t="shared" si="33"/>
        <v>0</v>
      </c>
    </row>
    <row r="558" spans="5:5" ht="15.5" x14ac:dyDescent="0.35">
      <c r="E558" s="29">
        <f t="shared" si="33"/>
        <v>0</v>
      </c>
    </row>
    <row r="559" spans="5:5" ht="15.5" x14ac:dyDescent="0.35">
      <c r="E559" s="29">
        <f t="shared" si="33"/>
        <v>0</v>
      </c>
    </row>
    <row r="560" spans="5:5" ht="15.5" x14ac:dyDescent="0.35">
      <c r="E560" s="29">
        <f t="shared" si="33"/>
        <v>0</v>
      </c>
    </row>
    <row r="561" spans="5:5" ht="15.5" x14ac:dyDescent="0.35">
      <c r="E561" s="29">
        <f t="shared" si="33"/>
        <v>0</v>
      </c>
    </row>
    <row r="562" spans="5:5" ht="15.5" x14ac:dyDescent="0.35">
      <c r="E562" s="29">
        <f t="shared" si="33"/>
        <v>0</v>
      </c>
    </row>
    <row r="563" spans="5:5" ht="15.5" x14ac:dyDescent="0.35">
      <c r="E563" s="29">
        <f t="shared" si="33"/>
        <v>0</v>
      </c>
    </row>
    <row r="564" spans="5:5" ht="15.5" x14ac:dyDescent="0.35">
      <c r="E564" s="29">
        <f t="shared" si="33"/>
        <v>0</v>
      </c>
    </row>
    <row r="565" spans="5:5" ht="15.5" x14ac:dyDescent="0.35">
      <c r="E565" s="29">
        <f t="shared" si="33"/>
        <v>0</v>
      </c>
    </row>
    <row r="566" spans="5:5" ht="15.5" x14ac:dyDescent="0.35">
      <c r="E566" s="29">
        <f t="shared" si="33"/>
        <v>0</v>
      </c>
    </row>
    <row r="567" spans="5:5" ht="15.5" x14ac:dyDescent="0.35">
      <c r="E567" s="29">
        <f t="shared" si="33"/>
        <v>0</v>
      </c>
    </row>
    <row r="568" spans="5:5" ht="15.5" x14ac:dyDescent="0.35">
      <c r="E568" s="29">
        <f t="shared" si="33"/>
        <v>0</v>
      </c>
    </row>
    <row r="569" spans="5:5" ht="15.5" x14ac:dyDescent="0.35">
      <c r="E569" s="29">
        <f t="shared" si="33"/>
        <v>0</v>
      </c>
    </row>
    <row r="570" spans="5:5" ht="15.5" x14ac:dyDescent="0.35">
      <c r="E570" s="29">
        <f t="shared" si="33"/>
        <v>0</v>
      </c>
    </row>
    <row r="571" spans="5:5" ht="15.5" x14ac:dyDescent="0.35">
      <c r="E571" s="29">
        <f t="shared" si="33"/>
        <v>0</v>
      </c>
    </row>
    <row r="572" spans="5:5" ht="15.5" x14ac:dyDescent="0.35">
      <c r="E572" s="29">
        <f t="shared" si="33"/>
        <v>0</v>
      </c>
    </row>
    <row r="573" spans="5:5" ht="15.5" x14ac:dyDescent="0.35">
      <c r="E573" s="29">
        <f t="shared" si="33"/>
        <v>0</v>
      </c>
    </row>
    <row r="574" spans="5:5" ht="15.5" x14ac:dyDescent="0.35">
      <c r="E574" s="29">
        <f t="shared" si="33"/>
        <v>0</v>
      </c>
    </row>
    <row r="575" spans="5:5" ht="15.5" x14ac:dyDescent="0.35">
      <c r="E575" s="29">
        <f t="shared" si="33"/>
        <v>0</v>
      </c>
    </row>
    <row r="576" spans="5:5" ht="15.5" x14ac:dyDescent="0.35">
      <c r="E576" s="29">
        <f t="shared" si="33"/>
        <v>0</v>
      </c>
    </row>
    <row r="577" spans="5:5" ht="15.5" x14ac:dyDescent="0.35">
      <c r="E577" s="29">
        <f t="shared" si="33"/>
        <v>0</v>
      </c>
    </row>
    <row r="578" spans="5:5" ht="15.5" x14ac:dyDescent="0.35">
      <c r="E578" s="29">
        <f t="shared" si="33"/>
        <v>0</v>
      </c>
    </row>
    <row r="579" spans="5:5" ht="15.5" x14ac:dyDescent="0.35">
      <c r="E579" s="29">
        <f t="shared" si="33"/>
        <v>0</v>
      </c>
    </row>
    <row r="580" spans="5:5" ht="15.5" x14ac:dyDescent="0.35">
      <c r="E580" s="29">
        <f t="shared" si="33"/>
        <v>0</v>
      </c>
    </row>
    <row r="581" spans="5:5" ht="15.5" x14ac:dyDescent="0.35">
      <c r="E581" s="29">
        <f t="shared" si="33"/>
        <v>0</v>
      </c>
    </row>
    <row r="582" spans="5:5" ht="15.5" x14ac:dyDescent="0.35">
      <c r="E582" s="29">
        <f t="shared" si="33"/>
        <v>0</v>
      </c>
    </row>
    <row r="583" spans="5:5" ht="15.5" x14ac:dyDescent="0.35">
      <c r="E583" s="29">
        <f t="shared" si="33"/>
        <v>0</v>
      </c>
    </row>
    <row r="584" spans="5:5" ht="15.5" x14ac:dyDescent="0.35">
      <c r="E584" s="29">
        <f t="shared" si="33"/>
        <v>0</v>
      </c>
    </row>
    <row r="585" spans="5:5" ht="15.5" x14ac:dyDescent="0.35">
      <c r="E585" s="29">
        <f t="shared" si="33"/>
        <v>0</v>
      </c>
    </row>
    <row r="586" spans="5:5" ht="15.5" x14ac:dyDescent="0.35">
      <c r="E586" s="29">
        <f t="shared" si="33"/>
        <v>0</v>
      </c>
    </row>
    <row r="587" spans="5:5" ht="15.5" x14ac:dyDescent="0.35">
      <c r="E587" s="29">
        <f t="shared" si="33"/>
        <v>0</v>
      </c>
    </row>
    <row r="588" spans="5:5" ht="15.5" x14ac:dyDescent="0.35">
      <c r="E588" s="29">
        <f t="shared" si="33"/>
        <v>0</v>
      </c>
    </row>
    <row r="589" spans="5:5" ht="15.5" x14ac:dyDescent="0.35">
      <c r="E589" s="29">
        <f t="shared" si="33"/>
        <v>0</v>
      </c>
    </row>
    <row r="590" spans="5:5" ht="15.5" x14ac:dyDescent="0.35">
      <c r="E590" s="29">
        <f t="shared" si="33"/>
        <v>0</v>
      </c>
    </row>
    <row r="591" spans="5:5" ht="15.5" x14ac:dyDescent="0.35">
      <c r="E591" s="29">
        <f t="shared" si="33"/>
        <v>0</v>
      </c>
    </row>
    <row r="592" spans="5:5" ht="15.5" x14ac:dyDescent="0.35">
      <c r="E592" s="29">
        <f t="shared" ref="E592:E655" si="34">IF($E$9=0,0,ROUND(C592*($E$9/$E$6),2))</f>
        <v>0</v>
      </c>
    </row>
    <row r="593" spans="5:5" ht="15.5" x14ac:dyDescent="0.35">
      <c r="E593" s="29">
        <f t="shared" si="34"/>
        <v>0</v>
      </c>
    </row>
    <row r="594" spans="5:5" ht="15.5" x14ac:dyDescent="0.35">
      <c r="E594" s="29">
        <f t="shared" si="34"/>
        <v>0</v>
      </c>
    </row>
    <row r="595" spans="5:5" ht="15.5" x14ac:dyDescent="0.35">
      <c r="E595" s="29">
        <f t="shared" si="34"/>
        <v>0</v>
      </c>
    </row>
    <row r="596" spans="5:5" ht="15.5" x14ac:dyDescent="0.35">
      <c r="E596" s="29">
        <f t="shared" si="34"/>
        <v>0</v>
      </c>
    </row>
    <row r="597" spans="5:5" ht="15.5" x14ac:dyDescent="0.35">
      <c r="E597" s="29">
        <f t="shared" si="34"/>
        <v>0</v>
      </c>
    </row>
    <row r="598" spans="5:5" ht="15.5" x14ac:dyDescent="0.35">
      <c r="E598" s="29">
        <f t="shared" si="34"/>
        <v>0</v>
      </c>
    </row>
    <row r="599" spans="5:5" ht="15.5" x14ac:dyDescent="0.35">
      <c r="E599" s="29">
        <f t="shared" si="34"/>
        <v>0</v>
      </c>
    </row>
    <row r="600" spans="5:5" ht="15.5" x14ac:dyDescent="0.35">
      <c r="E600" s="29">
        <f t="shared" si="34"/>
        <v>0</v>
      </c>
    </row>
    <row r="601" spans="5:5" ht="15.5" x14ac:dyDescent="0.35">
      <c r="E601" s="29">
        <f t="shared" si="34"/>
        <v>0</v>
      </c>
    </row>
    <row r="602" spans="5:5" ht="15.5" x14ac:dyDescent="0.35">
      <c r="E602" s="29">
        <f t="shared" si="34"/>
        <v>0</v>
      </c>
    </row>
    <row r="603" spans="5:5" ht="15.5" x14ac:dyDescent="0.35">
      <c r="E603" s="29">
        <f t="shared" si="34"/>
        <v>0</v>
      </c>
    </row>
    <row r="604" spans="5:5" ht="15.5" x14ac:dyDescent="0.35">
      <c r="E604" s="29">
        <f t="shared" si="34"/>
        <v>0</v>
      </c>
    </row>
    <row r="605" spans="5:5" ht="15.5" x14ac:dyDescent="0.35">
      <c r="E605" s="29">
        <f t="shared" si="34"/>
        <v>0</v>
      </c>
    </row>
    <row r="606" spans="5:5" ht="15.5" x14ac:dyDescent="0.35">
      <c r="E606" s="29">
        <f t="shared" si="34"/>
        <v>0</v>
      </c>
    </row>
    <row r="607" spans="5:5" ht="15.5" x14ac:dyDescent="0.35">
      <c r="E607" s="29">
        <f t="shared" si="34"/>
        <v>0</v>
      </c>
    </row>
    <row r="608" spans="5:5" ht="15.5" x14ac:dyDescent="0.35">
      <c r="E608" s="29">
        <f t="shared" si="34"/>
        <v>0</v>
      </c>
    </row>
    <row r="609" spans="5:5" ht="15.5" x14ac:dyDescent="0.35">
      <c r="E609" s="29">
        <f t="shared" si="34"/>
        <v>0</v>
      </c>
    </row>
    <row r="610" spans="5:5" ht="15.5" x14ac:dyDescent="0.35">
      <c r="E610" s="29">
        <f t="shared" si="34"/>
        <v>0</v>
      </c>
    </row>
    <row r="611" spans="5:5" ht="15.5" x14ac:dyDescent="0.35">
      <c r="E611" s="29">
        <f t="shared" si="34"/>
        <v>0</v>
      </c>
    </row>
    <row r="612" spans="5:5" ht="15.5" x14ac:dyDescent="0.35">
      <c r="E612" s="29">
        <f t="shared" si="34"/>
        <v>0</v>
      </c>
    </row>
    <row r="613" spans="5:5" ht="15.5" x14ac:dyDescent="0.35">
      <c r="E613" s="29">
        <f t="shared" si="34"/>
        <v>0</v>
      </c>
    </row>
    <row r="614" spans="5:5" ht="15.5" x14ac:dyDescent="0.35">
      <c r="E614" s="29">
        <f t="shared" si="34"/>
        <v>0</v>
      </c>
    </row>
    <row r="615" spans="5:5" ht="15.5" x14ac:dyDescent="0.35">
      <c r="E615" s="29">
        <f t="shared" si="34"/>
        <v>0</v>
      </c>
    </row>
    <row r="616" spans="5:5" ht="15.5" x14ac:dyDescent="0.35">
      <c r="E616" s="29">
        <f t="shared" si="34"/>
        <v>0</v>
      </c>
    </row>
    <row r="617" spans="5:5" ht="15.5" x14ac:dyDescent="0.35">
      <c r="E617" s="29">
        <f t="shared" si="34"/>
        <v>0</v>
      </c>
    </row>
    <row r="618" spans="5:5" ht="15.5" x14ac:dyDescent="0.35">
      <c r="E618" s="29">
        <f t="shared" si="34"/>
        <v>0</v>
      </c>
    </row>
    <row r="619" spans="5:5" ht="15.5" x14ac:dyDescent="0.35">
      <c r="E619" s="29">
        <f t="shared" si="34"/>
        <v>0</v>
      </c>
    </row>
    <row r="620" spans="5:5" ht="15.5" x14ac:dyDescent="0.35">
      <c r="E620" s="29">
        <f t="shared" si="34"/>
        <v>0</v>
      </c>
    </row>
    <row r="621" spans="5:5" ht="15.5" x14ac:dyDescent="0.35">
      <c r="E621" s="29">
        <f t="shared" si="34"/>
        <v>0</v>
      </c>
    </row>
    <row r="622" spans="5:5" ht="15.5" x14ac:dyDescent="0.35">
      <c r="E622" s="29">
        <f t="shared" si="34"/>
        <v>0</v>
      </c>
    </row>
    <row r="623" spans="5:5" ht="15.5" x14ac:dyDescent="0.35">
      <c r="E623" s="29">
        <f t="shared" si="34"/>
        <v>0</v>
      </c>
    </row>
    <row r="624" spans="5:5" ht="15.5" x14ac:dyDescent="0.35">
      <c r="E624" s="29">
        <f t="shared" si="34"/>
        <v>0</v>
      </c>
    </row>
    <row r="625" spans="5:5" ht="15.5" x14ac:dyDescent="0.35">
      <c r="E625" s="29">
        <f t="shared" si="34"/>
        <v>0</v>
      </c>
    </row>
    <row r="626" spans="5:5" ht="15.5" x14ac:dyDescent="0.35">
      <c r="E626" s="29">
        <f t="shared" si="34"/>
        <v>0</v>
      </c>
    </row>
    <row r="627" spans="5:5" ht="15.5" x14ac:dyDescent="0.35">
      <c r="E627" s="29">
        <f t="shared" si="34"/>
        <v>0</v>
      </c>
    </row>
    <row r="628" spans="5:5" ht="15.5" x14ac:dyDescent="0.35">
      <c r="E628" s="29">
        <f t="shared" si="34"/>
        <v>0</v>
      </c>
    </row>
    <row r="629" spans="5:5" ht="15.5" x14ac:dyDescent="0.35">
      <c r="E629" s="29">
        <f t="shared" si="34"/>
        <v>0</v>
      </c>
    </row>
    <row r="630" spans="5:5" ht="15.5" x14ac:dyDescent="0.35">
      <c r="E630" s="29">
        <f t="shared" si="34"/>
        <v>0</v>
      </c>
    </row>
    <row r="631" spans="5:5" ht="15.5" x14ac:dyDescent="0.35">
      <c r="E631" s="29">
        <f t="shared" si="34"/>
        <v>0</v>
      </c>
    </row>
    <row r="632" spans="5:5" ht="15.5" x14ac:dyDescent="0.35">
      <c r="E632" s="29">
        <f t="shared" si="34"/>
        <v>0</v>
      </c>
    </row>
    <row r="633" spans="5:5" ht="15.5" x14ac:dyDescent="0.35">
      <c r="E633" s="29">
        <f t="shared" si="34"/>
        <v>0</v>
      </c>
    </row>
    <row r="634" spans="5:5" ht="15.5" x14ac:dyDescent="0.35">
      <c r="E634" s="29">
        <f t="shared" si="34"/>
        <v>0</v>
      </c>
    </row>
    <row r="635" spans="5:5" ht="15.5" x14ac:dyDescent="0.35">
      <c r="E635" s="29">
        <f t="shared" si="34"/>
        <v>0</v>
      </c>
    </row>
    <row r="636" spans="5:5" ht="15.5" x14ac:dyDescent="0.35">
      <c r="E636" s="29">
        <f t="shared" si="34"/>
        <v>0</v>
      </c>
    </row>
    <row r="637" spans="5:5" ht="15.5" x14ac:dyDescent="0.35">
      <c r="E637" s="29">
        <f t="shared" si="34"/>
        <v>0</v>
      </c>
    </row>
    <row r="638" spans="5:5" ht="15.5" x14ac:dyDescent="0.35">
      <c r="E638" s="29">
        <f t="shared" si="34"/>
        <v>0</v>
      </c>
    </row>
    <row r="639" spans="5:5" ht="15.5" x14ac:dyDescent="0.35">
      <c r="E639" s="29">
        <f t="shared" si="34"/>
        <v>0</v>
      </c>
    </row>
    <row r="640" spans="5:5" ht="15.5" x14ac:dyDescent="0.35">
      <c r="E640" s="29">
        <f t="shared" si="34"/>
        <v>0</v>
      </c>
    </row>
    <row r="641" spans="5:5" ht="15.5" x14ac:dyDescent="0.35">
      <c r="E641" s="29">
        <f t="shared" si="34"/>
        <v>0</v>
      </c>
    </row>
    <row r="642" spans="5:5" ht="15.5" x14ac:dyDescent="0.35">
      <c r="E642" s="29">
        <f t="shared" si="34"/>
        <v>0</v>
      </c>
    </row>
    <row r="643" spans="5:5" ht="15.5" x14ac:dyDescent="0.35">
      <c r="E643" s="29">
        <f t="shared" si="34"/>
        <v>0</v>
      </c>
    </row>
    <row r="644" spans="5:5" ht="15.5" x14ac:dyDescent="0.35">
      <c r="E644" s="29">
        <f t="shared" si="34"/>
        <v>0</v>
      </c>
    </row>
    <row r="645" spans="5:5" ht="15.5" x14ac:dyDescent="0.35">
      <c r="E645" s="29">
        <f t="shared" si="34"/>
        <v>0</v>
      </c>
    </row>
    <row r="646" spans="5:5" ht="15.5" x14ac:dyDescent="0.35">
      <c r="E646" s="29">
        <f t="shared" si="34"/>
        <v>0</v>
      </c>
    </row>
    <row r="647" spans="5:5" ht="15.5" x14ac:dyDescent="0.35">
      <c r="E647" s="29">
        <f t="shared" si="34"/>
        <v>0</v>
      </c>
    </row>
    <row r="648" spans="5:5" ht="15.5" x14ac:dyDescent="0.35">
      <c r="E648" s="29">
        <f t="shared" si="34"/>
        <v>0</v>
      </c>
    </row>
    <row r="649" spans="5:5" ht="15.5" x14ac:dyDescent="0.35">
      <c r="E649" s="29">
        <f t="shared" si="34"/>
        <v>0</v>
      </c>
    </row>
    <row r="650" spans="5:5" ht="15.5" x14ac:dyDescent="0.35">
      <c r="E650" s="29">
        <f t="shared" si="34"/>
        <v>0</v>
      </c>
    </row>
    <row r="651" spans="5:5" ht="15.5" x14ac:dyDescent="0.35">
      <c r="E651" s="29">
        <f t="shared" si="34"/>
        <v>0</v>
      </c>
    </row>
    <row r="652" spans="5:5" ht="15.5" x14ac:dyDescent="0.35">
      <c r="E652" s="29">
        <f t="shared" si="34"/>
        <v>0</v>
      </c>
    </row>
    <row r="653" spans="5:5" ht="15.5" x14ac:dyDescent="0.35">
      <c r="E653" s="29">
        <f t="shared" si="34"/>
        <v>0</v>
      </c>
    </row>
    <row r="654" spans="5:5" ht="15.5" x14ac:dyDescent="0.35">
      <c r="E654" s="29">
        <f t="shared" si="34"/>
        <v>0</v>
      </c>
    </row>
    <row r="655" spans="5:5" ht="15.5" x14ac:dyDescent="0.35">
      <c r="E655" s="29">
        <f t="shared" si="34"/>
        <v>0</v>
      </c>
    </row>
    <row r="656" spans="5:5" ht="15.5" x14ac:dyDescent="0.35">
      <c r="E656" s="29">
        <f t="shared" ref="E656:E719" si="35">IF($E$9=0,0,ROUND(C656*($E$9/$E$6),2))</f>
        <v>0</v>
      </c>
    </row>
    <row r="657" spans="5:5" ht="15.5" x14ac:dyDescent="0.35">
      <c r="E657" s="29">
        <f t="shared" si="35"/>
        <v>0</v>
      </c>
    </row>
    <row r="658" spans="5:5" ht="15.5" x14ac:dyDescent="0.35">
      <c r="E658" s="29">
        <f t="shared" si="35"/>
        <v>0</v>
      </c>
    </row>
    <row r="659" spans="5:5" ht="15.5" x14ac:dyDescent="0.35">
      <c r="E659" s="29">
        <f t="shared" si="35"/>
        <v>0</v>
      </c>
    </row>
    <row r="660" spans="5:5" ht="15.5" x14ac:dyDescent="0.35">
      <c r="E660" s="29">
        <f t="shared" si="35"/>
        <v>0</v>
      </c>
    </row>
    <row r="661" spans="5:5" ht="15.5" x14ac:dyDescent="0.35">
      <c r="E661" s="29">
        <f t="shared" si="35"/>
        <v>0</v>
      </c>
    </row>
    <row r="662" spans="5:5" ht="15.5" x14ac:dyDescent="0.35">
      <c r="E662" s="29">
        <f t="shared" si="35"/>
        <v>0</v>
      </c>
    </row>
    <row r="663" spans="5:5" ht="15.5" x14ac:dyDescent="0.35">
      <c r="E663" s="29">
        <f t="shared" si="35"/>
        <v>0</v>
      </c>
    </row>
    <row r="664" spans="5:5" ht="15.5" x14ac:dyDescent="0.35">
      <c r="E664" s="29">
        <f t="shared" si="35"/>
        <v>0</v>
      </c>
    </row>
    <row r="665" spans="5:5" ht="15.5" x14ac:dyDescent="0.35">
      <c r="E665" s="29">
        <f t="shared" si="35"/>
        <v>0</v>
      </c>
    </row>
    <row r="666" spans="5:5" ht="15.5" x14ac:dyDescent="0.35">
      <c r="E666" s="29">
        <f t="shared" si="35"/>
        <v>0</v>
      </c>
    </row>
    <row r="667" spans="5:5" ht="15.5" x14ac:dyDescent="0.35">
      <c r="E667" s="29">
        <f t="shared" si="35"/>
        <v>0</v>
      </c>
    </row>
    <row r="668" spans="5:5" ht="15.5" x14ac:dyDescent="0.35">
      <c r="E668" s="29">
        <f t="shared" si="35"/>
        <v>0</v>
      </c>
    </row>
    <row r="669" spans="5:5" ht="15.5" x14ac:dyDescent="0.35">
      <c r="E669" s="29">
        <f t="shared" si="35"/>
        <v>0</v>
      </c>
    </row>
    <row r="670" spans="5:5" ht="15.5" x14ac:dyDescent="0.35">
      <c r="E670" s="29">
        <f t="shared" si="35"/>
        <v>0</v>
      </c>
    </row>
    <row r="671" spans="5:5" ht="15.5" x14ac:dyDescent="0.35">
      <c r="E671" s="29">
        <f t="shared" si="35"/>
        <v>0</v>
      </c>
    </row>
    <row r="672" spans="5:5" ht="15.5" x14ac:dyDescent="0.35">
      <c r="E672" s="29">
        <f t="shared" si="35"/>
        <v>0</v>
      </c>
    </row>
    <row r="673" spans="5:5" ht="15.5" x14ac:dyDescent="0.35">
      <c r="E673" s="29">
        <f t="shared" si="35"/>
        <v>0</v>
      </c>
    </row>
    <row r="674" spans="5:5" ht="15.5" x14ac:dyDescent="0.35">
      <c r="E674" s="29">
        <f t="shared" si="35"/>
        <v>0</v>
      </c>
    </row>
    <row r="675" spans="5:5" ht="15.5" x14ac:dyDescent="0.35">
      <c r="E675" s="29">
        <f t="shared" si="35"/>
        <v>0</v>
      </c>
    </row>
    <row r="676" spans="5:5" ht="15.5" x14ac:dyDescent="0.35">
      <c r="E676" s="29">
        <f t="shared" si="35"/>
        <v>0</v>
      </c>
    </row>
    <row r="677" spans="5:5" ht="15.5" x14ac:dyDescent="0.35">
      <c r="E677" s="29">
        <f t="shared" si="35"/>
        <v>0</v>
      </c>
    </row>
    <row r="678" spans="5:5" ht="15.5" x14ac:dyDescent="0.35">
      <c r="E678" s="29">
        <f t="shared" si="35"/>
        <v>0</v>
      </c>
    </row>
    <row r="679" spans="5:5" ht="15.5" x14ac:dyDescent="0.35">
      <c r="E679" s="29">
        <f t="shared" si="35"/>
        <v>0</v>
      </c>
    </row>
    <row r="680" spans="5:5" ht="15.5" x14ac:dyDescent="0.35">
      <c r="E680" s="29">
        <f t="shared" si="35"/>
        <v>0</v>
      </c>
    </row>
    <row r="681" spans="5:5" ht="15.5" x14ac:dyDescent="0.35">
      <c r="E681" s="29">
        <f t="shared" si="35"/>
        <v>0</v>
      </c>
    </row>
    <row r="682" spans="5:5" ht="15.5" x14ac:dyDescent="0.35">
      <c r="E682" s="29">
        <f t="shared" si="35"/>
        <v>0</v>
      </c>
    </row>
    <row r="683" spans="5:5" ht="15.5" x14ac:dyDescent="0.35">
      <c r="E683" s="29">
        <f t="shared" si="35"/>
        <v>0</v>
      </c>
    </row>
    <row r="684" spans="5:5" ht="15.5" x14ac:dyDescent="0.35">
      <c r="E684" s="29">
        <f t="shared" si="35"/>
        <v>0</v>
      </c>
    </row>
    <row r="685" spans="5:5" ht="15.5" x14ac:dyDescent="0.35">
      <c r="E685" s="29">
        <f t="shared" si="35"/>
        <v>0</v>
      </c>
    </row>
    <row r="686" spans="5:5" ht="15.5" x14ac:dyDescent="0.35">
      <c r="E686" s="29">
        <f t="shared" si="35"/>
        <v>0</v>
      </c>
    </row>
    <row r="687" spans="5:5" ht="15.5" x14ac:dyDescent="0.35">
      <c r="E687" s="29">
        <f t="shared" si="35"/>
        <v>0</v>
      </c>
    </row>
    <row r="688" spans="5:5" ht="15.5" x14ac:dyDescent="0.35">
      <c r="E688" s="29">
        <f t="shared" si="35"/>
        <v>0</v>
      </c>
    </row>
    <row r="689" spans="5:5" ht="15.5" x14ac:dyDescent="0.35">
      <c r="E689" s="29">
        <f t="shared" si="35"/>
        <v>0</v>
      </c>
    </row>
    <row r="690" spans="5:5" ht="15.5" x14ac:dyDescent="0.35">
      <c r="E690" s="29">
        <f t="shared" si="35"/>
        <v>0</v>
      </c>
    </row>
    <row r="691" spans="5:5" ht="15.5" x14ac:dyDescent="0.35">
      <c r="E691" s="29">
        <f t="shared" si="35"/>
        <v>0</v>
      </c>
    </row>
    <row r="692" spans="5:5" ht="15.5" x14ac:dyDescent="0.35">
      <c r="E692" s="29">
        <f t="shared" si="35"/>
        <v>0</v>
      </c>
    </row>
    <row r="693" spans="5:5" ht="15.5" x14ac:dyDescent="0.35">
      <c r="E693" s="29">
        <f t="shared" si="35"/>
        <v>0</v>
      </c>
    </row>
    <row r="694" spans="5:5" ht="15.5" x14ac:dyDescent="0.35">
      <c r="E694" s="29">
        <f t="shared" si="35"/>
        <v>0</v>
      </c>
    </row>
    <row r="695" spans="5:5" ht="15.5" x14ac:dyDescent="0.35">
      <c r="E695" s="29">
        <f t="shared" si="35"/>
        <v>0</v>
      </c>
    </row>
    <row r="696" spans="5:5" ht="15.5" x14ac:dyDescent="0.35">
      <c r="E696" s="29">
        <f t="shared" si="35"/>
        <v>0</v>
      </c>
    </row>
    <row r="697" spans="5:5" ht="15.5" x14ac:dyDescent="0.35">
      <c r="E697" s="29">
        <f t="shared" si="35"/>
        <v>0</v>
      </c>
    </row>
    <row r="698" spans="5:5" ht="15.5" x14ac:dyDescent="0.35">
      <c r="E698" s="29">
        <f t="shared" si="35"/>
        <v>0</v>
      </c>
    </row>
    <row r="699" spans="5:5" ht="15.5" x14ac:dyDescent="0.35">
      <c r="E699" s="29">
        <f t="shared" si="35"/>
        <v>0</v>
      </c>
    </row>
    <row r="700" spans="5:5" ht="15.5" x14ac:dyDescent="0.35">
      <c r="E700" s="29">
        <f t="shared" si="35"/>
        <v>0</v>
      </c>
    </row>
    <row r="701" spans="5:5" ht="15.5" x14ac:dyDescent="0.35">
      <c r="E701" s="29">
        <f t="shared" si="35"/>
        <v>0</v>
      </c>
    </row>
    <row r="702" spans="5:5" ht="15.5" x14ac:dyDescent="0.35">
      <c r="E702" s="29">
        <f t="shared" si="35"/>
        <v>0</v>
      </c>
    </row>
    <row r="703" spans="5:5" ht="15.5" x14ac:dyDescent="0.35">
      <c r="E703" s="29">
        <f t="shared" si="35"/>
        <v>0</v>
      </c>
    </row>
    <row r="704" spans="5:5" ht="15.5" x14ac:dyDescent="0.35">
      <c r="E704" s="29">
        <f t="shared" si="35"/>
        <v>0</v>
      </c>
    </row>
    <row r="705" spans="5:5" ht="15.5" x14ac:dyDescent="0.35">
      <c r="E705" s="29">
        <f t="shared" si="35"/>
        <v>0</v>
      </c>
    </row>
    <row r="706" spans="5:5" ht="15.5" x14ac:dyDescent="0.35">
      <c r="E706" s="29">
        <f t="shared" si="35"/>
        <v>0</v>
      </c>
    </row>
    <row r="707" spans="5:5" ht="15.5" x14ac:dyDescent="0.35">
      <c r="E707" s="29">
        <f t="shared" si="35"/>
        <v>0</v>
      </c>
    </row>
    <row r="708" spans="5:5" ht="15.5" x14ac:dyDescent="0.35">
      <c r="E708" s="29">
        <f t="shared" si="35"/>
        <v>0</v>
      </c>
    </row>
    <row r="709" spans="5:5" ht="15.5" x14ac:dyDescent="0.35">
      <c r="E709" s="29">
        <f t="shared" si="35"/>
        <v>0</v>
      </c>
    </row>
    <row r="710" spans="5:5" ht="15.5" x14ac:dyDescent="0.35">
      <c r="E710" s="29">
        <f t="shared" si="35"/>
        <v>0</v>
      </c>
    </row>
    <row r="711" spans="5:5" ht="15.5" x14ac:dyDescent="0.35">
      <c r="E711" s="29">
        <f t="shared" si="35"/>
        <v>0</v>
      </c>
    </row>
    <row r="712" spans="5:5" ht="15.5" x14ac:dyDescent="0.35">
      <c r="E712" s="29">
        <f t="shared" si="35"/>
        <v>0</v>
      </c>
    </row>
    <row r="713" spans="5:5" ht="15.5" x14ac:dyDescent="0.35">
      <c r="E713" s="29">
        <f t="shared" si="35"/>
        <v>0</v>
      </c>
    </row>
    <row r="714" spans="5:5" ht="15.5" x14ac:dyDescent="0.35">
      <c r="E714" s="29">
        <f t="shared" si="35"/>
        <v>0</v>
      </c>
    </row>
    <row r="715" spans="5:5" ht="15.5" x14ac:dyDescent="0.35">
      <c r="E715" s="29">
        <f t="shared" si="35"/>
        <v>0</v>
      </c>
    </row>
    <row r="716" spans="5:5" ht="15.5" x14ac:dyDescent="0.35">
      <c r="E716" s="29">
        <f t="shared" si="35"/>
        <v>0</v>
      </c>
    </row>
    <row r="717" spans="5:5" ht="15.5" x14ac:dyDescent="0.35">
      <c r="E717" s="29">
        <f t="shared" si="35"/>
        <v>0</v>
      </c>
    </row>
    <row r="718" spans="5:5" ht="15.5" x14ac:dyDescent="0.35">
      <c r="E718" s="29">
        <f t="shared" si="35"/>
        <v>0</v>
      </c>
    </row>
    <row r="719" spans="5:5" ht="15.5" x14ac:dyDescent="0.35">
      <c r="E719" s="29">
        <f t="shared" si="35"/>
        <v>0</v>
      </c>
    </row>
    <row r="720" spans="5:5" ht="15.5" x14ac:dyDescent="0.35">
      <c r="E720" s="29">
        <f t="shared" ref="E720:E783" si="36">IF($E$9=0,0,ROUND(C720*($E$9/$E$6),2))</f>
        <v>0</v>
      </c>
    </row>
    <row r="721" spans="5:5" ht="15.5" x14ac:dyDescent="0.35">
      <c r="E721" s="29">
        <f t="shared" si="36"/>
        <v>0</v>
      </c>
    </row>
    <row r="722" spans="5:5" ht="15.5" x14ac:dyDescent="0.35">
      <c r="E722" s="29">
        <f t="shared" si="36"/>
        <v>0</v>
      </c>
    </row>
    <row r="723" spans="5:5" ht="15.5" x14ac:dyDescent="0.35">
      <c r="E723" s="29">
        <f t="shared" si="36"/>
        <v>0</v>
      </c>
    </row>
    <row r="724" spans="5:5" ht="15.5" x14ac:dyDescent="0.35">
      <c r="E724" s="29">
        <f t="shared" si="36"/>
        <v>0</v>
      </c>
    </row>
    <row r="725" spans="5:5" ht="15.5" x14ac:dyDescent="0.35">
      <c r="E725" s="29">
        <f t="shared" si="36"/>
        <v>0</v>
      </c>
    </row>
    <row r="726" spans="5:5" ht="15.5" x14ac:dyDescent="0.35">
      <c r="E726" s="29">
        <f t="shared" si="36"/>
        <v>0</v>
      </c>
    </row>
    <row r="727" spans="5:5" ht="15.5" x14ac:dyDescent="0.35">
      <c r="E727" s="29">
        <f t="shared" si="36"/>
        <v>0</v>
      </c>
    </row>
    <row r="728" spans="5:5" ht="15.5" x14ac:dyDescent="0.35">
      <c r="E728" s="29">
        <f t="shared" si="36"/>
        <v>0</v>
      </c>
    </row>
    <row r="729" spans="5:5" ht="15.5" x14ac:dyDescent="0.35">
      <c r="E729" s="29">
        <f t="shared" si="36"/>
        <v>0</v>
      </c>
    </row>
    <row r="730" spans="5:5" ht="15.5" x14ac:dyDescent="0.35">
      <c r="E730" s="29">
        <f t="shared" si="36"/>
        <v>0</v>
      </c>
    </row>
    <row r="731" spans="5:5" ht="15.5" x14ac:dyDescent="0.35">
      <c r="E731" s="29">
        <f t="shared" si="36"/>
        <v>0</v>
      </c>
    </row>
    <row r="732" spans="5:5" ht="15.5" x14ac:dyDescent="0.35">
      <c r="E732" s="29">
        <f t="shared" si="36"/>
        <v>0</v>
      </c>
    </row>
    <row r="733" spans="5:5" ht="15.5" x14ac:dyDescent="0.35">
      <c r="E733" s="29">
        <f t="shared" si="36"/>
        <v>0</v>
      </c>
    </row>
    <row r="734" spans="5:5" ht="15.5" x14ac:dyDescent="0.35">
      <c r="E734" s="29">
        <f t="shared" si="36"/>
        <v>0</v>
      </c>
    </row>
    <row r="735" spans="5:5" ht="15.5" x14ac:dyDescent="0.35">
      <c r="E735" s="29">
        <f t="shared" si="36"/>
        <v>0</v>
      </c>
    </row>
    <row r="736" spans="5:5" ht="15.5" x14ac:dyDescent="0.35">
      <c r="E736" s="29">
        <f t="shared" si="36"/>
        <v>0</v>
      </c>
    </row>
    <row r="737" spans="5:5" ht="15.5" x14ac:dyDescent="0.35">
      <c r="E737" s="29">
        <f t="shared" si="36"/>
        <v>0</v>
      </c>
    </row>
    <row r="738" spans="5:5" ht="15.5" x14ac:dyDescent="0.35">
      <c r="E738" s="29">
        <f t="shared" si="36"/>
        <v>0</v>
      </c>
    </row>
    <row r="739" spans="5:5" ht="15.5" x14ac:dyDescent="0.35">
      <c r="E739" s="29">
        <f t="shared" si="36"/>
        <v>0</v>
      </c>
    </row>
    <row r="740" spans="5:5" ht="15.5" x14ac:dyDescent="0.35">
      <c r="E740" s="29">
        <f t="shared" si="36"/>
        <v>0</v>
      </c>
    </row>
    <row r="741" spans="5:5" ht="15.5" x14ac:dyDescent="0.35">
      <c r="E741" s="29">
        <f t="shared" si="36"/>
        <v>0</v>
      </c>
    </row>
    <row r="742" spans="5:5" ht="15.5" x14ac:dyDescent="0.35">
      <c r="E742" s="29">
        <f t="shared" si="36"/>
        <v>0</v>
      </c>
    </row>
    <row r="743" spans="5:5" ht="15.5" x14ac:dyDescent="0.35">
      <c r="E743" s="29">
        <f t="shared" si="36"/>
        <v>0</v>
      </c>
    </row>
    <row r="744" spans="5:5" ht="15.5" x14ac:dyDescent="0.35">
      <c r="E744" s="29">
        <f t="shared" si="36"/>
        <v>0</v>
      </c>
    </row>
    <row r="745" spans="5:5" ht="15.5" x14ac:dyDescent="0.35">
      <c r="E745" s="29">
        <f t="shared" si="36"/>
        <v>0</v>
      </c>
    </row>
    <row r="746" spans="5:5" ht="15.5" x14ac:dyDescent="0.35">
      <c r="E746" s="29">
        <f t="shared" si="36"/>
        <v>0</v>
      </c>
    </row>
    <row r="747" spans="5:5" ht="15.5" x14ac:dyDescent="0.35">
      <c r="E747" s="29">
        <f t="shared" si="36"/>
        <v>0</v>
      </c>
    </row>
    <row r="748" spans="5:5" ht="15.5" x14ac:dyDescent="0.35">
      <c r="E748" s="29">
        <f t="shared" si="36"/>
        <v>0</v>
      </c>
    </row>
    <row r="749" spans="5:5" ht="15.5" x14ac:dyDescent="0.35">
      <c r="E749" s="29">
        <f t="shared" si="36"/>
        <v>0</v>
      </c>
    </row>
    <row r="750" spans="5:5" ht="15.5" x14ac:dyDescent="0.35">
      <c r="E750" s="29">
        <f t="shared" si="36"/>
        <v>0</v>
      </c>
    </row>
    <row r="751" spans="5:5" ht="15.5" x14ac:dyDescent="0.35">
      <c r="E751" s="29">
        <f t="shared" si="36"/>
        <v>0</v>
      </c>
    </row>
    <row r="752" spans="5:5" ht="15.5" x14ac:dyDescent="0.35">
      <c r="E752" s="29">
        <f t="shared" si="36"/>
        <v>0</v>
      </c>
    </row>
    <row r="753" spans="5:5" ht="15.5" x14ac:dyDescent="0.35">
      <c r="E753" s="29">
        <f t="shared" si="36"/>
        <v>0</v>
      </c>
    </row>
    <row r="754" spans="5:5" ht="15.5" x14ac:dyDescent="0.35">
      <c r="E754" s="29">
        <f t="shared" si="36"/>
        <v>0</v>
      </c>
    </row>
    <row r="755" spans="5:5" ht="15.5" x14ac:dyDescent="0.35">
      <c r="E755" s="29">
        <f t="shared" si="36"/>
        <v>0</v>
      </c>
    </row>
    <row r="756" spans="5:5" ht="15.5" x14ac:dyDescent="0.35">
      <c r="E756" s="29">
        <f t="shared" si="36"/>
        <v>0</v>
      </c>
    </row>
    <row r="757" spans="5:5" ht="15.5" x14ac:dyDescent="0.35">
      <c r="E757" s="29">
        <f t="shared" si="36"/>
        <v>0</v>
      </c>
    </row>
    <row r="758" spans="5:5" ht="15.5" x14ac:dyDescent="0.35">
      <c r="E758" s="29">
        <f t="shared" si="36"/>
        <v>0</v>
      </c>
    </row>
    <row r="759" spans="5:5" ht="15.5" x14ac:dyDescent="0.35">
      <c r="E759" s="29">
        <f t="shared" si="36"/>
        <v>0</v>
      </c>
    </row>
    <row r="760" spans="5:5" ht="15.5" x14ac:dyDescent="0.35">
      <c r="E760" s="29">
        <f t="shared" si="36"/>
        <v>0</v>
      </c>
    </row>
    <row r="761" spans="5:5" ht="15.5" x14ac:dyDescent="0.35">
      <c r="E761" s="29">
        <f t="shared" si="36"/>
        <v>0</v>
      </c>
    </row>
    <row r="762" spans="5:5" ht="15.5" x14ac:dyDescent="0.35">
      <c r="E762" s="29">
        <f t="shared" si="36"/>
        <v>0</v>
      </c>
    </row>
    <row r="763" spans="5:5" ht="15.5" x14ac:dyDescent="0.35">
      <c r="E763" s="29">
        <f t="shared" si="36"/>
        <v>0</v>
      </c>
    </row>
    <row r="764" spans="5:5" ht="15.5" x14ac:dyDescent="0.35">
      <c r="E764" s="29">
        <f t="shared" si="36"/>
        <v>0</v>
      </c>
    </row>
    <row r="765" spans="5:5" ht="15.5" x14ac:dyDescent="0.35">
      <c r="E765" s="29">
        <f t="shared" si="36"/>
        <v>0</v>
      </c>
    </row>
    <row r="766" spans="5:5" ht="15.5" x14ac:dyDescent="0.35">
      <c r="E766" s="29">
        <f t="shared" si="36"/>
        <v>0</v>
      </c>
    </row>
    <row r="767" spans="5:5" ht="15.5" x14ac:dyDescent="0.35">
      <c r="E767" s="29">
        <f t="shared" si="36"/>
        <v>0</v>
      </c>
    </row>
    <row r="768" spans="5:5" ht="15.5" x14ac:dyDescent="0.35">
      <c r="E768" s="29">
        <f t="shared" si="36"/>
        <v>0</v>
      </c>
    </row>
    <row r="769" spans="5:5" ht="15.5" x14ac:dyDescent="0.35">
      <c r="E769" s="29">
        <f t="shared" si="36"/>
        <v>0</v>
      </c>
    </row>
    <row r="770" spans="5:5" ht="15.5" x14ac:dyDescent="0.35">
      <c r="E770" s="29">
        <f t="shared" si="36"/>
        <v>0</v>
      </c>
    </row>
    <row r="771" spans="5:5" ht="15.5" x14ac:dyDescent="0.35">
      <c r="E771" s="29">
        <f t="shared" si="36"/>
        <v>0</v>
      </c>
    </row>
    <row r="772" spans="5:5" ht="15.5" x14ac:dyDescent="0.35">
      <c r="E772" s="29">
        <f t="shared" si="36"/>
        <v>0</v>
      </c>
    </row>
    <row r="773" spans="5:5" ht="15.5" x14ac:dyDescent="0.35">
      <c r="E773" s="29">
        <f t="shared" si="36"/>
        <v>0</v>
      </c>
    </row>
    <row r="774" spans="5:5" ht="15.5" x14ac:dyDescent="0.35">
      <c r="E774" s="29">
        <f t="shared" si="36"/>
        <v>0</v>
      </c>
    </row>
    <row r="775" spans="5:5" ht="15.5" x14ac:dyDescent="0.35">
      <c r="E775" s="29">
        <f t="shared" si="36"/>
        <v>0</v>
      </c>
    </row>
    <row r="776" spans="5:5" ht="15.5" x14ac:dyDescent="0.35">
      <c r="E776" s="29">
        <f t="shared" si="36"/>
        <v>0</v>
      </c>
    </row>
    <row r="777" spans="5:5" ht="15.5" x14ac:dyDescent="0.35">
      <c r="E777" s="29">
        <f t="shared" si="36"/>
        <v>0</v>
      </c>
    </row>
    <row r="778" spans="5:5" ht="15.5" x14ac:dyDescent="0.35">
      <c r="E778" s="29">
        <f t="shared" si="36"/>
        <v>0</v>
      </c>
    </row>
    <row r="779" spans="5:5" ht="15.5" x14ac:dyDescent="0.35">
      <c r="E779" s="29">
        <f t="shared" si="36"/>
        <v>0</v>
      </c>
    </row>
    <row r="780" spans="5:5" ht="15.5" x14ac:dyDescent="0.35">
      <c r="E780" s="29">
        <f t="shared" si="36"/>
        <v>0</v>
      </c>
    </row>
    <row r="781" spans="5:5" ht="15.5" x14ac:dyDescent="0.35">
      <c r="E781" s="29">
        <f t="shared" si="36"/>
        <v>0</v>
      </c>
    </row>
    <row r="782" spans="5:5" ht="15.5" x14ac:dyDescent="0.35">
      <c r="E782" s="29">
        <f t="shared" si="36"/>
        <v>0</v>
      </c>
    </row>
    <row r="783" spans="5:5" ht="15.5" x14ac:dyDescent="0.35">
      <c r="E783" s="29">
        <f t="shared" si="36"/>
        <v>0</v>
      </c>
    </row>
    <row r="784" spans="5:5" ht="15.5" x14ac:dyDescent="0.35">
      <c r="E784" s="29">
        <f t="shared" ref="E784:E824" si="37">IF($E$9=0,0,ROUND(C784*($E$9/$E$6),2))</f>
        <v>0</v>
      </c>
    </row>
    <row r="785" spans="5:5" ht="15.5" x14ac:dyDescent="0.35">
      <c r="E785" s="29">
        <f t="shared" si="37"/>
        <v>0</v>
      </c>
    </row>
    <row r="786" spans="5:5" ht="15.5" x14ac:dyDescent="0.35">
      <c r="E786" s="29">
        <f t="shared" si="37"/>
        <v>0</v>
      </c>
    </row>
    <row r="787" spans="5:5" ht="15.5" x14ac:dyDescent="0.35">
      <c r="E787" s="29">
        <f t="shared" si="37"/>
        <v>0</v>
      </c>
    </row>
    <row r="788" spans="5:5" ht="15.5" x14ac:dyDescent="0.35">
      <c r="E788" s="29">
        <f t="shared" si="37"/>
        <v>0</v>
      </c>
    </row>
    <row r="789" spans="5:5" ht="15.5" x14ac:dyDescent="0.35">
      <c r="E789" s="29">
        <f t="shared" si="37"/>
        <v>0</v>
      </c>
    </row>
    <row r="790" spans="5:5" ht="15.5" x14ac:dyDescent="0.35">
      <c r="E790" s="29">
        <f t="shared" si="37"/>
        <v>0</v>
      </c>
    </row>
    <row r="791" spans="5:5" ht="15.5" x14ac:dyDescent="0.35">
      <c r="E791" s="29">
        <f t="shared" si="37"/>
        <v>0</v>
      </c>
    </row>
    <row r="792" spans="5:5" ht="15.5" x14ac:dyDescent="0.35">
      <c r="E792" s="29">
        <f t="shared" si="37"/>
        <v>0</v>
      </c>
    </row>
    <row r="793" spans="5:5" ht="15.5" x14ac:dyDescent="0.35">
      <c r="E793" s="29">
        <f t="shared" si="37"/>
        <v>0</v>
      </c>
    </row>
    <row r="794" spans="5:5" ht="15.5" x14ac:dyDescent="0.35">
      <c r="E794" s="29">
        <f t="shared" si="37"/>
        <v>0</v>
      </c>
    </row>
    <row r="795" spans="5:5" ht="15.5" x14ac:dyDescent="0.35">
      <c r="E795" s="29">
        <f t="shared" si="37"/>
        <v>0</v>
      </c>
    </row>
    <row r="796" spans="5:5" ht="15.5" x14ac:dyDescent="0.35">
      <c r="E796" s="29">
        <f t="shared" si="37"/>
        <v>0</v>
      </c>
    </row>
    <row r="797" spans="5:5" ht="15.5" x14ac:dyDescent="0.35">
      <c r="E797" s="29">
        <f t="shared" si="37"/>
        <v>0</v>
      </c>
    </row>
    <row r="798" spans="5:5" ht="15.5" x14ac:dyDescent="0.35">
      <c r="E798" s="29">
        <f t="shared" si="37"/>
        <v>0</v>
      </c>
    </row>
    <row r="799" spans="5:5" ht="15.5" x14ac:dyDescent="0.35">
      <c r="E799" s="29">
        <f t="shared" si="37"/>
        <v>0</v>
      </c>
    </row>
    <row r="800" spans="5:5" ht="15.5" x14ac:dyDescent="0.35">
      <c r="E800" s="29">
        <f t="shared" si="37"/>
        <v>0</v>
      </c>
    </row>
    <row r="801" spans="5:5" ht="15.5" x14ac:dyDescent="0.35">
      <c r="E801" s="29">
        <f t="shared" si="37"/>
        <v>0</v>
      </c>
    </row>
    <row r="802" spans="5:5" ht="15.5" x14ac:dyDescent="0.35">
      <c r="E802" s="29">
        <f t="shared" si="37"/>
        <v>0</v>
      </c>
    </row>
    <row r="803" spans="5:5" ht="15.5" x14ac:dyDescent="0.35">
      <c r="E803" s="29">
        <f t="shared" si="37"/>
        <v>0</v>
      </c>
    </row>
    <row r="804" spans="5:5" ht="15.5" x14ac:dyDescent="0.35">
      <c r="E804" s="29">
        <f t="shared" si="37"/>
        <v>0</v>
      </c>
    </row>
    <row r="805" spans="5:5" ht="15.5" x14ac:dyDescent="0.35">
      <c r="E805" s="29">
        <f t="shared" si="37"/>
        <v>0</v>
      </c>
    </row>
    <row r="806" spans="5:5" ht="15.5" x14ac:dyDescent="0.35">
      <c r="E806" s="29">
        <f t="shared" si="37"/>
        <v>0</v>
      </c>
    </row>
    <row r="807" spans="5:5" ht="15.5" x14ac:dyDescent="0.35">
      <c r="E807" s="29">
        <f t="shared" si="37"/>
        <v>0</v>
      </c>
    </row>
    <row r="808" spans="5:5" ht="15.5" x14ac:dyDescent="0.35">
      <c r="E808" s="29">
        <f t="shared" si="37"/>
        <v>0</v>
      </c>
    </row>
    <row r="809" spans="5:5" ht="15.5" x14ac:dyDescent="0.35">
      <c r="E809" s="29">
        <f t="shared" si="37"/>
        <v>0</v>
      </c>
    </row>
    <row r="810" spans="5:5" ht="15.5" x14ac:dyDescent="0.35">
      <c r="E810" s="29">
        <f t="shared" si="37"/>
        <v>0</v>
      </c>
    </row>
    <row r="811" spans="5:5" ht="15.5" x14ac:dyDescent="0.35">
      <c r="E811" s="29">
        <f t="shared" si="37"/>
        <v>0</v>
      </c>
    </row>
    <row r="812" spans="5:5" ht="15.5" x14ac:dyDescent="0.35">
      <c r="E812" s="29">
        <f t="shared" si="37"/>
        <v>0</v>
      </c>
    </row>
    <row r="813" spans="5:5" ht="15.5" x14ac:dyDescent="0.35">
      <c r="E813" s="29">
        <f t="shared" si="37"/>
        <v>0</v>
      </c>
    </row>
    <row r="814" spans="5:5" ht="15.5" x14ac:dyDescent="0.35">
      <c r="E814" s="29">
        <f t="shared" si="37"/>
        <v>0</v>
      </c>
    </row>
    <row r="815" spans="5:5" ht="15.5" x14ac:dyDescent="0.35">
      <c r="E815" s="29">
        <f t="shared" si="37"/>
        <v>0</v>
      </c>
    </row>
    <row r="816" spans="5:5" ht="15.5" x14ac:dyDescent="0.35">
      <c r="E816" s="29">
        <f t="shared" si="37"/>
        <v>0</v>
      </c>
    </row>
    <row r="817" spans="5:5" ht="15.5" x14ac:dyDescent="0.35">
      <c r="E817" s="29">
        <f t="shared" si="37"/>
        <v>0</v>
      </c>
    </row>
    <row r="818" spans="5:5" ht="15.5" x14ac:dyDescent="0.35">
      <c r="E818" s="29">
        <f t="shared" si="37"/>
        <v>0</v>
      </c>
    </row>
    <row r="819" spans="5:5" ht="15.5" x14ac:dyDescent="0.35">
      <c r="E819" s="29">
        <f t="shared" si="37"/>
        <v>0</v>
      </c>
    </row>
    <row r="820" spans="5:5" ht="15.5" x14ac:dyDescent="0.35">
      <c r="E820" s="29">
        <f t="shared" si="37"/>
        <v>0</v>
      </c>
    </row>
    <row r="821" spans="5:5" ht="15.5" x14ac:dyDescent="0.35">
      <c r="E821" s="29">
        <f t="shared" si="37"/>
        <v>0</v>
      </c>
    </row>
    <row r="822" spans="5:5" ht="15.5" x14ac:dyDescent="0.35">
      <c r="E822" s="29">
        <f t="shared" si="37"/>
        <v>0</v>
      </c>
    </row>
    <row r="823" spans="5:5" ht="15.5" x14ac:dyDescent="0.35">
      <c r="E823" s="29">
        <f t="shared" si="37"/>
        <v>0</v>
      </c>
    </row>
    <row r="824" spans="5:5" ht="15.5" x14ac:dyDescent="0.35">
      <c r="E824" s="29">
        <f t="shared" si="37"/>
        <v>0</v>
      </c>
    </row>
  </sheetData>
  <sheetProtection sheet="1" objects="1" scenarios="1" selectLockedCells="1"/>
  <phoneticPr fontId="0" type="noConversion"/>
  <pageMargins left="0.75" right="0.75" top="1" bottom="1" header="0.5" footer="0.5"/>
  <pageSetup scale="89" orientation="portrait" r:id="rId1"/>
  <headerFooter alignWithMargins="0">
    <oddFooter>&amp;LFinancial Calculator&amp;CCopyright 2003 by CCIM Institute.&amp;RAll rights reserved.</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indexed="12"/>
  </sheetPr>
  <dimension ref="A1:M379"/>
  <sheetViews>
    <sheetView showRowColHeaders="0" showZeros="0" workbookViewId="0">
      <pane ySplit="14" topLeftCell="A15" activePane="bottomLeft" state="frozen"/>
      <selection pane="bottomLeft"/>
    </sheetView>
  </sheetViews>
  <sheetFormatPr defaultRowHeight="12.5" x14ac:dyDescent="0.25"/>
  <cols>
    <col min="1" max="2" width="9.54296875" customWidth="1"/>
    <col min="3" max="3" width="20.453125" customWidth="1"/>
    <col min="4" max="4" width="10.453125" customWidth="1"/>
    <col min="5" max="5" width="20.7265625" customWidth="1"/>
    <col min="6" max="6" width="11.54296875" customWidth="1"/>
    <col min="7" max="7" width="21.54296875" customWidth="1"/>
    <col min="8" max="8" width="10.54296875" customWidth="1"/>
    <col min="9" max="9" width="23.54296875" customWidth="1"/>
    <col min="11" max="11" width="8.26953125" customWidth="1"/>
  </cols>
  <sheetData>
    <row r="1" spans="1:13" x14ac:dyDescent="0.25">
      <c r="A1" s="9"/>
      <c r="B1" s="9"/>
      <c r="C1" s="9"/>
      <c r="D1" s="9"/>
      <c r="E1" s="9"/>
      <c r="F1" s="9"/>
      <c r="G1" s="9"/>
      <c r="H1" s="9"/>
      <c r="I1" s="9"/>
      <c r="J1" s="9"/>
      <c r="K1" s="9"/>
      <c r="L1" s="9"/>
      <c r="M1" s="9"/>
    </row>
    <row r="2" spans="1:13" x14ac:dyDescent="0.25">
      <c r="A2" s="9"/>
      <c r="B2" s="9"/>
      <c r="C2" s="9"/>
      <c r="D2" s="9"/>
      <c r="E2" s="9"/>
      <c r="F2" s="9"/>
      <c r="G2" s="9"/>
      <c r="H2" s="9"/>
      <c r="I2" s="9"/>
      <c r="J2" s="9"/>
      <c r="K2" s="9"/>
      <c r="L2" s="9"/>
      <c r="M2" s="9"/>
    </row>
    <row r="3" spans="1:13" x14ac:dyDescent="0.25">
      <c r="A3" s="9"/>
      <c r="B3" s="9"/>
      <c r="C3" s="9"/>
      <c r="D3" s="9"/>
      <c r="E3" s="9"/>
      <c r="F3" s="9"/>
      <c r="G3" s="9"/>
      <c r="H3" s="9"/>
      <c r="I3" s="9"/>
      <c r="J3" s="9"/>
      <c r="K3" s="9"/>
      <c r="L3" s="9"/>
      <c r="M3" s="9"/>
    </row>
    <row r="4" spans="1:13" x14ac:dyDescent="0.25">
      <c r="A4" s="32"/>
      <c r="B4" s="32"/>
      <c r="C4" s="32"/>
      <c r="D4" s="32"/>
      <c r="E4" s="32"/>
      <c r="F4" s="9"/>
      <c r="G4" s="9"/>
      <c r="H4" s="9"/>
      <c r="I4" s="9"/>
      <c r="J4" s="9"/>
      <c r="K4" s="9"/>
      <c r="L4" s="9"/>
      <c r="M4" s="9"/>
    </row>
    <row r="5" spans="1:13" ht="13" thickBot="1" x14ac:dyDescent="0.3">
      <c r="A5" s="33"/>
      <c r="B5" s="33"/>
      <c r="C5" s="33"/>
      <c r="D5" s="33"/>
      <c r="E5" s="33"/>
      <c r="F5" s="9"/>
      <c r="G5" s="9"/>
      <c r="H5" s="9"/>
      <c r="I5" s="9"/>
      <c r="J5" s="9"/>
      <c r="K5" s="9"/>
      <c r="L5" s="9"/>
      <c r="M5" s="9"/>
    </row>
    <row r="6" spans="1:13" ht="19" thickTop="1" thickBot="1" x14ac:dyDescent="0.45">
      <c r="A6" s="34" t="s">
        <v>9</v>
      </c>
      <c r="B6" s="35"/>
      <c r="C6" s="35"/>
      <c r="D6" s="36"/>
      <c r="E6" s="37">
        <f>'(6)Amortization Schedule'!E6</f>
        <v>0</v>
      </c>
      <c r="F6" s="9"/>
      <c r="G6" s="38"/>
      <c r="H6" s="39"/>
      <c r="I6" s="40">
        <f>E10*E6</f>
        <v>0</v>
      </c>
      <c r="J6" s="9"/>
      <c r="K6" s="9"/>
      <c r="L6" s="9"/>
      <c r="M6" s="9"/>
    </row>
    <row r="7" spans="1:13" ht="19" thickTop="1" thickBot="1" x14ac:dyDescent="0.45">
      <c r="A7" s="34" t="s">
        <v>10</v>
      </c>
      <c r="B7" s="35"/>
      <c r="C7" s="35"/>
      <c r="D7" s="36"/>
      <c r="E7" s="37">
        <f>'(6)Amortization Schedule'!E7</f>
        <v>0</v>
      </c>
      <c r="F7" s="9"/>
      <c r="G7" s="9"/>
      <c r="H7" s="9"/>
      <c r="I7" s="9"/>
      <c r="J7" s="9"/>
      <c r="K7" s="9"/>
      <c r="L7" s="9"/>
      <c r="M7" s="9"/>
    </row>
    <row r="8" spans="1:13" ht="19" thickTop="1" thickBot="1" x14ac:dyDescent="0.45">
      <c r="A8" s="34" t="s">
        <v>11</v>
      </c>
      <c r="B8" s="35"/>
      <c r="C8" s="35"/>
      <c r="D8" s="36"/>
      <c r="E8" s="40">
        <f>IF('(6)Amortization Schedule'!E8&lt;0,'(6)Amortization Schedule'!E8*-1,'(6)Amortization Schedule'!E8)</f>
        <v>0</v>
      </c>
      <c r="F8" s="9"/>
      <c r="G8" s="9"/>
      <c r="H8" s="9"/>
      <c r="I8" s="9"/>
      <c r="J8" s="9"/>
      <c r="K8" s="9"/>
      <c r="L8" s="9"/>
      <c r="M8" s="9"/>
    </row>
    <row r="9" spans="1:13" ht="19" thickTop="1" thickBot="1" x14ac:dyDescent="0.45">
      <c r="A9" s="34" t="s">
        <v>12</v>
      </c>
      <c r="B9" s="35"/>
      <c r="C9" s="35"/>
      <c r="D9" s="36"/>
      <c r="E9" s="41">
        <f>'(6)Amortization Schedule'!E9</f>
        <v>0</v>
      </c>
      <c r="F9" s="19"/>
      <c r="G9" s="9"/>
      <c r="H9" s="9"/>
      <c r="I9" s="9"/>
      <c r="J9" s="9"/>
      <c r="K9" s="9"/>
      <c r="L9" s="9"/>
      <c r="M9" s="9"/>
    </row>
    <row r="10" spans="1:13" ht="19" thickTop="1" thickBot="1" x14ac:dyDescent="0.45">
      <c r="A10" s="34" t="s">
        <v>13</v>
      </c>
      <c r="B10" s="35"/>
      <c r="C10" s="35"/>
      <c r="D10" s="36"/>
      <c r="E10" s="42">
        <f>'(6)Amortization Schedule'!E10</f>
        <v>0</v>
      </c>
      <c r="F10" s="43"/>
      <c r="G10" s="9"/>
      <c r="H10" s="9"/>
      <c r="I10" s="9">
        <v>0</v>
      </c>
      <c r="J10" s="9"/>
      <c r="K10" s="9"/>
      <c r="L10" s="9"/>
      <c r="M10" s="9"/>
    </row>
    <row r="11" spans="1:13" ht="13" thickTop="1" x14ac:dyDescent="0.25">
      <c r="A11" s="9"/>
      <c r="B11" s="9"/>
      <c r="C11" s="9"/>
      <c r="D11" s="9"/>
      <c r="E11" s="9"/>
      <c r="F11" s="9"/>
      <c r="G11" s="9"/>
      <c r="H11" s="9"/>
      <c r="I11" s="9">
        <v>0</v>
      </c>
      <c r="J11" s="9"/>
      <c r="K11" s="9"/>
      <c r="L11" s="9"/>
      <c r="M11" s="9"/>
    </row>
    <row r="12" spans="1:13" x14ac:dyDescent="0.25">
      <c r="A12" s="9"/>
      <c r="B12" s="9"/>
      <c r="C12" s="9"/>
      <c r="D12" s="9"/>
      <c r="E12" s="9"/>
      <c r="F12" s="9"/>
      <c r="G12" s="9"/>
      <c r="H12" s="9"/>
      <c r="I12" s="9">
        <v>0</v>
      </c>
      <c r="J12" s="9"/>
      <c r="K12" s="9"/>
      <c r="L12" s="9"/>
      <c r="M12" s="9"/>
    </row>
    <row r="13" spans="1:13" x14ac:dyDescent="0.25">
      <c r="A13" s="9"/>
      <c r="B13" s="9"/>
      <c r="C13" s="9"/>
      <c r="D13" s="9"/>
      <c r="E13" s="9"/>
      <c r="F13" s="9"/>
      <c r="G13" s="9"/>
      <c r="H13" s="9"/>
      <c r="I13" s="44">
        <v>0</v>
      </c>
      <c r="J13" s="9"/>
      <c r="K13" s="9"/>
      <c r="L13" s="9"/>
      <c r="M13" s="9"/>
    </row>
    <row r="14" spans="1:13" x14ac:dyDescent="0.25">
      <c r="A14" s="9"/>
      <c r="B14" s="9"/>
      <c r="C14" s="9"/>
      <c r="D14" s="9"/>
      <c r="E14" s="9"/>
      <c r="F14" s="9"/>
      <c r="G14" s="9"/>
      <c r="H14" s="9"/>
      <c r="I14" s="9"/>
      <c r="J14" s="9"/>
      <c r="K14" s="9"/>
      <c r="L14" s="9"/>
      <c r="M14" s="9"/>
    </row>
    <row r="15" spans="1:13" ht="15.5" x14ac:dyDescent="0.35">
      <c r="A15" s="45">
        <f>IF(I15&lt;10,0,1)</f>
        <v>0</v>
      </c>
      <c r="C15" s="46">
        <f>E8</f>
        <v>0</v>
      </c>
      <c r="E15" s="47">
        <f>IF($E$6=12,SUM('(6)Amortization Schedule'!E15:E26),IF($E$6=2,SUM('(6)Amortization Schedule'!E15:E16),IF($E$6=4,SUM('(6)Amortization Schedule'!E15:E18),IF($E$6=1,'(6)Amortization Schedule'!E15,0))))</f>
        <v>0</v>
      </c>
      <c r="G15" s="47">
        <f>IF(C15&lt;10,0,($E$10*$E$6)-E15)</f>
        <v>0</v>
      </c>
      <c r="I15" s="47">
        <f>ROUND(IF(C15-G15&lt;10,0,C15-G15),2)</f>
        <v>0</v>
      </c>
    </row>
    <row r="16" spans="1:13" ht="15.5" x14ac:dyDescent="0.35">
      <c r="A16" s="45">
        <f>IF(I15&lt;10,0,(A15+1))</f>
        <v>0</v>
      </c>
      <c r="C16" s="47">
        <f t="shared" ref="C16:C44" si="0">I15</f>
        <v>0</v>
      </c>
      <c r="E16" s="47">
        <f>IF($E$6=12,SUM('(6)Amortization Schedule'!E27:E38),IF($E$6=2,SUM('(6)Amortization Schedule'!E17:E18),IF($E$6=4,SUM('(6)Amortization Schedule'!E19:E22),IF($E$6=1,'(6)Amortization Schedule'!E16,0))))</f>
        <v>0</v>
      </c>
      <c r="G16" s="47">
        <f t="shared" ref="G16:G44" si="1">IF(C16&lt;10,0,($E$10*$E$6)-E16)</f>
        <v>0</v>
      </c>
      <c r="I16" s="47">
        <f t="shared" ref="I16:I44" si="2">ROUND(IF(C16-G16&lt;10,0,C16-G16),2)</f>
        <v>0</v>
      </c>
    </row>
    <row r="17" spans="1:9" ht="15.5" x14ac:dyDescent="0.35">
      <c r="A17" s="45">
        <f>IF(I16&lt;10,0,(A16+1))</f>
        <v>0</v>
      </c>
      <c r="C17" s="47">
        <f t="shared" si="0"/>
        <v>0</v>
      </c>
      <c r="E17" s="47">
        <f>IF($E$6=12,SUM('(6)Amortization Schedule'!E39:E50),IF($E$6=2,SUM('(6)Amortization Schedule'!E19:E20),IF($E$6=4,SUM('(6)Amortization Schedule'!E23:E26),IF($E$6=1,'(6)Amortization Schedule'!E17,0))))</f>
        <v>0</v>
      </c>
      <c r="G17" s="47">
        <f t="shared" si="1"/>
        <v>0</v>
      </c>
      <c r="I17" s="47">
        <f t="shared" si="2"/>
        <v>0</v>
      </c>
    </row>
    <row r="18" spans="1:9" ht="15.5" x14ac:dyDescent="0.35">
      <c r="A18" s="45">
        <f t="shared" ref="A18:A44" si="3">IF(I17&lt;10,0,(A17+1))</f>
        <v>0</v>
      </c>
      <c r="C18" s="47">
        <f t="shared" si="0"/>
        <v>0</v>
      </c>
      <c r="E18" s="47">
        <f>IF($E$6=12,SUM('(6)Amortization Schedule'!E51:E62),IF($E$6=2,SUM('(6)Amortization Schedule'!E21:E22),IF($E$6=4,SUM('(6)Amortization Schedule'!E27:E30),IF($E$6=1,'(6)Amortization Schedule'!E18,0))))</f>
        <v>0</v>
      </c>
      <c r="G18" s="47">
        <f t="shared" si="1"/>
        <v>0</v>
      </c>
      <c r="I18" s="47">
        <f t="shared" si="2"/>
        <v>0</v>
      </c>
    </row>
    <row r="19" spans="1:9" ht="15.5" x14ac:dyDescent="0.35">
      <c r="A19" s="45">
        <f t="shared" si="3"/>
        <v>0</v>
      </c>
      <c r="C19" s="47">
        <f t="shared" si="0"/>
        <v>0</v>
      </c>
      <c r="E19" s="47">
        <f>IF($E$6=12,SUM('(6)Amortization Schedule'!E63:E74),IF($E$6=2,SUM('(6)Amortization Schedule'!E23:E24),IF($E$6=4,SUM('(6)Amortization Schedule'!E31:E34),IF($E$6=1,'(6)Amortization Schedule'!E19,0))))</f>
        <v>0</v>
      </c>
      <c r="G19" s="47">
        <f t="shared" si="1"/>
        <v>0</v>
      </c>
      <c r="I19" s="47">
        <f t="shared" si="2"/>
        <v>0</v>
      </c>
    </row>
    <row r="20" spans="1:9" ht="15.5" x14ac:dyDescent="0.35">
      <c r="A20" s="45">
        <f t="shared" si="3"/>
        <v>0</v>
      </c>
      <c r="C20" s="47">
        <f t="shared" si="0"/>
        <v>0</v>
      </c>
      <c r="E20" s="47">
        <f>IF($E$6=12,SUM('(6)Amortization Schedule'!E75:E86),IF($E$6=2,SUM('(6)Amortization Schedule'!E25:E26),IF($E$6=4,SUM('(6)Amortization Schedule'!E35:E38),IF($E$6=1,'(6)Amortization Schedule'!E20,0))))</f>
        <v>0</v>
      </c>
      <c r="G20" s="47">
        <f t="shared" si="1"/>
        <v>0</v>
      </c>
      <c r="I20" s="47">
        <f t="shared" si="2"/>
        <v>0</v>
      </c>
    </row>
    <row r="21" spans="1:9" ht="15.5" x14ac:dyDescent="0.35">
      <c r="A21" s="45">
        <f t="shared" si="3"/>
        <v>0</v>
      </c>
      <c r="C21" s="47">
        <f t="shared" si="0"/>
        <v>0</v>
      </c>
      <c r="E21" s="47">
        <f>IF($E$6=12,SUM('(6)Amortization Schedule'!E87:E98),IF($E$6=2,SUM('(6)Amortization Schedule'!E27:E28),IF($E$6=4,SUM('(6)Amortization Schedule'!E39:E42),IF($E$6=1,'(6)Amortization Schedule'!E21,0))))</f>
        <v>0</v>
      </c>
      <c r="G21" s="47">
        <f t="shared" si="1"/>
        <v>0</v>
      </c>
      <c r="I21" s="47">
        <f t="shared" si="2"/>
        <v>0</v>
      </c>
    </row>
    <row r="22" spans="1:9" ht="15.5" x14ac:dyDescent="0.35">
      <c r="A22" s="45">
        <f t="shared" si="3"/>
        <v>0</v>
      </c>
      <c r="C22" s="47">
        <f t="shared" si="0"/>
        <v>0</v>
      </c>
      <c r="E22" s="47">
        <f>IF($E$6=12,SUM('(6)Amortization Schedule'!E99:E110),IF($E$6=2,SUM('(6)Amortization Schedule'!E29:E30),IF($E$6=4,SUM('(6)Amortization Schedule'!E43:E46),IF($E$6=1,'(6)Amortization Schedule'!E22,0))))</f>
        <v>0</v>
      </c>
      <c r="G22" s="47">
        <f t="shared" si="1"/>
        <v>0</v>
      </c>
      <c r="I22" s="47">
        <f t="shared" si="2"/>
        <v>0</v>
      </c>
    </row>
    <row r="23" spans="1:9" ht="15.5" x14ac:dyDescent="0.35">
      <c r="A23" s="45">
        <f t="shared" si="3"/>
        <v>0</v>
      </c>
      <c r="C23" s="47">
        <f t="shared" si="0"/>
        <v>0</v>
      </c>
      <c r="E23" s="47">
        <f>IF($E$6=12,SUM('(6)Amortization Schedule'!E111:E122),IF($E$6=2,SUM('(6)Amortization Schedule'!E31:E32),IF($E$6=4,SUM('(6)Amortization Schedule'!E47:E50),IF($E$6=1,'(6)Amortization Schedule'!E23,0))))</f>
        <v>0</v>
      </c>
      <c r="G23" s="47">
        <f t="shared" si="1"/>
        <v>0</v>
      </c>
      <c r="I23" s="47">
        <f t="shared" si="2"/>
        <v>0</v>
      </c>
    </row>
    <row r="24" spans="1:9" ht="15.5" x14ac:dyDescent="0.35">
      <c r="A24" s="45">
        <f t="shared" si="3"/>
        <v>0</v>
      </c>
      <c r="C24" s="47">
        <f t="shared" si="0"/>
        <v>0</v>
      </c>
      <c r="E24" s="47">
        <f>IF($E$6=12,SUM('(6)Amortization Schedule'!E123:E134),IF($E$6=2,SUM('(6)Amortization Schedule'!E33:E34),IF($E$6=4,SUM('(6)Amortization Schedule'!E51:E54),IF($E$6=1,'(6)Amortization Schedule'!E24,0))))</f>
        <v>0</v>
      </c>
      <c r="G24" s="47">
        <f t="shared" si="1"/>
        <v>0</v>
      </c>
      <c r="I24" s="47">
        <f t="shared" si="2"/>
        <v>0</v>
      </c>
    </row>
    <row r="25" spans="1:9" ht="15.5" x14ac:dyDescent="0.35">
      <c r="A25" s="45">
        <f t="shared" si="3"/>
        <v>0</v>
      </c>
      <c r="C25" s="47">
        <f t="shared" si="0"/>
        <v>0</v>
      </c>
      <c r="E25" s="47">
        <f>IF($E$6=12,SUM('(6)Amortization Schedule'!E135:E146),IF($E$6=2,SUM('(6)Amortization Schedule'!E35:E36),IF($E$6=4,SUM('(6)Amortization Schedule'!E55:E58),IF($E$6=1,'(6)Amortization Schedule'!E25,0))))</f>
        <v>0</v>
      </c>
      <c r="G25" s="47">
        <f t="shared" si="1"/>
        <v>0</v>
      </c>
      <c r="I25" s="47">
        <f t="shared" si="2"/>
        <v>0</v>
      </c>
    </row>
    <row r="26" spans="1:9" ht="15.5" x14ac:dyDescent="0.35">
      <c r="A26" s="45">
        <f t="shared" si="3"/>
        <v>0</v>
      </c>
      <c r="C26" s="47">
        <f t="shared" si="0"/>
        <v>0</v>
      </c>
      <c r="E26" s="47">
        <f>IF($E$6=12,SUM('(6)Amortization Schedule'!E147:E158),IF($E$6=2,SUM('(6)Amortization Schedule'!E37:E38),IF($E$6=4,SUM('(6)Amortization Schedule'!E59:E62),IF($E$6=1,'(6)Amortization Schedule'!E26,0))))</f>
        <v>0</v>
      </c>
      <c r="G26" s="47">
        <f t="shared" si="1"/>
        <v>0</v>
      </c>
      <c r="I26" s="47">
        <f t="shared" si="2"/>
        <v>0</v>
      </c>
    </row>
    <row r="27" spans="1:9" ht="15.5" x14ac:dyDescent="0.35">
      <c r="A27" s="45">
        <f t="shared" si="3"/>
        <v>0</v>
      </c>
      <c r="C27" s="47">
        <f t="shared" si="0"/>
        <v>0</v>
      </c>
      <c r="E27" s="47">
        <f>IF($E$6=12,SUM('(6)Amortization Schedule'!E159:E170),IF($E$6=2,SUM('(6)Amortization Schedule'!E39:E40),IF($E$6=4,SUM('(6)Amortization Schedule'!E63:E66),IF($E$6=1,'(6)Amortization Schedule'!E27,0))))</f>
        <v>0</v>
      </c>
      <c r="G27" s="47">
        <f t="shared" si="1"/>
        <v>0</v>
      </c>
      <c r="I27" s="47">
        <f t="shared" si="2"/>
        <v>0</v>
      </c>
    </row>
    <row r="28" spans="1:9" ht="15.5" x14ac:dyDescent="0.35">
      <c r="A28" s="45">
        <f t="shared" si="3"/>
        <v>0</v>
      </c>
      <c r="C28" s="47">
        <f t="shared" si="0"/>
        <v>0</v>
      </c>
      <c r="E28" s="47">
        <f>IF($E$6=12,SUM('(6)Amortization Schedule'!E171:E182),IF($E$6=2,SUM('(6)Amortization Schedule'!E41:E42),IF($E$6=4,SUM('(6)Amortization Schedule'!E67:E70),IF($E$6=1,'(6)Amortization Schedule'!E28,0))))</f>
        <v>0</v>
      </c>
      <c r="G28" s="47">
        <f t="shared" si="1"/>
        <v>0</v>
      </c>
      <c r="I28" s="47">
        <f t="shared" si="2"/>
        <v>0</v>
      </c>
    </row>
    <row r="29" spans="1:9" ht="15.5" x14ac:dyDescent="0.35">
      <c r="A29" s="45">
        <f t="shared" si="3"/>
        <v>0</v>
      </c>
      <c r="C29" s="47">
        <f t="shared" si="0"/>
        <v>0</v>
      </c>
      <c r="E29" s="47">
        <f>IF($E$6=12,SUM('(6)Amortization Schedule'!E183:E194),IF($E$6=2,SUM('(6)Amortization Schedule'!E43:E44),IF($E$6=4,SUM('(6)Amortization Schedule'!E71:E74),IF($E$6=1,'(6)Amortization Schedule'!E29,0))))</f>
        <v>0</v>
      </c>
      <c r="G29" s="47">
        <f t="shared" si="1"/>
        <v>0</v>
      </c>
      <c r="I29" s="47">
        <f t="shared" si="2"/>
        <v>0</v>
      </c>
    </row>
    <row r="30" spans="1:9" ht="15.5" x14ac:dyDescent="0.35">
      <c r="A30" s="45">
        <f t="shared" si="3"/>
        <v>0</v>
      </c>
      <c r="C30" s="47">
        <f t="shared" si="0"/>
        <v>0</v>
      </c>
      <c r="E30" s="47">
        <f>IF($E$6=12,SUM('(6)Amortization Schedule'!E195:E206),IF($E$6=2,SUM('(6)Amortization Schedule'!E45:E46),IF($E$6=4,SUM('(6)Amortization Schedule'!E75:E78),IF($E$6=1,'(6)Amortization Schedule'!E30,0))))</f>
        <v>0</v>
      </c>
      <c r="G30" s="47">
        <f t="shared" si="1"/>
        <v>0</v>
      </c>
      <c r="I30" s="47">
        <f t="shared" si="2"/>
        <v>0</v>
      </c>
    </row>
    <row r="31" spans="1:9" ht="15.5" x14ac:dyDescent="0.35">
      <c r="A31" s="45">
        <f t="shared" si="3"/>
        <v>0</v>
      </c>
      <c r="C31" s="47">
        <f t="shared" si="0"/>
        <v>0</v>
      </c>
      <c r="E31" s="47">
        <f>IF($E$6=12,SUM('(6)Amortization Schedule'!E207:E218),IF($E$6=2,SUM('(6)Amortization Schedule'!E47:E48),IF($E$6=4,SUM('(6)Amortization Schedule'!E79:E82),IF($E$6=1,'(6)Amortization Schedule'!E31,0))))</f>
        <v>0</v>
      </c>
      <c r="G31" s="47">
        <f t="shared" si="1"/>
        <v>0</v>
      </c>
      <c r="I31" s="47">
        <f t="shared" si="2"/>
        <v>0</v>
      </c>
    </row>
    <row r="32" spans="1:9" ht="15.5" x14ac:dyDescent="0.35">
      <c r="A32" s="45">
        <f t="shared" si="3"/>
        <v>0</v>
      </c>
      <c r="C32" s="47">
        <f t="shared" si="0"/>
        <v>0</v>
      </c>
      <c r="E32" s="47">
        <f>IF($E$6=12,SUM('(6)Amortization Schedule'!E219:E230),IF($E$6=2,SUM('(6)Amortization Schedule'!E49:E50),IF($E$6=4,SUM('(6)Amortization Schedule'!E83:E86),IF($E$6=1,'(6)Amortization Schedule'!E32,0))))</f>
        <v>0</v>
      </c>
      <c r="G32" s="47">
        <f t="shared" si="1"/>
        <v>0</v>
      </c>
      <c r="I32" s="47">
        <f t="shared" si="2"/>
        <v>0</v>
      </c>
    </row>
    <row r="33" spans="1:9" ht="15.5" x14ac:dyDescent="0.35">
      <c r="A33" s="45">
        <f t="shared" si="3"/>
        <v>0</v>
      </c>
      <c r="C33" s="47">
        <f t="shared" si="0"/>
        <v>0</v>
      </c>
      <c r="E33" s="47">
        <f>IF($E$6=12,SUM('(6)Amortization Schedule'!E231:E242),IF($E$6=2,SUM('(6)Amortization Schedule'!E51:E52),IF($E$6=4,SUM('(6)Amortization Schedule'!E87:E90),IF($E$6=1,'(6)Amortization Schedule'!E33,0))))</f>
        <v>0</v>
      </c>
      <c r="G33" s="47">
        <f t="shared" si="1"/>
        <v>0</v>
      </c>
      <c r="I33" s="47">
        <f t="shared" si="2"/>
        <v>0</v>
      </c>
    </row>
    <row r="34" spans="1:9" ht="15.5" x14ac:dyDescent="0.35">
      <c r="A34" s="45">
        <f t="shared" si="3"/>
        <v>0</v>
      </c>
      <c r="C34" s="47">
        <f t="shared" si="0"/>
        <v>0</v>
      </c>
      <c r="E34" s="47">
        <f>IF($E$6=12,SUM('(6)Amortization Schedule'!E243:E254),IF($E$6=2,SUM('(6)Amortization Schedule'!E53:E54),IF($E$6=4,SUM('(6)Amortization Schedule'!E91:E94),IF($E$6=1,'(6)Amortization Schedule'!E34,0))))</f>
        <v>0</v>
      </c>
      <c r="G34" s="47">
        <f t="shared" si="1"/>
        <v>0</v>
      </c>
      <c r="I34" s="47">
        <f t="shared" si="2"/>
        <v>0</v>
      </c>
    </row>
    <row r="35" spans="1:9" ht="15.5" x14ac:dyDescent="0.35">
      <c r="A35" s="45">
        <f t="shared" si="3"/>
        <v>0</v>
      </c>
      <c r="C35" s="47">
        <f t="shared" si="0"/>
        <v>0</v>
      </c>
      <c r="E35" s="47">
        <f>IF($E$6=12,SUM('(6)Amortization Schedule'!E255:E266),IF($E$6=2,SUM('(6)Amortization Schedule'!E55:E56),IF($E$6=4,SUM('(6)Amortization Schedule'!E95:E98),IF($E$6=1,'(6)Amortization Schedule'!E35,0))))</f>
        <v>0</v>
      </c>
      <c r="G35" s="47">
        <f t="shared" si="1"/>
        <v>0</v>
      </c>
      <c r="I35" s="47">
        <f t="shared" si="2"/>
        <v>0</v>
      </c>
    </row>
    <row r="36" spans="1:9" ht="15.5" x14ac:dyDescent="0.35">
      <c r="A36" s="45">
        <f t="shared" si="3"/>
        <v>0</v>
      </c>
      <c r="C36" s="47">
        <f t="shared" si="0"/>
        <v>0</v>
      </c>
      <c r="E36" s="47">
        <f>IF($E$6=12,SUM('(6)Amortization Schedule'!E267:E278),IF($E$6=2,SUM('(6)Amortization Schedule'!E57:E58),IF($E$6=4,SUM('(6)Amortization Schedule'!E99:E102),IF($E$6=1,'(6)Amortization Schedule'!E36,0))))</f>
        <v>0</v>
      </c>
      <c r="G36" s="47">
        <f t="shared" si="1"/>
        <v>0</v>
      </c>
      <c r="I36" s="47">
        <f t="shared" si="2"/>
        <v>0</v>
      </c>
    </row>
    <row r="37" spans="1:9" ht="15.5" x14ac:dyDescent="0.35">
      <c r="A37" s="45">
        <f t="shared" si="3"/>
        <v>0</v>
      </c>
      <c r="C37" s="47">
        <f t="shared" si="0"/>
        <v>0</v>
      </c>
      <c r="E37" s="47">
        <f>IF($E$6=12,SUM('(6)Amortization Schedule'!E279:E290),IF($E$6=2,SUM('(6)Amortization Schedule'!E59:E60),IF($E$6=4,SUM('(6)Amortization Schedule'!E103:E106),IF($E$6=1,'(6)Amortization Schedule'!E37,0))))</f>
        <v>0</v>
      </c>
      <c r="G37" s="47">
        <f t="shared" si="1"/>
        <v>0</v>
      </c>
      <c r="I37" s="47">
        <f t="shared" si="2"/>
        <v>0</v>
      </c>
    </row>
    <row r="38" spans="1:9" ht="15.5" x14ac:dyDescent="0.35">
      <c r="A38" s="45">
        <f t="shared" si="3"/>
        <v>0</v>
      </c>
      <c r="C38" s="47">
        <f t="shared" si="0"/>
        <v>0</v>
      </c>
      <c r="E38" s="47">
        <f>IF($E$6=12,SUM('(6)Amortization Schedule'!E291:E302),IF($E$6=2,SUM('(6)Amortization Schedule'!E61:E62),IF($E$6=4,SUM('(6)Amortization Schedule'!E107:E110),IF($E$6=1,'(6)Amortization Schedule'!E38,0))))</f>
        <v>0</v>
      </c>
      <c r="G38" s="47">
        <f t="shared" si="1"/>
        <v>0</v>
      </c>
      <c r="I38" s="47">
        <f t="shared" si="2"/>
        <v>0</v>
      </c>
    </row>
    <row r="39" spans="1:9" ht="15.5" x14ac:dyDescent="0.35">
      <c r="A39" s="45">
        <f t="shared" si="3"/>
        <v>0</v>
      </c>
      <c r="C39" s="47">
        <f t="shared" si="0"/>
        <v>0</v>
      </c>
      <c r="E39" s="47">
        <f>IF($E$6=12,SUM('(6)Amortization Schedule'!E303:E314),IF($E$6=2,SUM('(6)Amortization Schedule'!E63:E64),IF($E$6=4,SUM('(6)Amortization Schedule'!E111:E114),IF($E$6=1,'(6)Amortization Schedule'!E39,0))))</f>
        <v>0</v>
      </c>
      <c r="G39" s="47">
        <f t="shared" si="1"/>
        <v>0</v>
      </c>
      <c r="I39" s="47">
        <f t="shared" si="2"/>
        <v>0</v>
      </c>
    </row>
    <row r="40" spans="1:9" ht="15.5" x14ac:dyDescent="0.35">
      <c r="A40" s="45">
        <f t="shared" si="3"/>
        <v>0</v>
      </c>
      <c r="C40" s="47">
        <f t="shared" si="0"/>
        <v>0</v>
      </c>
      <c r="E40" s="47">
        <f>IF($E$6=12,SUM('(6)Amortization Schedule'!E315:E326),IF($E$6=2,SUM('(6)Amortization Schedule'!E65:E66),IF($E$6=4,SUM('(6)Amortization Schedule'!E115:E118),IF($E$6=1,'(6)Amortization Schedule'!E40,0))))</f>
        <v>0</v>
      </c>
      <c r="G40" s="47">
        <f t="shared" si="1"/>
        <v>0</v>
      </c>
      <c r="I40" s="47">
        <f t="shared" si="2"/>
        <v>0</v>
      </c>
    </row>
    <row r="41" spans="1:9" ht="15.5" x14ac:dyDescent="0.35">
      <c r="A41" s="45">
        <f t="shared" si="3"/>
        <v>0</v>
      </c>
      <c r="C41" s="47">
        <f t="shared" si="0"/>
        <v>0</v>
      </c>
      <c r="E41" s="47">
        <f>IF($E$6=12,SUM('(6)Amortization Schedule'!E327:E338),IF($E$6=2,SUM('(6)Amortization Schedule'!E67:E68),IF($E$6=4,SUM('(6)Amortization Schedule'!E119:E122),IF($E$6=1,'(6)Amortization Schedule'!E41,0))))</f>
        <v>0</v>
      </c>
      <c r="G41" s="47">
        <f t="shared" si="1"/>
        <v>0</v>
      </c>
      <c r="I41" s="47">
        <f t="shared" si="2"/>
        <v>0</v>
      </c>
    </row>
    <row r="42" spans="1:9" ht="15.5" x14ac:dyDescent="0.35">
      <c r="A42" s="45">
        <f t="shared" si="3"/>
        <v>0</v>
      </c>
      <c r="C42" s="47">
        <f t="shared" si="0"/>
        <v>0</v>
      </c>
      <c r="E42" s="47">
        <f>IF($E$6=12,SUM('(6)Amortization Schedule'!E339:E350),IF($E$6=2,SUM('(6)Amortization Schedule'!E69:E70),IF($E$6=4,SUM('(6)Amortization Schedule'!E123:E126),IF($E$6=1,'(6)Amortization Schedule'!E42,0))))</f>
        <v>0</v>
      </c>
      <c r="G42" s="47">
        <f t="shared" si="1"/>
        <v>0</v>
      </c>
      <c r="I42" s="47">
        <f t="shared" si="2"/>
        <v>0</v>
      </c>
    </row>
    <row r="43" spans="1:9" ht="15.5" x14ac:dyDescent="0.35">
      <c r="A43" s="45">
        <f t="shared" si="3"/>
        <v>0</v>
      </c>
      <c r="C43" s="47">
        <f t="shared" si="0"/>
        <v>0</v>
      </c>
      <c r="E43" s="47">
        <f>IF($E$6=12,SUM('(6)Amortization Schedule'!E351:E362),IF($E$6=2,SUM('(6)Amortization Schedule'!E71:E72),IF($E$6=4,SUM('(6)Amortization Schedule'!E127:E130),IF($E$6=1,'(6)Amortization Schedule'!E43,0))))</f>
        <v>0</v>
      </c>
      <c r="G43" s="47">
        <f t="shared" si="1"/>
        <v>0</v>
      </c>
      <c r="I43" s="47">
        <f t="shared" si="2"/>
        <v>0</v>
      </c>
    </row>
    <row r="44" spans="1:9" ht="15.5" x14ac:dyDescent="0.35">
      <c r="A44" s="45">
        <f t="shared" si="3"/>
        <v>0</v>
      </c>
      <c r="C44" s="47">
        <f t="shared" si="0"/>
        <v>0</v>
      </c>
      <c r="E44" s="47">
        <f>IF($E$6=12,SUM('(6)Amortization Schedule'!E363:E374),IF($E$6=2,SUM('(6)Amortization Schedule'!E73:E74),IF($E$6=4,SUM('(6)Amortization Schedule'!E131:E134),IF($E$6=1,'(6)Amortization Schedule'!E44,0))))</f>
        <v>0</v>
      </c>
      <c r="G44" s="47">
        <f t="shared" si="1"/>
        <v>0</v>
      </c>
      <c r="I44" s="47">
        <f t="shared" si="2"/>
        <v>0</v>
      </c>
    </row>
    <row r="45" spans="1:9" ht="15.5" x14ac:dyDescent="0.35">
      <c r="A45" s="45"/>
      <c r="C45" s="47"/>
      <c r="E45" s="47"/>
      <c r="G45" s="47"/>
      <c r="I45" s="47"/>
    </row>
    <row r="46" spans="1:9" ht="15.5" x14ac:dyDescent="0.35">
      <c r="A46" s="45"/>
      <c r="C46" s="47"/>
      <c r="E46" s="47"/>
      <c r="G46" s="47"/>
      <c r="I46" s="47"/>
    </row>
    <row r="47" spans="1:9" ht="15.5" x14ac:dyDescent="0.35">
      <c r="A47" s="45"/>
      <c r="C47" s="47"/>
      <c r="E47" s="47"/>
      <c r="G47" s="47"/>
      <c r="I47" s="47"/>
    </row>
    <row r="48" spans="1:9" ht="15.5" x14ac:dyDescent="0.35">
      <c r="A48" s="45"/>
      <c r="C48" s="47"/>
      <c r="E48" s="47"/>
      <c r="G48" s="47"/>
      <c r="I48" s="47"/>
    </row>
    <row r="49" spans="1:9" ht="15.5" x14ac:dyDescent="0.35">
      <c r="A49" s="45"/>
      <c r="C49" s="47"/>
      <c r="E49" s="47"/>
      <c r="G49" s="47"/>
      <c r="I49" s="47"/>
    </row>
    <row r="50" spans="1:9" ht="15.5" x14ac:dyDescent="0.35">
      <c r="A50" s="45"/>
      <c r="C50" s="47"/>
      <c r="E50" s="47"/>
      <c r="G50" s="47"/>
      <c r="I50" s="47"/>
    </row>
    <row r="51" spans="1:9" ht="15.5" x14ac:dyDescent="0.35">
      <c r="A51" s="45"/>
      <c r="C51" s="47"/>
      <c r="E51" s="47"/>
      <c r="G51" s="47"/>
      <c r="I51" s="47"/>
    </row>
    <row r="52" spans="1:9" ht="15.5" x14ac:dyDescent="0.35">
      <c r="A52" s="45"/>
      <c r="C52" s="47"/>
      <c r="E52" s="47"/>
      <c r="G52" s="47"/>
      <c r="I52" s="47"/>
    </row>
    <row r="53" spans="1:9" ht="15.5" x14ac:dyDescent="0.35">
      <c r="A53" s="45"/>
      <c r="C53" s="47"/>
      <c r="E53" s="47"/>
      <c r="G53" s="47"/>
      <c r="I53" s="47"/>
    </row>
    <row r="54" spans="1:9" ht="15.5" x14ac:dyDescent="0.35">
      <c r="A54" s="45"/>
      <c r="C54" s="47"/>
      <c r="E54" s="47"/>
      <c r="G54" s="47"/>
      <c r="I54" s="47"/>
    </row>
    <row r="55" spans="1:9" ht="15.5" x14ac:dyDescent="0.35">
      <c r="A55" s="45"/>
      <c r="C55" s="47"/>
      <c r="E55" s="47"/>
      <c r="G55" s="47"/>
      <c r="I55" s="47"/>
    </row>
    <row r="56" spans="1:9" ht="15.5" x14ac:dyDescent="0.35">
      <c r="A56" s="45"/>
      <c r="C56" s="47"/>
      <c r="E56" s="47"/>
      <c r="G56" s="47"/>
      <c r="I56" s="47"/>
    </row>
    <row r="57" spans="1:9" ht="15.5" x14ac:dyDescent="0.35">
      <c r="A57" s="45"/>
      <c r="C57" s="47"/>
      <c r="E57" s="47"/>
      <c r="G57" s="47"/>
      <c r="I57" s="47"/>
    </row>
    <row r="58" spans="1:9" ht="15.5" x14ac:dyDescent="0.35">
      <c r="A58" s="45"/>
      <c r="C58" s="47"/>
      <c r="E58" s="47"/>
      <c r="G58" s="47"/>
      <c r="I58" s="47"/>
    </row>
    <row r="59" spans="1:9" ht="15.5" x14ac:dyDescent="0.35">
      <c r="A59" s="45"/>
      <c r="C59" s="47"/>
      <c r="E59" s="47"/>
      <c r="G59" s="47"/>
      <c r="I59" s="47"/>
    </row>
    <row r="60" spans="1:9" ht="15.5" x14ac:dyDescent="0.35">
      <c r="A60" s="45"/>
      <c r="C60" s="47"/>
      <c r="E60" s="47"/>
      <c r="G60" s="47"/>
      <c r="I60" s="47"/>
    </row>
    <row r="61" spans="1:9" ht="15.5" x14ac:dyDescent="0.35">
      <c r="A61" s="45"/>
      <c r="C61" s="47"/>
      <c r="E61" s="47"/>
      <c r="G61" s="47"/>
      <c r="I61" s="47"/>
    </row>
    <row r="62" spans="1:9" ht="15.5" x14ac:dyDescent="0.35">
      <c r="A62" s="45"/>
      <c r="C62" s="47"/>
      <c r="E62" s="47"/>
      <c r="G62" s="47"/>
      <c r="I62" s="47"/>
    </row>
    <row r="63" spans="1:9" ht="15.5" x14ac:dyDescent="0.35">
      <c r="A63" s="45"/>
      <c r="C63" s="47"/>
      <c r="E63" s="47"/>
      <c r="G63" s="47"/>
      <c r="I63" s="47"/>
    </row>
    <row r="64" spans="1:9" ht="15.5" x14ac:dyDescent="0.35">
      <c r="A64" s="45"/>
      <c r="C64" s="47"/>
      <c r="E64" s="47"/>
      <c r="G64" s="47"/>
      <c r="I64" s="47"/>
    </row>
    <row r="65" spans="1:9" ht="15.5" x14ac:dyDescent="0.35">
      <c r="A65" s="45"/>
      <c r="C65" s="47"/>
      <c r="E65" s="47"/>
      <c r="G65" s="47"/>
      <c r="I65" s="47"/>
    </row>
    <row r="66" spans="1:9" ht="15.5" x14ac:dyDescent="0.35">
      <c r="A66" s="45"/>
      <c r="C66" s="47"/>
      <c r="E66" s="47"/>
      <c r="G66" s="47"/>
      <c r="I66" s="47"/>
    </row>
    <row r="67" spans="1:9" ht="15.5" x14ac:dyDescent="0.35">
      <c r="A67" s="45"/>
      <c r="C67" s="47"/>
      <c r="E67" s="47"/>
      <c r="G67" s="47"/>
      <c r="I67" s="47"/>
    </row>
    <row r="68" spans="1:9" ht="15.5" x14ac:dyDescent="0.35">
      <c r="A68" s="45"/>
      <c r="C68" s="47"/>
      <c r="E68" s="47"/>
      <c r="G68" s="47"/>
      <c r="I68" s="47"/>
    </row>
    <row r="69" spans="1:9" ht="15.5" x14ac:dyDescent="0.35">
      <c r="A69" s="45"/>
      <c r="C69" s="47"/>
      <c r="E69" s="47"/>
      <c r="G69" s="47"/>
      <c r="I69" s="47"/>
    </row>
    <row r="70" spans="1:9" ht="15.5" x14ac:dyDescent="0.35">
      <c r="A70" s="45"/>
      <c r="C70" s="47"/>
      <c r="E70" s="47"/>
      <c r="G70" s="47"/>
      <c r="I70" s="47"/>
    </row>
    <row r="71" spans="1:9" ht="15.5" x14ac:dyDescent="0.35">
      <c r="A71" s="45"/>
      <c r="C71" s="47"/>
      <c r="E71" s="47"/>
      <c r="G71" s="47"/>
      <c r="I71" s="47"/>
    </row>
    <row r="72" spans="1:9" ht="15.5" x14ac:dyDescent="0.35">
      <c r="A72" s="45"/>
      <c r="C72" s="47"/>
      <c r="E72" s="47"/>
      <c r="G72" s="47"/>
      <c r="I72" s="47"/>
    </row>
    <row r="73" spans="1:9" ht="15.5" x14ac:dyDescent="0.35">
      <c r="A73" s="45"/>
      <c r="C73" s="47"/>
      <c r="E73" s="47"/>
      <c r="G73" s="47"/>
      <c r="I73" s="47"/>
    </row>
    <row r="74" spans="1:9" ht="15.5" x14ac:dyDescent="0.35">
      <c r="A74" s="45"/>
      <c r="C74" s="47"/>
      <c r="E74" s="47"/>
      <c r="G74" s="47"/>
      <c r="I74" s="47"/>
    </row>
    <row r="75" spans="1:9" ht="15.5" x14ac:dyDescent="0.35">
      <c r="A75" s="45"/>
      <c r="C75" s="47"/>
      <c r="E75" s="47"/>
      <c r="G75" s="47"/>
      <c r="I75" s="47"/>
    </row>
    <row r="76" spans="1:9" ht="15.5" x14ac:dyDescent="0.35">
      <c r="A76" s="45"/>
      <c r="C76" s="47"/>
      <c r="E76" s="47"/>
      <c r="G76" s="47"/>
      <c r="I76" s="47"/>
    </row>
    <row r="77" spans="1:9" ht="15.5" x14ac:dyDescent="0.35">
      <c r="A77" s="45"/>
      <c r="C77" s="47"/>
      <c r="E77" s="47"/>
      <c r="G77" s="47"/>
      <c r="I77" s="47"/>
    </row>
    <row r="78" spans="1:9" ht="15.5" x14ac:dyDescent="0.35">
      <c r="A78" s="45"/>
      <c r="C78" s="47"/>
      <c r="E78" s="47"/>
      <c r="G78" s="47"/>
      <c r="I78" s="47"/>
    </row>
    <row r="79" spans="1:9" ht="15.5" x14ac:dyDescent="0.35">
      <c r="A79" s="45"/>
      <c r="C79" s="47"/>
      <c r="E79" s="47"/>
      <c r="G79" s="47"/>
      <c r="I79" s="47"/>
    </row>
    <row r="80" spans="1:9" ht="15.5" x14ac:dyDescent="0.35">
      <c r="A80" s="45"/>
      <c r="C80" s="47"/>
      <c r="E80" s="47"/>
      <c r="G80" s="47"/>
      <c r="I80" s="47"/>
    </row>
    <row r="81" spans="1:9" ht="15.5" x14ac:dyDescent="0.35">
      <c r="A81" s="45"/>
      <c r="C81" s="47"/>
      <c r="E81" s="47"/>
      <c r="G81" s="47"/>
      <c r="I81" s="47"/>
    </row>
    <row r="82" spans="1:9" ht="15.5" x14ac:dyDescent="0.35">
      <c r="A82" s="45"/>
      <c r="C82" s="47"/>
      <c r="E82" s="47"/>
      <c r="G82" s="47"/>
      <c r="I82" s="47"/>
    </row>
    <row r="83" spans="1:9" ht="15.5" x14ac:dyDescent="0.35">
      <c r="A83" s="45"/>
      <c r="C83" s="47"/>
      <c r="E83" s="47"/>
      <c r="G83" s="47"/>
      <c r="I83" s="47"/>
    </row>
    <row r="84" spans="1:9" ht="15.5" x14ac:dyDescent="0.35">
      <c r="A84" s="45"/>
      <c r="C84" s="47"/>
      <c r="E84" s="47"/>
      <c r="G84" s="47"/>
      <c r="I84" s="47"/>
    </row>
    <row r="85" spans="1:9" ht="15.5" x14ac:dyDescent="0.35">
      <c r="A85" s="45"/>
      <c r="C85" s="47"/>
      <c r="E85" s="47"/>
      <c r="G85" s="47"/>
      <c r="I85" s="47"/>
    </row>
    <row r="86" spans="1:9" ht="15.5" x14ac:dyDescent="0.35">
      <c r="A86" s="45"/>
      <c r="C86" s="47"/>
      <c r="E86" s="47"/>
      <c r="G86" s="47"/>
      <c r="I86" s="47"/>
    </row>
    <row r="87" spans="1:9" ht="15.5" x14ac:dyDescent="0.35">
      <c r="A87" s="45"/>
      <c r="C87" s="47"/>
      <c r="E87" s="47"/>
      <c r="G87" s="47"/>
      <c r="I87" s="47"/>
    </row>
    <row r="88" spans="1:9" ht="15.5" x14ac:dyDescent="0.35">
      <c r="A88" s="45"/>
      <c r="C88" s="47"/>
      <c r="E88" s="47"/>
      <c r="G88" s="47"/>
      <c r="I88" s="47"/>
    </row>
    <row r="89" spans="1:9" ht="15.5" x14ac:dyDescent="0.35">
      <c r="A89" s="45"/>
      <c r="C89" s="47"/>
      <c r="E89" s="47"/>
      <c r="G89" s="47"/>
      <c r="I89" s="47"/>
    </row>
    <row r="90" spans="1:9" ht="15.5" x14ac:dyDescent="0.35">
      <c r="A90" s="45"/>
      <c r="C90" s="47"/>
      <c r="E90" s="47"/>
      <c r="G90" s="47"/>
      <c r="I90" s="47"/>
    </row>
    <row r="91" spans="1:9" ht="15.5" x14ac:dyDescent="0.35">
      <c r="A91" s="45"/>
      <c r="C91" s="47"/>
      <c r="E91" s="47"/>
      <c r="G91" s="47"/>
      <c r="I91" s="47"/>
    </row>
    <row r="92" spans="1:9" ht="15.5" x14ac:dyDescent="0.35">
      <c r="A92" s="45"/>
      <c r="C92" s="47"/>
      <c r="E92" s="47"/>
      <c r="G92" s="47"/>
      <c r="I92" s="47"/>
    </row>
    <row r="93" spans="1:9" ht="15.5" x14ac:dyDescent="0.35">
      <c r="A93" s="45"/>
      <c r="C93" s="47"/>
      <c r="E93" s="47"/>
      <c r="G93" s="47"/>
      <c r="I93" s="47"/>
    </row>
    <row r="94" spans="1:9" ht="15.5" x14ac:dyDescent="0.35">
      <c r="A94" s="45"/>
      <c r="C94" s="47"/>
      <c r="E94" s="47"/>
      <c r="G94" s="47"/>
      <c r="I94" s="47"/>
    </row>
    <row r="95" spans="1:9" ht="15.5" x14ac:dyDescent="0.35">
      <c r="A95" s="45"/>
      <c r="C95" s="47"/>
      <c r="E95" s="47"/>
      <c r="G95" s="47"/>
      <c r="I95" s="47"/>
    </row>
    <row r="96" spans="1:9" ht="15.5" x14ac:dyDescent="0.35">
      <c r="A96" s="45"/>
      <c r="C96" s="47"/>
      <c r="E96" s="47"/>
      <c r="G96" s="47"/>
      <c r="I96" s="47"/>
    </row>
    <row r="97" spans="1:9" ht="15.5" x14ac:dyDescent="0.35">
      <c r="A97" s="45"/>
      <c r="C97" s="47"/>
      <c r="E97" s="47"/>
      <c r="G97" s="47"/>
      <c r="I97" s="47"/>
    </row>
    <row r="98" spans="1:9" ht="15.5" x14ac:dyDescent="0.35">
      <c r="A98" s="45"/>
      <c r="C98" s="47"/>
      <c r="E98" s="47"/>
      <c r="G98" s="47"/>
      <c r="I98" s="47"/>
    </row>
    <row r="99" spans="1:9" ht="15.5" x14ac:dyDescent="0.35">
      <c r="A99" s="45"/>
      <c r="C99" s="47"/>
      <c r="E99" s="47"/>
      <c r="G99" s="47"/>
      <c r="I99" s="47"/>
    </row>
    <row r="100" spans="1:9" ht="15.5" x14ac:dyDescent="0.35">
      <c r="A100" s="45"/>
      <c r="C100" s="47"/>
      <c r="E100" s="47"/>
      <c r="G100" s="47"/>
      <c r="I100" s="47"/>
    </row>
    <row r="101" spans="1:9" ht="15.5" x14ac:dyDescent="0.35">
      <c r="A101" s="45"/>
      <c r="C101" s="47"/>
      <c r="E101" s="47"/>
      <c r="G101" s="47"/>
      <c r="I101" s="47"/>
    </row>
    <row r="102" spans="1:9" ht="15.5" x14ac:dyDescent="0.35">
      <c r="A102" s="45"/>
      <c r="C102" s="47"/>
      <c r="E102" s="47"/>
      <c r="G102" s="47"/>
      <c r="I102" s="47"/>
    </row>
    <row r="103" spans="1:9" ht="15.5" x14ac:dyDescent="0.35">
      <c r="A103" s="45"/>
      <c r="C103" s="47"/>
      <c r="E103" s="47"/>
      <c r="G103" s="47"/>
      <c r="I103" s="47"/>
    </row>
    <row r="104" spans="1:9" ht="15.5" x14ac:dyDescent="0.35">
      <c r="A104" s="45"/>
      <c r="C104" s="47"/>
      <c r="E104" s="47"/>
      <c r="G104" s="47"/>
      <c r="I104" s="47"/>
    </row>
    <row r="105" spans="1:9" ht="15.5" x14ac:dyDescent="0.35">
      <c r="A105" s="45"/>
      <c r="C105" s="47"/>
      <c r="E105" s="47"/>
      <c r="G105" s="47"/>
      <c r="I105" s="47"/>
    </row>
    <row r="106" spans="1:9" ht="15.5" x14ac:dyDescent="0.35">
      <c r="A106" s="45"/>
      <c r="C106" s="47"/>
      <c r="E106" s="47"/>
      <c r="G106" s="47"/>
      <c r="I106" s="47"/>
    </row>
    <row r="107" spans="1:9" ht="15.5" x14ac:dyDescent="0.35">
      <c r="A107" s="45"/>
      <c r="C107" s="47"/>
      <c r="E107" s="47"/>
      <c r="G107" s="47"/>
      <c r="I107" s="47"/>
    </row>
    <row r="108" spans="1:9" ht="15.5" x14ac:dyDescent="0.35">
      <c r="A108" s="45"/>
      <c r="C108" s="47"/>
      <c r="E108" s="47"/>
      <c r="G108" s="47"/>
      <c r="I108" s="47"/>
    </row>
    <row r="109" spans="1:9" ht="15.5" x14ac:dyDescent="0.35">
      <c r="A109" s="45"/>
      <c r="C109" s="47"/>
      <c r="E109" s="47"/>
      <c r="G109" s="47"/>
      <c r="I109" s="47"/>
    </row>
    <row r="110" spans="1:9" ht="15.5" x14ac:dyDescent="0.35">
      <c r="A110" s="45"/>
      <c r="C110" s="47"/>
      <c r="E110" s="47"/>
      <c r="G110" s="47"/>
      <c r="I110" s="47"/>
    </row>
    <row r="111" spans="1:9" ht="15.5" x14ac:dyDescent="0.35">
      <c r="A111" s="45"/>
      <c r="C111" s="47"/>
      <c r="E111" s="47"/>
      <c r="G111" s="47"/>
      <c r="I111" s="47"/>
    </row>
    <row r="112" spans="1:9" ht="15.5" x14ac:dyDescent="0.35">
      <c r="A112" s="45"/>
      <c r="C112" s="47"/>
      <c r="E112" s="47"/>
      <c r="G112" s="47"/>
      <c r="I112" s="47"/>
    </row>
    <row r="113" spans="1:9" ht="15.5" x14ac:dyDescent="0.35">
      <c r="A113" s="45"/>
      <c r="C113" s="47"/>
      <c r="E113" s="47"/>
      <c r="G113" s="47"/>
      <c r="I113" s="47"/>
    </row>
    <row r="114" spans="1:9" ht="15.5" x14ac:dyDescent="0.35">
      <c r="A114" s="45"/>
      <c r="C114" s="47"/>
      <c r="E114" s="47"/>
      <c r="G114" s="47"/>
      <c r="I114" s="47"/>
    </row>
    <row r="115" spans="1:9" ht="15.5" x14ac:dyDescent="0.35">
      <c r="A115" s="45"/>
      <c r="C115" s="47"/>
      <c r="E115" s="47"/>
      <c r="G115" s="47"/>
      <c r="I115" s="47"/>
    </row>
    <row r="116" spans="1:9" ht="15.5" x14ac:dyDescent="0.35">
      <c r="A116" s="45"/>
      <c r="C116" s="47"/>
      <c r="E116" s="47"/>
      <c r="G116" s="47"/>
      <c r="I116" s="47"/>
    </row>
    <row r="117" spans="1:9" ht="15.5" x14ac:dyDescent="0.35">
      <c r="A117" s="45"/>
      <c r="C117" s="47"/>
      <c r="E117" s="47"/>
      <c r="G117" s="47"/>
      <c r="I117" s="47"/>
    </row>
    <row r="118" spans="1:9" ht="15.5" x14ac:dyDescent="0.35">
      <c r="A118" s="45"/>
      <c r="C118" s="47"/>
      <c r="E118" s="47"/>
      <c r="G118" s="47"/>
      <c r="I118" s="47"/>
    </row>
    <row r="119" spans="1:9" ht="15.5" x14ac:dyDescent="0.35">
      <c r="A119" s="45"/>
      <c r="C119" s="47"/>
      <c r="E119" s="47"/>
      <c r="G119" s="47"/>
      <c r="I119" s="47"/>
    </row>
    <row r="120" spans="1:9" ht="15.5" x14ac:dyDescent="0.35">
      <c r="A120" s="45"/>
      <c r="C120" s="47"/>
      <c r="E120" s="47"/>
      <c r="G120" s="47"/>
      <c r="I120" s="47"/>
    </row>
    <row r="121" spans="1:9" ht="15.5" x14ac:dyDescent="0.35">
      <c r="A121" s="45"/>
      <c r="C121" s="47"/>
      <c r="E121" s="47"/>
      <c r="G121" s="47"/>
      <c r="I121" s="47"/>
    </row>
    <row r="122" spans="1:9" ht="15.5" x14ac:dyDescent="0.35">
      <c r="A122" s="45"/>
      <c r="C122" s="47"/>
      <c r="E122" s="47"/>
      <c r="G122" s="47"/>
      <c r="I122" s="47"/>
    </row>
    <row r="123" spans="1:9" ht="15.5" x14ac:dyDescent="0.35">
      <c r="A123" s="45"/>
      <c r="C123" s="47"/>
      <c r="E123" s="47"/>
      <c r="G123" s="47"/>
      <c r="I123" s="47"/>
    </row>
    <row r="124" spans="1:9" ht="15.5" x14ac:dyDescent="0.35">
      <c r="A124" s="45"/>
      <c r="C124" s="47"/>
      <c r="E124" s="47"/>
      <c r="G124" s="47"/>
      <c r="I124" s="47"/>
    </row>
    <row r="125" spans="1:9" ht="15.5" x14ac:dyDescent="0.35">
      <c r="A125" s="45"/>
      <c r="C125" s="47"/>
      <c r="E125" s="47"/>
      <c r="G125" s="47"/>
      <c r="I125" s="47"/>
    </row>
    <row r="126" spans="1:9" ht="15.5" x14ac:dyDescent="0.35">
      <c r="A126" s="45"/>
      <c r="C126" s="47"/>
      <c r="E126" s="47"/>
      <c r="G126" s="47"/>
      <c r="I126" s="47"/>
    </row>
    <row r="127" spans="1:9" ht="15.5" x14ac:dyDescent="0.35">
      <c r="A127" s="45"/>
      <c r="C127" s="47"/>
      <c r="E127" s="47"/>
      <c r="G127" s="47"/>
      <c r="I127" s="47"/>
    </row>
    <row r="128" spans="1:9" ht="15.5" x14ac:dyDescent="0.35">
      <c r="A128" s="45"/>
      <c r="C128" s="47"/>
      <c r="E128" s="47"/>
      <c r="G128" s="47"/>
      <c r="I128" s="47"/>
    </row>
    <row r="129" spans="1:9" ht="15.5" x14ac:dyDescent="0.35">
      <c r="A129" s="45"/>
      <c r="C129" s="47"/>
      <c r="E129" s="47"/>
      <c r="G129" s="47"/>
      <c r="I129" s="47"/>
    </row>
    <row r="130" spans="1:9" ht="15.5" x14ac:dyDescent="0.35">
      <c r="A130" s="45"/>
      <c r="C130" s="47"/>
      <c r="E130" s="47"/>
      <c r="G130" s="47"/>
      <c r="I130" s="47"/>
    </row>
    <row r="131" spans="1:9" ht="15.5" x14ac:dyDescent="0.35">
      <c r="A131" s="45"/>
      <c r="C131" s="47"/>
      <c r="E131" s="47"/>
      <c r="G131" s="47"/>
      <c r="I131" s="47"/>
    </row>
    <row r="132" spans="1:9" ht="15.5" x14ac:dyDescent="0.35">
      <c r="A132" s="45"/>
      <c r="C132" s="47"/>
      <c r="E132" s="47"/>
      <c r="G132" s="47"/>
      <c r="I132" s="47"/>
    </row>
    <row r="133" spans="1:9" ht="15.5" x14ac:dyDescent="0.35">
      <c r="A133" s="45"/>
      <c r="C133" s="47"/>
      <c r="E133" s="47"/>
      <c r="G133" s="47"/>
      <c r="I133" s="47"/>
    </row>
    <row r="134" spans="1:9" ht="15.5" x14ac:dyDescent="0.35">
      <c r="A134" s="45"/>
      <c r="C134" s="47"/>
      <c r="E134" s="47"/>
      <c r="G134" s="47"/>
      <c r="I134" s="47"/>
    </row>
    <row r="135" spans="1:9" ht="15.5" x14ac:dyDescent="0.35">
      <c r="A135" s="45"/>
      <c r="C135" s="47"/>
      <c r="E135" s="47"/>
      <c r="G135" s="47"/>
      <c r="I135" s="47"/>
    </row>
    <row r="136" spans="1:9" ht="15.5" x14ac:dyDescent="0.35">
      <c r="A136" s="45"/>
      <c r="C136" s="47"/>
      <c r="E136" s="47"/>
      <c r="G136" s="47"/>
      <c r="I136" s="47"/>
    </row>
    <row r="137" spans="1:9" ht="15.5" x14ac:dyDescent="0.35">
      <c r="A137" s="45"/>
      <c r="C137" s="47"/>
      <c r="E137" s="47"/>
      <c r="G137" s="47"/>
      <c r="I137" s="47"/>
    </row>
    <row r="138" spans="1:9" ht="15.5" x14ac:dyDescent="0.35">
      <c r="A138" s="45"/>
      <c r="C138" s="47"/>
      <c r="E138" s="47"/>
      <c r="G138" s="47"/>
      <c r="I138" s="47"/>
    </row>
    <row r="139" spans="1:9" ht="15.5" x14ac:dyDescent="0.35">
      <c r="A139" s="45"/>
      <c r="C139" s="47"/>
      <c r="E139" s="47"/>
      <c r="G139" s="47"/>
      <c r="I139" s="47"/>
    </row>
    <row r="140" spans="1:9" ht="15.5" x14ac:dyDescent="0.35">
      <c r="A140" s="45"/>
      <c r="C140" s="47"/>
      <c r="E140" s="47"/>
      <c r="G140" s="47"/>
      <c r="I140" s="47"/>
    </row>
    <row r="141" spans="1:9" ht="15.5" x14ac:dyDescent="0.35">
      <c r="A141" s="45"/>
      <c r="C141" s="47"/>
      <c r="E141" s="47"/>
      <c r="G141" s="47"/>
      <c r="I141" s="47"/>
    </row>
    <row r="142" spans="1:9" ht="15.5" x14ac:dyDescent="0.35">
      <c r="A142" s="45"/>
      <c r="C142" s="47"/>
      <c r="E142" s="47"/>
      <c r="G142" s="47"/>
      <c r="I142" s="47"/>
    </row>
    <row r="143" spans="1:9" ht="15.5" x14ac:dyDescent="0.35">
      <c r="A143" s="45"/>
      <c r="C143" s="47"/>
      <c r="E143" s="47"/>
      <c r="G143" s="47"/>
      <c r="I143" s="47"/>
    </row>
    <row r="144" spans="1:9" ht="15.5" x14ac:dyDescent="0.35">
      <c r="A144" s="45"/>
      <c r="C144" s="47"/>
      <c r="E144" s="47"/>
      <c r="G144" s="47"/>
      <c r="I144" s="47"/>
    </row>
    <row r="145" spans="1:9" ht="15.5" x14ac:dyDescent="0.35">
      <c r="A145" s="45"/>
      <c r="C145" s="47"/>
      <c r="E145" s="47"/>
      <c r="G145" s="47"/>
      <c r="I145" s="47"/>
    </row>
    <row r="146" spans="1:9" ht="15.5" x14ac:dyDescent="0.35">
      <c r="A146" s="45"/>
      <c r="C146" s="47"/>
      <c r="E146" s="47"/>
      <c r="G146" s="47"/>
      <c r="I146" s="47"/>
    </row>
    <row r="147" spans="1:9" ht="15.5" x14ac:dyDescent="0.35">
      <c r="A147" s="45"/>
      <c r="C147" s="47"/>
      <c r="E147" s="47"/>
      <c r="G147" s="47"/>
      <c r="I147" s="47"/>
    </row>
    <row r="148" spans="1:9" ht="15.5" x14ac:dyDescent="0.35">
      <c r="A148" s="45"/>
      <c r="C148" s="47"/>
      <c r="E148" s="47"/>
      <c r="G148" s="47"/>
      <c r="I148" s="47"/>
    </row>
    <row r="149" spans="1:9" ht="15.5" x14ac:dyDescent="0.35">
      <c r="A149" s="45"/>
      <c r="C149" s="47"/>
      <c r="E149" s="47"/>
      <c r="G149" s="47"/>
      <c r="I149" s="47"/>
    </row>
    <row r="150" spans="1:9" ht="15.5" x14ac:dyDescent="0.35">
      <c r="A150" s="45"/>
      <c r="C150" s="47"/>
      <c r="E150" s="47"/>
      <c r="G150" s="47"/>
      <c r="I150" s="47"/>
    </row>
    <row r="151" spans="1:9" ht="15.5" x14ac:dyDescent="0.35">
      <c r="A151" s="45"/>
      <c r="C151" s="47"/>
      <c r="E151" s="47"/>
      <c r="G151" s="47"/>
      <c r="I151" s="47"/>
    </row>
    <row r="152" spans="1:9" ht="15.5" x14ac:dyDescent="0.35">
      <c r="A152" s="45"/>
      <c r="C152" s="47"/>
      <c r="E152" s="47"/>
      <c r="G152" s="47"/>
      <c r="I152" s="47"/>
    </row>
    <row r="153" spans="1:9" ht="15.5" x14ac:dyDescent="0.35">
      <c r="A153" s="45"/>
      <c r="C153" s="47"/>
      <c r="E153" s="47"/>
      <c r="G153" s="47"/>
      <c r="I153" s="47"/>
    </row>
    <row r="154" spans="1:9" ht="15.5" x14ac:dyDescent="0.35">
      <c r="A154" s="45"/>
      <c r="C154" s="47"/>
      <c r="E154" s="47"/>
      <c r="G154" s="47"/>
      <c r="I154" s="47"/>
    </row>
    <row r="155" spans="1:9" ht="15.5" x14ac:dyDescent="0.35">
      <c r="A155" s="45"/>
      <c r="C155" s="47"/>
      <c r="E155" s="47"/>
      <c r="G155" s="47"/>
      <c r="I155" s="47"/>
    </row>
    <row r="156" spans="1:9" ht="15.5" x14ac:dyDescent="0.35">
      <c r="A156" s="45"/>
      <c r="C156" s="47"/>
      <c r="E156" s="47"/>
      <c r="G156" s="47"/>
      <c r="I156" s="47"/>
    </row>
    <row r="157" spans="1:9" ht="15.5" x14ac:dyDescent="0.35">
      <c r="A157" s="45"/>
      <c r="C157" s="47"/>
      <c r="E157" s="47"/>
      <c r="G157" s="47"/>
      <c r="I157" s="47"/>
    </row>
    <row r="158" spans="1:9" ht="15.5" x14ac:dyDescent="0.35">
      <c r="A158" s="45"/>
      <c r="C158" s="47"/>
      <c r="E158" s="47"/>
      <c r="G158" s="47"/>
      <c r="I158" s="47"/>
    </row>
    <row r="159" spans="1:9" ht="15.5" x14ac:dyDescent="0.35">
      <c r="A159" s="45"/>
      <c r="C159" s="47"/>
      <c r="E159" s="47"/>
      <c r="G159" s="47"/>
      <c r="I159" s="47"/>
    </row>
    <row r="160" spans="1:9" ht="15.5" x14ac:dyDescent="0.35">
      <c r="A160" s="45"/>
      <c r="C160" s="47"/>
      <c r="E160" s="47"/>
      <c r="G160" s="47"/>
      <c r="I160" s="47"/>
    </row>
    <row r="161" spans="1:9" ht="15.5" x14ac:dyDescent="0.35">
      <c r="A161" s="45"/>
      <c r="C161" s="47"/>
      <c r="E161" s="47"/>
      <c r="G161" s="47"/>
      <c r="I161" s="47"/>
    </row>
    <row r="162" spans="1:9" ht="15.5" x14ac:dyDescent="0.35">
      <c r="A162" s="45"/>
      <c r="C162" s="47"/>
      <c r="E162" s="47"/>
      <c r="G162" s="47"/>
      <c r="I162" s="47"/>
    </row>
    <row r="163" spans="1:9" ht="15.5" x14ac:dyDescent="0.35">
      <c r="A163" s="45"/>
      <c r="C163" s="47"/>
      <c r="E163" s="47"/>
      <c r="G163" s="47"/>
      <c r="I163" s="47"/>
    </row>
    <row r="164" spans="1:9" ht="15.5" x14ac:dyDescent="0.35">
      <c r="A164" s="45"/>
      <c r="C164" s="47"/>
      <c r="E164" s="47"/>
      <c r="G164" s="47"/>
      <c r="I164" s="47"/>
    </row>
    <row r="165" spans="1:9" ht="15.5" x14ac:dyDescent="0.35">
      <c r="A165" s="45"/>
      <c r="C165" s="47"/>
      <c r="E165" s="47"/>
      <c r="G165" s="47"/>
      <c r="I165" s="47"/>
    </row>
    <row r="166" spans="1:9" ht="15.5" x14ac:dyDescent="0.35">
      <c r="A166" s="45"/>
      <c r="C166" s="47"/>
      <c r="E166" s="47"/>
      <c r="G166" s="47"/>
      <c r="I166" s="47"/>
    </row>
    <row r="167" spans="1:9" ht="15.5" x14ac:dyDescent="0.35">
      <c r="A167" s="45"/>
      <c r="C167" s="47"/>
      <c r="E167" s="47"/>
      <c r="G167" s="47"/>
      <c r="I167" s="47"/>
    </row>
    <row r="168" spans="1:9" ht="15.5" x14ac:dyDescent="0.35">
      <c r="A168" s="45"/>
      <c r="C168" s="47"/>
      <c r="E168" s="47"/>
      <c r="G168" s="47"/>
      <c r="I168" s="47"/>
    </row>
    <row r="169" spans="1:9" ht="15.5" x14ac:dyDescent="0.35">
      <c r="A169" s="45"/>
      <c r="C169" s="47"/>
      <c r="E169" s="47"/>
      <c r="G169" s="47"/>
      <c r="I169" s="47"/>
    </row>
    <row r="170" spans="1:9" ht="15.5" x14ac:dyDescent="0.35">
      <c r="A170" s="45"/>
      <c r="C170" s="47"/>
      <c r="E170" s="47"/>
      <c r="G170" s="47"/>
      <c r="I170" s="47"/>
    </row>
    <row r="171" spans="1:9" ht="15.5" x14ac:dyDescent="0.35">
      <c r="A171" s="45"/>
      <c r="C171" s="47"/>
      <c r="E171" s="47"/>
      <c r="G171" s="47"/>
      <c r="I171" s="47"/>
    </row>
    <row r="172" spans="1:9" ht="15.5" x14ac:dyDescent="0.35">
      <c r="A172" s="45"/>
      <c r="C172" s="47"/>
      <c r="E172" s="47"/>
      <c r="G172" s="47"/>
      <c r="I172" s="47"/>
    </row>
    <row r="173" spans="1:9" ht="15.5" x14ac:dyDescent="0.35">
      <c r="A173" s="45"/>
      <c r="C173" s="47"/>
      <c r="E173" s="47"/>
      <c r="G173" s="47"/>
      <c r="I173" s="47"/>
    </row>
    <row r="174" spans="1:9" ht="15.5" x14ac:dyDescent="0.35">
      <c r="A174" s="45"/>
      <c r="C174" s="47"/>
      <c r="E174" s="47"/>
      <c r="G174" s="47"/>
      <c r="I174" s="47"/>
    </row>
    <row r="175" spans="1:9" ht="15.5" x14ac:dyDescent="0.35">
      <c r="A175" s="45"/>
      <c r="C175" s="47"/>
      <c r="E175" s="47"/>
      <c r="G175" s="47"/>
      <c r="I175" s="47"/>
    </row>
    <row r="176" spans="1:9" ht="15.5" x14ac:dyDescent="0.35">
      <c r="A176" s="45"/>
      <c r="C176" s="47"/>
      <c r="E176" s="47"/>
      <c r="G176" s="47"/>
      <c r="I176" s="47"/>
    </row>
    <row r="177" spans="1:9" ht="15.5" x14ac:dyDescent="0.35">
      <c r="A177" s="45"/>
      <c r="C177" s="47"/>
      <c r="E177" s="47"/>
      <c r="G177" s="47"/>
      <c r="I177" s="47"/>
    </row>
    <row r="178" spans="1:9" ht="15.5" x14ac:dyDescent="0.35">
      <c r="A178" s="45"/>
      <c r="C178" s="47"/>
      <c r="E178" s="47"/>
      <c r="G178" s="47"/>
      <c r="I178" s="47"/>
    </row>
    <row r="179" spans="1:9" ht="15.5" x14ac:dyDescent="0.35">
      <c r="A179" s="45"/>
      <c r="C179" s="47"/>
      <c r="E179" s="47"/>
      <c r="G179" s="47"/>
      <c r="I179" s="47"/>
    </row>
    <row r="180" spans="1:9" ht="15.5" x14ac:dyDescent="0.35">
      <c r="A180" s="45"/>
      <c r="C180" s="47"/>
      <c r="E180" s="47"/>
      <c r="G180" s="47"/>
      <c r="I180" s="47"/>
    </row>
    <row r="181" spans="1:9" ht="15.5" x14ac:dyDescent="0.35">
      <c r="A181" s="45"/>
      <c r="C181" s="47"/>
      <c r="E181" s="47"/>
      <c r="G181" s="47"/>
      <c r="I181" s="47"/>
    </row>
    <row r="182" spans="1:9" ht="15.5" x14ac:dyDescent="0.35">
      <c r="A182" s="45"/>
      <c r="C182" s="47"/>
      <c r="E182" s="47"/>
      <c r="G182" s="47"/>
      <c r="I182" s="47"/>
    </row>
    <row r="183" spans="1:9" ht="15.5" x14ac:dyDescent="0.35">
      <c r="A183" s="45"/>
      <c r="C183" s="47"/>
      <c r="E183" s="47"/>
      <c r="G183" s="47"/>
      <c r="I183" s="47"/>
    </row>
    <row r="184" spans="1:9" ht="15.5" x14ac:dyDescent="0.35">
      <c r="A184" s="45"/>
      <c r="C184" s="47"/>
      <c r="E184" s="47"/>
      <c r="G184" s="47"/>
      <c r="I184" s="47"/>
    </row>
    <row r="185" spans="1:9" ht="15.5" x14ac:dyDescent="0.35">
      <c r="A185" s="45"/>
      <c r="C185" s="47"/>
      <c r="E185" s="47"/>
      <c r="G185" s="47"/>
      <c r="I185" s="47"/>
    </row>
    <row r="186" spans="1:9" ht="15.5" x14ac:dyDescent="0.35">
      <c r="A186" s="45"/>
      <c r="C186" s="47"/>
      <c r="E186" s="47"/>
      <c r="G186" s="47"/>
      <c r="I186" s="47"/>
    </row>
    <row r="187" spans="1:9" ht="15.5" x14ac:dyDescent="0.35">
      <c r="A187" s="45"/>
      <c r="C187" s="47"/>
      <c r="E187" s="47"/>
      <c r="G187" s="47"/>
      <c r="I187" s="47"/>
    </row>
    <row r="188" spans="1:9" ht="15.5" x14ac:dyDescent="0.35">
      <c r="A188" s="45"/>
      <c r="C188" s="47"/>
      <c r="E188" s="47"/>
      <c r="G188" s="47"/>
      <c r="I188" s="47"/>
    </row>
    <row r="189" spans="1:9" ht="15.5" x14ac:dyDescent="0.35">
      <c r="A189" s="45"/>
      <c r="C189" s="47"/>
      <c r="E189" s="47"/>
      <c r="G189" s="47"/>
      <c r="I189" s="47"/>
    </row>
    <row r="190" spans="1:9" ht="15.5" x14ac:dyDescent="0.35">
      <c r="A190" s="45"/>
      <c r="C190" s="47"/>
      <c r="E190" s="47"/>
      <c r="G190" s="47"/>
      <c r="I190" s="47"/>
    </row>
    <row r="191" spans="1:9" ht="15.5" x14ac:dyDescent="0.35">
      <c r="A191" s="45"/>
      <c r="C191" s="47"/>
      <c r="E191" s="47"/>
      <c r="G191" s="47"/>
      <c r="I191" s="47"/>
    </row>
    <row r="192" spans="1:9" ht="15.5" x14ac:dyDescent="0.35">
      <c r="A192" s="45"/>
      <c r="C192" s="47"/>
      <c r="E192" s="47"/>
      <c r="G192" s="47"/>
      <c r="I192" s="47"/>
    </row>
    <row r="193" spans="1:9" ht="15.5" x14ac:dyDescent="0.35">
      <c r="A193" s="45"/>
      <c r="C193" s="47"/>
      <c r="E193" s="47"/>
      <c r="G193" s="47"/>
      <c r="I193" s="47"/>
    </row>
    <row r="194" spans="1:9" ht="15.5" x14ac:dyDescent="0.35">
      <c r="A194" s="45"/>
      <c r="C194" s="47"/>
      <c r="E194" s="47"/>
      <c r="G194" s="47"/>
      <c r="I194" s="47"/>
    </row>
    <row r="195" spans="1:9" ht="15.5" x14ac:dyDescent="0.35">
      <c r="A195" s="45"/>
      <c r="C195" s="47"/>
      <c r="E195" s="47"/>
      <c r="G195" s="47"/>
      <c r="I195" s="47"/>
    </row>
    <row r="196" spans="1:9" ht="15.5" x14ac:dyDescent="0.35">
      <c r="A196" s="45"/>
      <c r="C196" s="47"/>
      <c r="E196" s="47"/>
      <c r="G196" s="47"/>
      <c r="I196" s="47"/>
    </row>
    <row r="197" spans="1:9" ht="15.5" x14ac:dyDescent="0.35">
      <c r="A197" s="45"/>
      <c r="C197" s="47"/>
      <c r="E197" s="47"/>
      <c r="G197" s="47"/>
      <c r="I197" s="47"/>
    </row>
    <row r="198" spans="1:9" ht="15.5" x14ac:dyDescent="0.35">
      <c r="A198" s="45"/>
      <c r="C198" s="47"/>
      <c r="E198" s="47"/>
      <c r="G198" s="47"/>
      <c r="I198" s="47"/>
    </row>
    <row r="199" spans="1:9" ht="15.5" x14ac:dyDescent="0.35">
      <c r="A199" s="45"/>
      <c r="C199" s="47"/>
      <c r="E199" s="47"/>
      <c r="G199" s="47"/>
      <c r="I199" s="47"/>
    </row>
    <row r="200" spans="1:9" ht="15.5" x14ac:dyDescent="0.35">
      <c r="A200" s="45"/>
      <c r="C200" s="47"/>
      <c r="E200" s="47"/>
      <c r="G200" s="47"/>
      <c r="I200" s="47"/>
    </row>
    <row r="201" spans="1:9" ht="15.5" x14ac:dyDescent="0.35">
      <c r="A201" s="45"/>
      <c r="C201" s="47"/>
      <c r="E201" s="47"/>
      <c r="G201" s="47"/>
      <c r="I201" s="47"/>
    </row>
    <row r="202" spans="1:9" ht="15.5" x14ac:dyDescent="0.35">
      <c r="A202" s="45"/>
      <c r="C202" s="47"/>
      <c r="E202" s="47"/>
      <c r="G202" s="47"/>
      <c r="I202" s="47"/>
    </row>
    <row r="203" spans="1:9" ht="15.5" x14ac:dyDescent="0.35">
      <c r="A203" s="45"/>
      <c r="C203" s="47"/>
      <c r="E203" s="47"/>
      <c r="G203" s="47"/>
      <c r="I203" s="47"/>
    </row>
    <row r="204" spans="1:9" ht="15.5" x14ac:dyDescent="0.35">
      <c r="A204" s="45"/>
      <c r="C204" s="47"/>
      <c r="E204" s="47"/>
      <c r="G204" s="47"/>
      <c r="I204" s="47"/>
    </row>
    <row r="205" spans="1:9" ht="15.5" x14ac:dyDescent="0.35">
      <c r="A205" s="45"/>
      <c r="C205" s="47"/>
      <c r="E205" s="47"/>
      <c r="G205" s="47"/>
      <c r="I205" s="47"/>
    </row>
    <row r="206" spans="1:9" ht="15.5" x14ac:dyDescent="0.35">
      <c r="A206" s="45"/>
      <c r="C206" s="47"/>
      <c r="E206" s="47"/>
      <c r="G206" s="47"/>
      <c r="I206" s="47"/>
    </row>
    <row r="207" spans="1:9" ht="15.5" x14ac:dyDescent="0.35">
      <c r="A207" s="45"/>
      <c r="C207" s="47"/>
      <c r="E207" s="47"/>
      <c r="G207" s="47"/>
      <c r="I207" s="47"/>
    </row>
    <row r="208" spans="1:9" ht="15.5" x14ac:dyDescent="0.35">
      <c r="A208" s="45"/>
      <c r="C208" s="47"/>
      <c r="E208" s="47"/>
      <c r="G208" s="47"/>
      <c r="I208" s="47"/>
    </row>
    <row r="209" spans="1:9" ht="15.5" x14ac:dyDescent="0.35">
      <c r="A209" s="45"/>
      <c r="C209" s="47"/>
      <c r="E209" s="47"/>
      <c r="G209" s="47"/>
      <c r="I209" s="47"/>
    </row>
    <row r="210" spans="1:9" ht="15.5" x14ac:dyDescent="0.35">
      <c r="A210" s="45"/>
      <c r="C210" s="47"/>
      <c r="E210" s="47"/>
      <c r="G210" s="47"/>
      <c r="I210" s="47"/>
    </row>
    <row r="211" spans="1:9" ht="15.5" x14ac:dyDescent="0.35">
      <c r="A211" s="45"/>
      <c r="C211" s="47"/>
      <c r="E211" s="47"/>
      <c r="G211" s="47"/>
      <c r="I211" s="47"/>
    </row>
    <row r="212" spans="1:9" ht="15.5" x14ac:dyDescent="0.35">
      <c r="A212" s="45"/>
      <c r="C212" s="47"/>
      <c r="E212" s="47"/>
      <c r="G212" s="47"/>
      <c r="I212" s="47"/>
    </row>
    <row r="213" spans="1:9" ht="15.5" x14ac:dyDescent="0.35">
      <c r="A213" s="45"/>
      <c r="C213" s="47"/>
      <c r="E213" s="47"/>
      <c r="G213" s="47"/>
      <c r="I213" s="47"/>
    </row>
    <row r="214" spans="1:9" ht="15.5" x14ac:dyDescent="0.35">
      <c r="A214" s="45"/>
      <c r="C214" s="47"/>
      <c r="E214" s="47"/>
      <c r="G214" s="47"/>
      <c r="I214" s="47"/>
    </row>
    <row r="215" spans="1:9" ht="15.5" x14ac:dyDescent="0.35">
      <c r="A215" s="45"/>
      <c r="C215" s="47"/>
      <c r="E215" s="47"/>
      <c r="G215" s="47"/>
      <c r="I215" s="47"/>
    </row>
    <row r="216" spans="1:9" ht="15.5" x14ac:dyDescent="0.35">
      <c r="A216" s="45"/>
      <c r="C216" s="47"/>
      <c r="E216" s="47"/>
      <c r="G216" s="47"/>
      <c r="I216" s="47"/>
    </row>
    <row r="217" spans="1:9" ht="15.5" x14ac:dyDescent="0.35">
      <c r="A217" s="45"/>
      <c r="C217" s="47"/>
      <c r="E217" s="47"/>
      <c r="G217" s="47"/>
      <c r="I217" s="47"/>
    </row>
    <row r="218" spans="1:9" ht="15.5" x14ac:dyDescent="0.35">
      <c r="A218" s="45"/>
      <c r="C218" s="47"/>
      <c r="E218" s="47"/>
      <c r="G218" s="47"/>
      <c r="I218" s="47"/>
    </row>
    <row r="219" spans="1:9" ht="15.5" x14ac:dyDescent="0.35">
      <c r="A219" s="45"/>
      <c r="C219" s="47"/>
      <c r="E219" s="47"/>
      <c r="G219" s="47"/>
      <c r="I219" s="47"/>
    </row>
    <row r="220" spans="1:9" ht="15.5" x14ac:dyDescent="0.35">
      <c r="A220" s="45"/>
      <c r="C220" s="47"/>
      <c r="E220" s="47"/>
      <c r="G220" s="47"/>
      <c r="I220" s="47"/>
    </row>
    <row r="221" spans="1:9" ht="15.5" x14ac:dyDescent="0.35">
      <c r="A221" s="45"/>
      <c r="C221" s="47"/>
      <c r="E221" s="47"/>
      <c r="G221" s="47"/>
      <c r="I221" s="47"/>
    </row>
    <row r="222" spans="1:9" ht="15.5" x14ac:dyDescent="0.35">
      <c r="A222" s="45"/>
      <c r="C222" s="47"/>
      <c r="E222" s="47"/>
      <c r="G222" s="47"/>
      <c r="I222" s="47"/>
    </row>
    <row r="223" spans="1:9" ht="15.5" x14ac:dyDescent="0.35">
      <c r="A223" s="45"/>
      <c r="C223" s="47"/>
      <c r="E223" s="47"/>
      <c r="G223" s="47"/>
      <c r="I223" s="47"/>
    </row>
    <row r="224" spans="1:9" ht="15.5" x14ac:dyDescent="0.35">
      <c r="A224" s="45"/>
      <c r="C224" s="47"/>
      <c r="E224" s="47"/>
      <c r="G224" s="47"/>
      <c r="I224" s="47"/>
    </row>
    <row r="225" spans="1:9" ht="15.5" x14ac:dyDescent="0.35">
      <c r="A225" s="45"/>
      <c r="C225" s="47"/>
      <c r="E225" s="47"/>
      <c r="G225" s="47"/>
      <c r="I225" s="47"/>
    </row>
    <row r="226" spans="1:9" ht="15.5" x14ac:dyDescent="0.35">
      <c r="A226" s="45"/>
      <c r="C226" s="47"/>
      <c r="E226" s="47"/>
      <c r="G226" s="47"/>
      <c r="I226" s="47"/>
    </row>
    <row r="227" spans="1:9" ht="15.5" x14ac:dyDescent="0.35">
      <c r="A227" s="45"/>
      <c r="C227" s="47"/>
      <c r="E227" s="47"/>
      <c r="G227" s="47"/>
      <c r="I227" s="47"/>
    </row>
    <row r="228" spans="1:9" ht="15.5" x14ac:dyDescent="0.35">
      <c r="A228" s="45"/>
      <c r="C228" s="47"/>
      <c r="E228" s="47"/>
      <c r="G228" s="47"/>
      <c r="I228" s="47"/>
    </row>
    <row r="229" spans="1:9" ht="15.5" x14ac:dyDescent="0.35">
      <c r="A229" s="45"/>
      <c r="C229" s="47"/>
      <c r="E229" s="47"/>
      <c r="G229" s="47"/>
      <c r="I229" s="47"/>
    </row>
    <row r="230" spans="1:9" ht="15.5" x14ac:dyDescent="0.35">
      <c r="A230" s="45"/>
      <c r="C230" s="47"/>
      <c r="E230" s="47"/>
      <c r="G230" s="47"/>
      <c r="I230" s="47"/>
    </row>
    <row r="231" spans="1:9" ht="15.5" x14ac:dyDescent="0.35">
      <c r="A231" s="45"/>
      <c r="C231" s="47"/>
      <c r="E231" s="47"/>
      <c r="G231" s="47"/>
      <c r="I231" s="47"/>
    </row>
    <row r="232" spans="1:9" ht="15.5" x14ac:dyDescent="0.35">
      <c r="A232" s="45"/>
      <c r="C232" s="47"/>
      <c r="E232" s="47"/>
      <c r="G232" s="47"/>
      <c r="I232" s="47"/>
    </row>
    <row r="233" spans="1:9" ht="15.5" x14ac:dyDescent="0.35">
      <c r="A233" s="45"/>
      <c r="C233" s="47"/>
      <c r="E233" s="47"/>
      <c r="G233" s="47"/>
      <c r="I233" s="47"/>
    </row>
    <row r="234" spans="1:9" ht="15.5" x14ac:dyDescent="0.35">
      <c r="A234" s="45"/>
      <c r="C234" s="47"/>
      <c r="E234" s="47"/>
      <c r="G234" s="47"/>
      <c r="I234" s="47"/>
    </row>
    <row r="235" spans="1:9" ht="15.5" x14ac:dyDescent="0.35">
      <c r="A235" s="45"/>
      <c r="C235" s="47"/>
      <c r="E235" s="47"/>
      <c r="G235" s="47"/>
      <c r="I235" s="47"/>
    </row>
    <row r="236" spans="1:9" ht="15.5" x14ac:dyDescent="0.35">
      <c r="A236" s="45"/>
      <c r="C236" s="47"/>
      <c r="E236" s="47"/>
      <c r="G236" s="47"/>
      <c r="I236" s="47"/>
    </row>
    <row r="237" spans="1:9" ht="15.5" x14ac:dyDescent="0.35">
      <c r="A237" s="45"/>
      <c r="C237" s="47"/>
      <c r="E237" s="47"/>
      <c r="G237" s="47"/>
      <c r="I237" s="47"/>
    </row>
    <row r="238" spans="1:9" ht="15.5" x14ac:dyDescent="0.35">
      <c r="A238" s="45"/>
      <c r="C238" s="47"/>
      <c r="E238" s="47"/>
      <c r="G238" s="47"/>
      <c r="I238" s="47"/>
    </row>
    <row r="239" spans="1:9" ht="15.5" x14ac:dyDescent="0.35">
      <c r="A239" s="45"/>
      <c r="C239" s="47"/>
      <c r="E239" s="47"/>
      <c r="G239" s="47"/>
      <c r="I239" s="47"/>
    </row>
    <row r="240" spans="1:9" ht="15.5" x14ac:dyDescent="0.35">
      <c r="A240" s="45"/>
      <c r="C240" s="47"/>
      <c r="E240" s="47"/>
      <c r="G240" s="47"/>
      <c r="I240" s="47"/>
    </row>
    <row r="241" spans="1:9" ht="15.5" x14ac:dyDescent="0.35">
      <c r="A241" s="45"/>
      <c r="C241" s="47"/>
      <c r="E241" s="47"/>
      <c r="G241" s="47"/>
      <c r="I241" s="47"/>
    </row>
    <row r="242" spans="1:9" ht="15.5" x14ac:dyDescent="0.35">
      <c r="A242" s="45"/>
      <c r="C242" s="47"/>
      <c r="E242" s="47"/>
      <c r="G242" s="47"/>
      <c r="I242" s="47"/>
    </row>
    <row r="243" spans="1:9" ht="15.5" x14ac:dyDescent="0.35">
      <c r="A243" s="45"/>
      <c r="C243" s="47"/>
      <c r="E243" s="47"/>
      <c r="G243" s="47"/>
      <c r="I243" s="47"/>
    </row>
    <row r="244" spans="1:9" ht="15.5" x14ac:dyDescent="0.35">
      <c r="A244" s="45"/>
      <c r="C244" s="47"/>
      <c r="E244" s="47"/>
      <c r="G244" s="47"/>
      <c r="I244" s="47"/>
    </row>
    <row r="245" spans="1:9" ht="15.5" x14ac:dyDescent="0.35">
      <c r="A245" s="45"/>
      <c r="C245" s="47"/>
      <c r="E245" s="47"/>
      <c r="G245" s="47"/>
      <c r="I245" s="47"/>
    </row>
    <row r="246" spans="1:9" ht="15.5" x14ac:dyDescent="0.35">
      <c r="A246" s="45"/>
      <c r="C246" s="47"/>
      <c r="E246" s="47"/>
      <c r="G246" s="47"/>
      <c r="I246" s="47"/>
    </row>
    <row r="247" spans="1:9" ht="15.5" x14ac:dyDescent="0.35">
      <c r="A247" s="45"/>
      <c r="C247" s="47"/>
      <c r="E247" s="47"/>
      <c r="G247" s="47"/>
      <c r="I247" s="47"/>
    </row>
    <row r="248" spans="1:9" ht="15.5" x14ac:dyDescent="0.35">
      <c r="A248" s="45"/>
      <c r="C248" s="47"/>
      <c r="E248" s="47"/>
      <c r="G248" s="47"/>
      <c r="I248" s="47"/>
    </row>
    <row r="249" spans="1:9" ht="15.5" x14ac:dyDescent="0.35">
      <c r="A249" s="45"/>
      <c r="C249" s="47"/>
      <c r="E249" s="47"/>
      <c r="G249" s="47"/>
      <c r="I249" s="47"/>
    </row>
    <row r="250" spans="1:9" ht="15.5" x14ac:dyDescent="0.35">
      <c r="A250" s="45"/>
      <c r="C250" s="47"/>
      <c r="E250" s="47"/>
      <c r="G250" s="47"/>
      <c r="I250" s="47"/>
    </row>
    <row r="251" spans="1:9" ht="15.5" x14ac:dyDescent="0.35">
      <c r="A251" s="45"/>
      <c r="C251" s="47"/>
      <c r="E251" s="47"/>
      <c r="G251" s="47"/>
      <c r="I251" s="47"/>
    </row>
    <row r="252" spans="1:9" ht="15.5" x14ac:dyDescent="0.35">
      <c r="A252" s="45"/>
      <c r="C252" s="47"/>
      <c r="E252" s="47"/>
      <c r="G252" s="47"/>
      <c r="I252" s="47"/>
    </row>
    <row r="253" spans="1:9" ht="15.5" x14ac:dyDescent="0.35">
      <c r="A253" s="45"/>
      <c r="C253" s="47"/>
      <c r="E253" s="47"/>
      <c r="G253" s="47"/>
      <c r="I253" s="47"/>
    </row>
    <row r="254" spans="1:9" ht="15.5" x14ac:dyDescent="0.35">
      <c r="A254" s="45"/>
      <c r="C254" s="47"/>
      <c r="E254" s="47"/>
      <c r="G254" s="47"/>
      <c r="I254" s="47"/>
    </row>
    <row r="255" spans="1:9" ht="15.5" x14ac:dyDescent="0.35">
      <c r="A255" s="45"/>
      <c r="C255" s="47"/>
      <c r="E255" s="47"/>
      <c r="G255" s="47"/>
      <c r="I255" s="47"/>
    </row>
    <row r="256" spans="1:9" ht="15.5" x14ac:dyDescent="0.35">
      <c r="A256" s="45"/>
      <c r="C256" s="47"/>
      <c r="E256" s="47"/>
      <c r="G256" s="47"/>
      <c r="I256" s="47"/>
    </row>
    <row r="257" spans="1:9" ht="15.5" x14ac:dyDescent="0.35">
      <c r="A257" s="45"/>
      <c r="C257" s="47"/>
      <c r="E257" s="47"/>
      <c r="G257" s="47"/>
      <c r="I257" s="47"/>
    </row>
    <row r="258" spans="1:9" ht="15.5" x14ac:dyDescent="0.35">
      <c r="A258" s="45"/>
      <c r="C258" s="47"/>
      <c r="E258" s="47"/>
      <c r="G258" s="47"/>
      <c r="I258" s="47"/>
    </row>
    <row r="259" spans="1:9" ht="15.5" x14ac:dyDescent="0.35">
      <c r="A259" s="45"/>
      <c r="C259" s="47"/>
      <c r="E259" s="47"/>
      <c r="G259" s="47"/>
      <c r="I259" s="47"/>
    </row>
    <row r="260" spans="1:9" ht="15.5" x14ac:dyDescent="0.35">
      <c r="A260" s="45"/>
      <c r="C260" s="47"/>
      <c r="E260" s="47"/>
      <c r="G260" s="47"/>
      <c r="I260" s="47"/>
    </row>
    <row r="261" spans="1:9" ht="15.5" x14ac:dyDescent="0.35">
      <c r="A261" s="45"/>
      <c r="C261" s="47"/>
      <c r="E261" s="47"/>
      <c r="G261" s="47"/>
      <c r="I261" s="47"/>
    </row>
    <row r="262" spans="1:9" ht="15.5" x14ac:dyDescent="0.35">
      <c r="A262" s="45"/>
      <c r="C262" s="47"/>
      <c r="E262" s="47"/>
      <c r="G262" s="47"/>
      <c r="I262" s="47"/>
    </row>
    <row r="263" spans="1:9" ht="15.5" x14ac:dyDescent="0.35">
      <c r="A263" s="45"/>
      <c r="C263" s="47"/>
      <c r="E263" s="47"/>
      <c r="G263" s="47"/>
      <c r="I263" s="47"/>
    </row>
    <row r="264" spans="1:9" ht="15.5" x14ac:dyDescent="0.35">
      <c r="A264" s="45"/>
      <c r="C264" s="47"/>
      <c r="E264" s="47"/>
      <c r="G264" s="47"/>
      <c r="I264" s="47"/>
    </row>
    <row r="265" spans="1:9" ht="15.5" x14ac:dyDescent="0.35">
      <c r="A265" s="45"/>
      <c r="C265" s="47"/>
      <c r="E265" s="47"/>
      <c r="G265" s="47"/>
      <c r="I265" s="47"/>
    </row>
    <row r="266" spans="1:9" ht="15.5" x14ac:dyDescent="0.35">
      <c r="A266" s="45"/>
      <c r="C266" s="47"/>
      <c r="E266" s="47"/>
      <c r="G266" s="47"/>
      <c r="I266" s="47"/>
    </row>
    <row r="267" spans="1:9" ht="15.5" x14ac:dyDescent="0.35">
      <c r="A267" s="45"/>
      <c r="C267" s="47"/>
      <c r="E267" s="47"/>
      <c r="G267" s="47"/>
      <c r="I267" s="47"/>
    </row>
    <row r="268" spans="1:9" ht="15.5" x14ac:dyDescent="0.35">
      <c r="A268" s="45"/>
      <c r="C268" s="47"/>
      <c r="E268" s="47"/>
      <c r="G268" s="47"/>
      <c r="I268" s="47"/>
    </row>
    <row r="269" spans="1:9" ht="15.5" x14ac:dyDescent="0.35">
      <c r="A269" s="45"/>
      <c r="C269" s="47"/>
      <c r="E269" s="47"/>
      <c r="G269" s="47"/>
      <c r="I269" s="47"/>
    </row>
    <row r="270" spans="1:9" ht="15.5" x14ac:dyDescent="0.35">
      <c r="A270" s="45"/>
      <c r="C270" s="47"/>
      <c r="E270" s="47"/>
      <c r="G270" s="47"/>
      <c r="I270" s="47"/>
    </row>
    <row r="271" spans="1:9" ht="15.5" x14ac:dyDescent="0.35">
      <c r="A271" s="45"/>
      <c r="C271" s="47"/>
      <c r="E271" s="47"/>
      <c r="G271" s="47"/>
      <c r="I271" s="47"/>
    </row>
    <row r="272" spans="1:9" ht="15.5" x14ac:dyDescent="0.35">
      <c r="A272" s="45"/>
      <c r="C272" s="47"/>
      <c r="E272" s="47"/>
      <c r="G272" s="47"/>
      <c r="I272" s="47"/>
    </row>
    <row r="273" spans="1:9" ht="15.5" x14ac:dyDescent="0.35">
      <c r="A273" s="45"/>
      <c r="C273" s="47"/>
      <c r="E273" s="47"/>
      <c r="G273" s="47"/>
      <c r="I273" s="47"/>
    </row>
    <row r="274" spans="1:9" ht="15.5" x14ac:dyDescent="0.35">
      <c r="A274" s="45"/>
      <c r="C274" s="47"/>
      <c r="E274" s="47"/>
      <c r="G274" s="47"/>
      <c r="I274" s="47"/>
    </row>
    <row r="275" spans="1:9" ht="15.5" x14ac:dyDescent="0.35">
      <c r="A275" s="45"/>
      <c r="C275" s="47"/>
      <c r="E275" s="47"/>
      <c r="G275" s="47"/>
      <c r="I275" s="47"/>
    </row>
    <row r="276" spans="1:9" ht="15.5" x14ac:dyDescent="0.35">
      <c r="A276" s="45"/>
      <c r="C276" s="47"/>
      <c r="E276" s="47"/>
      <c r="G276" s="47"/>
      <c r="I276" s="47"/>
    </row>
    <row r="277" spans="1:9" ht="15.5" x14ac:dyDescent="0.35">
      <c r="A277" s="45"/>
      <c r="C277" s="47"/>
      <c r="E277" s="47"/>
      <c r="G277" s="47"/>
      <c r="I277" s="47"/>
    </row>
    <row r="278" spans="1:9" ht="15.5" x14ac:dyDescent="0.35">
      <c r="A278" s="45"/>
      <c r="C278" s="47"/>
      <c r="E278" s="47"/>
      <c r="G278" s="47"/>
      <c r="I278" s="47"/>
    </row>
    <row r="279" spans="1:9" ht="15.5" x14ac:dyDescent="0.35">
      <c r="A279" s="45"/>
      <c r="C279" s="47"/>
      <c r="E279" s="47"/>
      <c r="G279" s="47"/>
      <c r="I279" s="47"/>
    </row>
    <row r="280" spans="1:9" ht="15.5" x14ac:dyDescent="0.35">
      <c r="A280" s="45"/>
      <c r="C280" s="47"/>
      <c r="E280" s="47"/>
      <c r="G280" s="47"/>
      <c r="I280" s="47"/>
    </row>
    <row r="281" spans="1:9" ht="15.5" x14ac:dyDescent="0.35">
      <c r="A281" s="45"/>
      <c r="C281" s="47"/>
      <c r="E281" s="47"/>
      <c r="G281" s="47"/>
      <c r="I281" s="47"/>
    </row>
    <row r="282" spans="1:9" ht="15.5" x14ac:dyDescent="0.35">
      <c r="A282" s="45"/>
      <c r="C282" s="47"/>
      <c r="E282" s="47"/>
      <c r="G282" s="47"/>
      <c r="I282" s="47"/>
    </row>
    <row r="283" spans="1:9" ht="15.5" x14ac:dyDescent="0.35">
      <c r="A283" s="45"/>
      <c r="C283" s="47"/>
      <c r="E283" s="47"/>
      <c r="G283" s="47"/>
      <c r="I283" s="47"/>
    </row>
    <row r="284" spans="1:9" ht="15.5" x14ac:dyDescent="0.35">
      <c r="A284" s="45"/>
      <c r="C284" s="47"/>
      <c r="E284" s="47"/>
      <c r="G284" s="47"/>
      <c r="I284" s="47"/>
    </row>
    <row r="285" spans="1:9" ht="15.5" x14ac:dyDescent="0.35">
      <c r="A285" s="45"/>
      <c r="C285" s="47"/>
      <c r="E285" s="47"/>
      <c r="G285" s="47"/>
      <c r="I285" s="47"/>
    </row>
    <row r="286" spans="1:9" ht="15.5" x14ac:dyDescent="0.35">
      <c r="A286" s="45"/>
      <c r="C286" s="47"/>
      <c r="E286" s="47"/>
      <c r="G286" s="47"/>
      <c r="I286" s="47"/>
    </row>
    <row r="287" spans="1:9" ht="15.5" x14ac:dyDescent="0.35">
      <c r="A287" s="45"/>
      <c r="C287" s="47"/>
      <c r="E287" s="47"/>
      <c r="G287" s="47"/>
      <c r="I287" s="47"/>
    </row>
    <row r="288" spans="1:9" ht="15.5" x14ac:dyDescent="0.35">
      <c r="A288" s="45"/>
      <c r="C288" s="47"/>
      <c r="E288" s="47"/>
      <c r="G288" s="47"/>
      <c r="I288" s="47"/>
    </row>
    <row r="289" spans="1:9" ht="15.5" x14ac:dyDescent="0.35">
      <c r="A289" s="45"/>
      <c r="C289" s="47"/>
      <c r="E289" s="47"/>
      <c r="G289" s="47"/>
      <c r="I289" s="47"/>
    </row>
    <row r="290" spans="1:9" ht="15.5" x14ac:dyDescent="0.35">
      <c r="A290" s="45"/>
      <c r="C290" s="47"/>
      <c r="E290" s="47"/>
      <c r="G290" s="47"/>
      <c r="I290" s="47"/>
    </row>
    <row r="291" spans="1:9" ht="15.5" x14ac:dyDescent="0.35">
      <c r="A291" s="45"/>
      <c r="C291" s="47"/>
      <c r="E291" s="47"/>
      <c r="G291" s="47"/>
      <c r="I291" s="47"/>
    </row>
    <row r="292" spans="1:9" ht="15.5" x14ac:dyDescent="0.35">
      <c r="A292" s="45"/>
      <c r="C292" s="47"/>
      <c r="E292" s="47"/>
      <c r="G292" s="47"/>
      <c r="I292" s="47"/>
    </row>
    <row r="293" spans="1:9" ht="15.5" x14ac:dyDescent="0.35">
      <c r="A293" s="45"/>
      <c r="C293" s="47"/>
      <c r="E293" s="47"/>
      <c r="G293" s="47"/>
      <c r="I293" s="47"/>
    </row>
    <row r="294" spans="1:9" ht="15.5" x14ac:dyDescent="0.35">
      <c r="A294" s="45"/>
      <c r="C294" s="47"/>
      <c r="E294" s="47"/>
      <c r="G294" s="47"/>
      <c r="I294" s="47"/>
    </row>
    <row r="295" spans="1:9" ht="15.5" x14ac:dyDescent="0.35">
      <c r="A295" s="45"/>
      <c r="C295" s="47"/>
      <c r="E295" s="47"/>
      <c r="G295" s="47"/>
      <c r="I295" s="47"/>
    </row>
    <row r="296" spans="1:9" ht="15.5" x14ac:dyDescent="0.35">
      <c r="A296" s="45"/>
      <c r="C296" s="47"/>
      <c r="E296" s="47"/>
      <c r="G296" s="47"/>
      <c r="I296" s="47"/>
    </row>
    <row r="297" spans="1:9" ht="15.5" x14ac:dyDescent="0.35">
      <c r="A297" s="45"/>
      <c r="C297" s="47"/>
      <c r="E297" s="47"/>
      <c r="G297" s="47"/>
      <c r="I297" s="47"/>
    </row>
    <row r="298" spans="1:9" ht="15.5" x14ac:dyDescent="0.35">
      <c r="A298" s="45"/>
      <c r="C298" s="47"/>
      <c r="E298" s="47"/>
      <c r="G298" s="47"/>
      <c r="I298" s="47"/>
    </row>
    <row r="299" spans="1:9" ht="15.5" x14ac:dyDescent="0.35">
      <c r="A299" s="45"/>
      <c r="C299" s="47"/>
      <c r="E299" s="47"/>
      <c r="G299" s="47"/>
      <c r="I299" s="47"/>
    </row>
    <row r="300" spans="1:9" ht="15.5" x14ac:dyDescent="0.35">
      <c r="A300" s="45"/>
      <c r="C300" s="47"/>
      <c r="E300" s="47"/>
      <c r="G300" s="47"/>
      <c r="I300" s="47"/>
    </row>
    <row r="301" spans="1:9" ht="15.5" x14ac:dyDescent="0.35">
      <c r="A301" s="45"/>
      <c r="C301" s="47"/>
      <c r="E301" s="47"/>
      <c r="G301" s="47"/>
      <c r="I301" s="47"/>
    </row>
    <row r="302" spans="1:9" ht="15.5" x14ac:dyDescent="0.35">
      <c r="A302" s="45"/>
      <c r="C302" s="47"/>
      <c r="E302" s="47"/>
      <c r="G302" s="47"/>
      <c r="I302" s="47"/>
    </row>
    <row r="303" spans="1:9" ht="15.5" x14ac:dyDescent="0.35">
      <c r="A303" s="45"/>
      <c r="C303" s="47"/>
      <c r="E303" s="47"/>
      <c r="G303" s="47"/>
      <c r="I303" s="47"/>
    </row>
    <row r="304" spans="1:9" ht="15.5" x14ac:dyDescent="0.35">
      <c r="A304" s="45"/>
      <c r="C304" s="47"/>
      <c r="E304" s="47"/>
      <c r="G304" s="47"/>
      <c r="I304" s="47"/>
    </row>
    <row r="305" spans="1:9" ht="15.5" x14ac:dyDescent="0.35">
      <c r="A305" s="45"/>
      <c r="C305" s="47"/>
      <c r="E305" s="47"/>
      <c r="G305" s="47"/>
      <c r="I305" s="47"/>
    </row>
    <row r="306" spans="1:9" ht="15.5" x14ac:dyDescent="0.35">
      <c r="A306" s="45"/>
      <c r="C306" s="47"/>
      <c r="E306" s="47"/>
      <c r="G306" s="47"/>
      <c r="I306" s="47"/>
    </row>
    <row r="307" spans="1:9" ht="15.5" x14ac:dyDescent="0.35">
      <c r="A307" s="45"/>
      <c r="C307" s="47"/>
      <c r="E307" s="47"/>
      <c r="G307" s="47"/>
      <c r="I307" s="47"/>
    </row>
    <row r="308" spans="1:9" ht="15.5" x14ac:dyDescent="0.35">
      <c r="A308" s="45"/>
      <c r="C308" s="47"/>
      <c r="E308" s="47"/>
      <c r="G308" s="47"/>
      <c r="I308" s="47"/>
    </row>
    <row r="309" spans="1:9" ht="15.5" x14ac:dyDescent="0.35">
      <c r="A309" s="45"/>
      <c r="C309" s="47"/>
      <c r="E309" s="47"/>
      <c r="G309" s="47"/>
      <c r="I309" s="47"/>
    </row>
    <row r="310" spans="1:9" ht="15.5" x14ac:dyDescent="0.35">
      <c r="A310" s="45"/>
      <c r="C310" s="47"/>
      <c r="E310" s="47"/>
      <c r="G310" s="47"/>
      <c r="I310" s="47"/>
    </row>
    <row r="311" spans="1:9" ht="15.5" x14ac:dyDescent="0.35">
      <c r="A311" s="45"/>
      <c r="C311" s="47"/>
      <c r="E311" s="47"/>
      <c r="G311" s="47"/>
      <c r="I311" s="47"/>
    </row>
    <row r="312" spans="1:9" ht="15.5" x14ac:dyDescent="0.35">
      <c r="A312" s="45"/>
      <c r="C312" s="47"/>
      <c r="E312" s="47"/>
      <c r="G312" s="47"/>
      <c r="I312" s="47"/>
    </row>
    <row r="313" spans="1:9" ht="15.5" x14ac:dyDescent="0.35">
      <c r="A313" s="45"/>
      <c r="C313" s="47"/>
      <c r="E313" s="47"/>
      <c r="G313" s="47"/>
      <c r="I313" s="47"/>
    </row>
    <row r="314" spans="1:9" ht="15.5" x14ac:dyDescent="0.35">
      <c r="A314" s="45"/>
      <c r="C314" s="47"/>
      <c r="E314" s="47"/>
      <c r="G314" s="47"/>
      <c r="I314" s="47"/>
    </row>
    <row r="315" spans="1:9" ht="15.5" x14ac:dyDescent="0.35">
      <c r="A315" s="45"/>
      <c r="C315" s="47"/>
      <c r="E315" s="47"/>
      <c r="G315" s="47"/>
      <c r="I315" s="47"/>
    </row>
    <row r="316" spans="1:9" ht="15.5" x14ac:dyDescent="0.35">
      <c r="A316" s="45"/>
      <c r="C316" s="47"/>
      <c r="E316" s="47"/>
      <c r="G316" s="47"/>
      <c r="I316" s="47"/>
    </row>
    <row r="317" spans="1:9" ht="15.5" x14ac:dyDescent="0.35">
      <c r="A317" s="45"/>
      <c r="C317" s="47"/>
      <c r="E317" s="47"/>
      <c r="G317" s="47"/>
      <c r="I317" s="47"/>
    </row>
    <row r="318" spans="1:9" ht="15.5" x14ac:dyDescent="0.35">
      <c r="A318" s="45"/>
      <c r="C318" s="47"/>
      <c r="E318" s="47"/>
      <c r="G318" s="47"/>
      <c r="I318" s="47"/>
    </row>
    <row r="319" spans="1:9" ht="15.5" x14ac:dyDescent="0.35">
      <c r="A319" s="45"/>
      <c r="C319" s="47"/>
      <c r="E319" s="47"/>
      <c r="G319" s="47"/>
      <c r="I319" s="47"/>
    </row>
    <row r="320" spans="1:9" ht="15.5" x14ac:dyDescent="0.35">
      <c r="A320" s="45"/>
      <c r="C320" s="47"/>
      <c r="E320" s="47"/>
      <c r="G320" s="47"/>
      <c r="I320" s="47"/>
    </row>
    <row r="321" spans="1:9" ht="15.5" x14ac:dyDescent="0.35">
      <c r="A321" s="45"/>
      <c r="C321" s="47"/>
      <c r="E321" s="47"/>
      <c r="G321" s="47"/>
      <c r="I321" s="47"/>
    </row>
    <row r="322" spans="1:9" ht="15.5" x14ac:dyDescent="0.35">
      <c r="A322" s="45"/>
      <c r="C322" s="47"/>
      <c r="E322" s="47"/>
      <c r="G322" s="47"/>
      <c r="I322" s="47"/>
    </row>
    <row r="323" spans="1:9" ht="15.5" x14ac:dyDescent="0.35">
      <c r="A323" s="45"/>
      <c r="C323" s="47"/>
      <c r="E323" s="47"/>
      <c r="G323" s="47"/>
      <c r="I323" s="47"/>
    </row>
    <row r="324" spans="1:9" ht="15.5" x14ac:dyDescent="0.35">
      <c r="A324" s="45"/>
      <c r="C324" s="47"/>
      <c r="E324" s="47"/>
      <c r="G324" s="47"/>
      <c r="I324" s="47"/>
    </row>
    <row r="325" spans="1:9" ht="15.5" x14ac:dyDescent="0.35">
      <c r="A325" s="45"/>
      <c r="C325" s="47"/>
      <c r="E325" s="47"/>
      <c r="G325" s="47"/>
      <c r="I325" s="47"/>
    </row>
    <row r="326" spans="1:9" ht="15.5" x14ac:dyDescent="0.35">
      <c r="A326" s="45"/>
      <c r="C326" s="47"/>
      <c r="E326" s="47"/>
      <c r="G326" s="47"/>
      <c r="I326" s="47"/>
    </row>
    <row r="327" spans="1:9" ht="15.5" x14ac:dyDescent="0.35">
      <c r="A327" s="45"/>
      <c r="C327" s="47"/>
      <c r="E327" s="47"/>
      <c r="G327" s="47"/>
      <c r="I327" s="47"/>
    </row>
    <row r="328" spans="1:9" ht="15.5" x14ac:dyDescent="0.35">
      <c r="A328" s="45"/>
      <c r="C328" s="47"/>
      <c r="E328" s="47"/>
      <c r="G328" s="47"/>
      <c r="I328" s="47"/>
    </row>
    <row r="329" spans="1:9" ht="15.5" x14ac:dyDescent="0.35">
      <c r="A329" s="45"/>
      <c r="C329" s="47"/>
      <c r="E329" s="47"/>
      <c r="G329" s="47"/>
      <c r="I329" s="47"/>
    </row>
    <row r="330" spans="1:9" ht="15.5" x14ac:dyDescent="0.35">
      <c r="A330" s="45"/>
      <c r="C330" s="47"/>
      <c r="E330" s="47"/>
      <c r="G330" s="47"/>
      <c r="I330" s="47"/>
    </row>
    <row r="331" spans="1:9" ht="15.5" x14ac:dyDescent="0.35">
      <c r="A331" s="45"/>
      <c r="C331" s="47"/>
      <c r="E331" s="47"/>
      <c r="G331" s="47"/>
      <c r="I331" s="47"/>
    </row>
    <row r="332" spans="1:9" ht="15.5" x14ac:dyDescent="0.35">
      <c r="A332" s="45"/>
      <c r="C332" s="47"/>
      <c r="E332" s="47"/>
      <c r="G332" s="47"/>
      <c r="I332" s="47"/>
    </row>
    <row r="333" spans="1:9" ht="15.5" x14ac:dyDescent="0.35">
      <c r="A333" s="45"/>
      <c r="C333" s="47"/>
      <c r="E333" s="47"/>
      <c r="G333" s="47"/>
      <c r="I333" s="47"/>
    </row>
    <row r="334" spans="1:9" ht="15.5" x14ac:dyDescent="0.35">
      <c r="A334" s="45"/>
      <c r="C334" s="47"/>
      <c r="E334" s="47"/>
      <c r="G334" s="47"/>
      <c r="I334" s="47"/>
    </row>
    <row r="335" spans="1:9" ht="15.5" x14ac:dyDescent="0.35">
      <c r="A335" s="45"/>
      <c r="C335" s="47"/>
      <c r="E335" s="47"/>
      <c r="G335" s="47"/>
      <c r="I335" s="47"/>
    </row>
    <row r="336" spans="1:9" ht="15.5" x14ac:dyDescent="0.35">
      <c r="A336" s="45"/>
      <c r="C336" s="47"/>
      <c r="E336" s="47"/>
      <c r="G336" s="47"/>
      <c r="I336" s="47"/>
    </row>
    <row r="337" spans="1:9" ht="15.5" x14ac:dyDescent="0.35">
      <c r="A337" s="45"/>
      <c r="C337" s="47"/>
      <c r="E337" s="47"/>
      <c r="G337" s="47"/>
      <c r="I337" s="47"/>
    </row>
    <row r="338" spans="1:9" ht="15.5" x14ac:dyDescent="0.35">
      <c r="A338" s="45"/>
      <c r="C338" s="47"/>
      <c r="E338" s="47"/>
      <c r="G338" s="47"/>
      <c r="I338" s="47"/>
    </row>
    <row r="339" spans="1:9" ht="15.5" x14ac:dyDescent="0.35">
      <c r="A339" s="45"/>
      <c r="C339" s="47"/>
      <c r="E339" s="47"/>
      <c r="G339" s="47"/>
      <c r="I339" s="47"/>
    </row>
    <row r="340" spans="1:9" ht="15.5" x14ac:dyDescent="0.35">
      <c r="A340" s="45"/>
      <c r="C340" s="47"/>
      <c r="E340" s="47"/>
      <c r="G340" s="47"/>
      <c r="I340" s="47"/>
    </row>
    <row r="341" spans="1:9" ht="15.5" x14ac:dyDescent="0.35">
      <c r="A341" s="45"/>
      <c r="C341" s="47"/>
      <c r="E341" s="47"/>
      <c r="G341" s="47"/>
      <c r="I341" s="47"/>
    </row>
    <row r="342" spans="1:9" ht="15.5" x14ac:dyDescent="0.35">
      <c r="A342" s="45"/>
      <c r="C342" s="47"/>
      <c r="E342" s="47"/>
      <c r="G342" s="47"/>
      <c r="I342" s="47"/>
    </row>
    <row r="343" spans="1:9" ht="15.5" x14ac:dyDescent="0.35">
      <c r="A343" s="45"/>
      <c r="C343" s="47"/>
      <c r="E343" s="47"/>
      <c r="G343" s="47"/>
      <c r="I343" s="47"/>
    </row>
    <row r="344" spans="1:9" ht="15.5" x14ac:dyDescent="0.35">
      <c r="A344" s="45"/>
      <c r="C344" s="47"/>
      <c r="E344" s="47"/>
      <c r="G344" s="47"/>
      <c r="I344" s="47"/>
    </row>
    <row r="345" spans="1:9" ht="15.5" x14ac:dyDescent="0.35">
      <c r="A345" s="45"/>
      <c r="C345" s="47"/>
      <c r="E345" s="47"/>
      <c r="G345" s="47"/>
      <c r="I345" s="47"/>
    </row>
    <row r="346" spans="1:9" ht="15.5" x14ac:dyDescent="0.35">
      <c r="A346" s="45"/>
      <c r="C346" s="47"/>
      <c r="E346" s="47"/>
      <c r="G346" s="47"/>
      <c r="I346" s="47"/>
    </row>
    <row r="347" spans="1:9" ht="15.5" x14ac:dyDescent="0.35">
      <c r="A347" s="45"/>
      <c r="C347" s="47"/>
      <c r="E347" s="47"/>
      <c r="G347" s="47"/>
      <c r="I347" s="47"/>
    </row>
    <row r="348" spans="1:9" ht="15.5" x14ac:dyDescent="0.35">
      <c r="A348" s="45"/>
      <c r="C348" s="47"/>
      <c r="E348" s="47"/>
      <c r="G348" s="47"/>
      <c r="I348" s="47"/>
    </row>
    <row r="349" spans="1:9" ht="15.5" x14ac:dyDescent="0.35">
      <c r="A349" s="45"/>
      <c r="C349" s="47"/>
      <c r="E349" s="47"/>
      <c r="G349" s="47"/>
      <c r="I349" s="47"/>
    </row>
    <row r="350" spans="1:9" ht="15.5" x14ac:dyDescent="0.35">
      <c r="A350" s="45"/>
      <c r="C350" s="47"/>
      <c r="E350" s="47"/>
      <c r="G350" s="47"/>
      <c r="I350" s="47"/>
    </row>
    <row r="351" spans="1:9" ht="15.5" x14ac:dyDescent="0.35">
      <c r="A351" s="45"/>
      <c r="C351" s="47"/>
      <c r="E351" s="47"/>
      <c r="G351" s="47"/>
      <c r="I351" s="47"/>
    </row>
    <row r="352" spans="1:9" ht="15.5" x14ac:dyDescent="0.35">
      <c r="A352" s="45"/>
      <c r="C352" s="47"/>
      <c r="E352" s="47"/>
      <c r="G352" s="47"/>
      <c r="I352" s="47"/>
    </row>
    <row r="353" spans="1:9" ht="15.5" x14ac:dyDescent="0.35">
      <c r="A353" s="45"/>
      <c r="C353" s="47"/>
      <c r="E353" s="47"/>
      <c r="G353" s="47"/>
      <c r="I353" s="47"/>
    </row>
    <row r="354" spans="1:9" ht="15.5" x14ac:dyDescent="0.35">
      <c r="A354" s="45"/>
      <c r="C354" s="47"/>
      <c r="E354" s="47"/>
      <c r="G354" s="47"/>
      <c r="I354" s="47"/>
    </row>
    <row r="355" spans="1:9" ht="15.5" x14ac:dyDescent="0.35">
      <c r="A355" s="45"/>
      <c r="C355" s="47"/>
      <c r="E355" s="47"/>
      <c r="G355" s="47"/>
      <c r="I355" s="47"/>
    </row>
    <row r="356" spans="1:9" ht="15.5" x14ac:dyDescent="0.35">
      <c r="A356" s="45"/>
      <c r="C356" s="47"/>
      <c r="E356" s="47"/>
      <c r="G356" s="47"/>
      <c r="I356" s="47"/>
    </row>
    <row r="357" spans="1:9" ht="15.5" x14ac:dyDescent="0.35">
      <c r="A357" s="45"/>
      <c r="C357" s="47"/>
      <c r="E357" s="47"/>
      <c r="G357" s="47"/>
      <c r="I357" s="47"/>
    </row>
    <row r="358" spans="1:9" ht="15.5" x14ac:dyDescent="0.35">
      <c r="A358" s="45"/>
      <c r="C358" s="47"/>
      <c r="E358" s="47"/>
      <c r="G358" s="47"/>
      <c r="I358" s="47"/>
    </row>
    <row r="359" spans="1:9" ht="15.5" x14ac:dyDescent="0.35">
      <c r="A359" s="45"/>
      <c r="C359" s="47"/>
      <c r="E359" s="47"/>
      <c r="G359" s="47"/>
      <c r="I359" s="47"/>
    </row>
    <row r="360" spans="1:9" ht="15.5" x14ac:dyDescent="0.35">
      <c r="A360" s="45"/>
      <c r="C360" s="47"/>
      <c r="E360" s="47"/>
      <c r="G360" s="47"/>
      <c r="I360" s="47"/>
    </row>
    <row r="361" spans="1:9" ht="15.5" x14ac:dyDescent="0.35">
      <c r="A361" s="45"/>
      <c r="C361" s="47"/>
      <c r="E361" s="47"/>
      <c r="G361" s="47"/>
      <c r="I361" s="47"/>
    </row>
    <row r="362" spans="1:9" ht="15.5" x14ac:dyDescent="0.35">
      <c r="A362" s="45"/>
      <c r="C362" s="47"/>
      <c r="E362" s="47"/>
      <c r="G362" s="47"/>
      <c r="I362" s="47"/>
    </row>
    <row r="363" spans="1:9" ht="15.5" x14ac:dyDescent="0.35">
      <c r="A363" s="45"/>
      <c r="C363" s="47"/>
      <c r="E363" s="47"/>
      <c r="G363" s="47"/>
      <c r="I363" s="47"/>
    </row>
    <row r="364" spans="1:9" ht="15.5" x14ac:dyDescent="0.35">
      <c r="A364" s="45"/>
      <c r="C364" s="47"/>
      <c r="E364" s="47"/>
      <c r="G364" s="47"/>
      <c r="I364" s="47"/>
    </row>
    <row r="365" spans="1:9" ht="15.5" x14ac:dyDescent="0.35">
      <c r="A365" s="45"/>
      <c r="C365" s="47"/>
      <c r="E365" s="47"/>
      <c r="G365" s="47"/>
      <c r="I365" s="47"/>
    </row>
    <row r="366" spans="1:9" ht="15.5" x14ac:dyDescent="0.35">
      <c r="A366" s="45"/>
      <c r="C366" s="47"/>
      <c r="E366" s="47"/>
      <c r="G366" s="47"/>
      <c r="I366" s="47"/>
    </row>
    <row r="367" spans="1:9" ht="15.5" x14ac:dyDescent="0.35">
      <c r="A367" s="45"/>
      <c r="C367" s="47"/>
      <c r="E367" s="47"/>
      <c r="G367" s="47"/>
      <c r="I367" s="47"/>
    </row>
    <row r="368" spans="1:9" ht="15.5" x14ac:dyDescent="0.35">
      <c r="A368" s="45"/>
      <c r="C368" s="47"/>
      <c r="E368" s="47"/>
      <c r="G368" s="47"/>
      <c r="I368" s="47"/>
    </row>
    <row r="369" spans="1:9" ht="15.5" x14ac:dyDescent="0.35">
      <c r="A369" s="45"/>
      <c r="C369" s="47"/>
      <c r="E369" s="47"/>
      <c r="G369" s="47"/>
      <c r="I369" s="47"/>
    </row>
    <row r="370" spans="1:9" ht="15.5" x14ac:dyDescent="0.35">
      <c r="A370" s="45"/>
      <c r="C370" s="47"/>
      <c r="E370" s="47"/>
      <c r="G370" s="47"/>
      <c r="I370" s="47"/>
    </row>
    <row r="371" spans="1:9" ht="15.5" x14ac:dyDescent="0.35">
      <c r="A371" s="45"/>
      <c r="C371" s="47"/>
      <c r="E371" s="47"/>
      <c r="G371" s="47"/>
      <c r="I371" s="47"/>
    </row>
    <row r="372" spans="1:9" ht="15.5" x14ac:dyDescent="0.35">
      <c r="A372" s="45"/>
      <c r="C372" s="47"/>
      <c r="E372" s="47"/>
      <c r="G372" s="47"/>
      <c r="I372" s="47"/>
    </row>
    <row r="373" spans="1:9" ht="15.5" x14ac:dyDescent="0.35">
      <c r="A373" s="45"/>
      <c r="C373" s="47"/>
      <c r="E373" s="47"/>
      <c r="G373" s="47"/>
      <c r="I373" s="47"/>
    </row>
    <row r="374" spans="1:9" ht="15.5" x14ac:dyDescent="0.35">
      <c r="A374" s="45"/>
      <c r="C374" s="47"/>
      <c r="E374" s="47"/>
      <c r="G374" s="47"/>
      <c r="I374" s="47"/>
    </row>
    <row r="375" spans="1:9" ht="15.5" x14ac:dyDescent="0.35">
      <c r="A375" s="45"/>
    </row>
    <row r="376" spans="1:9" ht="15.5" x14ac:dyDescent="0.35">
      <c r="A376" s="45"/>
    </row>
    <row r="377" spans="1:9" ht="15.5" x14ac:dyDescent="0.35">
      <c r="A377" s="45"/>
    </row>
    <row r="378" spans="1:9" ht="15.5" x14ac:dyDescent="0.35">
      <c r="A378" s="45"/>
    </row>
    <row r="379" spans="1:9" ht="15.5" x14ac:dyDescent="0.35">
      <c r="A379" s="45"/>
    </row>
  </sheetData>
  <sheetProtection sheet="1" objects="1" scenarios="1" selectLockedCells="1" selectUnlockedCells="1"/>
  <phoneticPr fontId="0" type="noConversion"/>
  <pageMargins left="0.75" right="0.75" top="1" bottom="1" header="0.5" footer="0.5"/>
  <pageSetup scale="89" orientation="portrait" r:id="rId1"/>
  <headerFooter alignWithMargins="0">
    <oddFooter>&amp;LFinancial Calculator&amp;CCopyright 2003 by CCIM Institute.&amp;RAll rights reserved.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15"/>
  </sheetPr>
  <dimension ref="B3:F31"/>
  <sheetViews>
    <sheetView showGridLines="0" showRowColHeaders="0" workbookViewId="0"/>
  </sheetViews>
  <sheetFormatPr defaultColWidth="10.26953125" defaultRowHeight="15.5" x14ac:dyDescent="0.35"/>
  <cols>
    <col min="1" max="2" width="10.26953125" style="102" customWidth="1"/>
    <col min="3" max="3" width="35.54296875" style="102" customWidth="1"/>
    <col min="4" max="4" width="10.26953125" style="102" customWidth="1"/>
    <col min="5" max="5" width="28.1796875" style="102" customWidth="1"/>
    <col min="6" max="6" width="35.54296875" style="102" customWidth="1"/>
    <col min="7" max="16384" width="10.26953125" style="102"/>
  </cols>
  <sheetData>
    <row r="3" spans="2:6" x14ac:dyDescent="0.35">
      <c r="B3" s="100" t="s">
        <v>39</v>
      </c>
      <c r="C3" s="101" t="s">
        <v>8</v>
      </c>
    </row>
    <row r="4" spans="2:6" x14ac:dyDescent="0.35">
      <c r="B4" s="100">
        <v>1</v>
      </c>
      <c r="C4" s="103"/>
    </row>
    <row r="5" spans="2:6" x14ac:dyDescent="0.35">
      <c r="B5" s="100">
        <f>B4+1</f>
        <v>2</v>
      </c>
      <c r="C5" s="103"/>
    </row>
    <row r="6" spans="2:6" x14ac:dyDescent="0.35">
      <c r="B6" s="100">
        <f t="shared" ref="B6:B27" si="0">B5+1</f>
        <v>3</v>
      </c>
      <c r="C6" s="103"/>
    </row>
    <row r="7" spans="2:6" x14ac:dyDescent="0.35">
      <c r="B7" s="100">
        <f t="shared" si="0"/>
        <v>4</v>
      </c>
      <c r="C7" s="103"/>
    </row>
    <row r="8" spans="2:6" x14ac:dyDescent="0.35">
      <c r="B8" s="100">
        <f t="shared" si="0"/>
        <v>5</v>
      </c>
      <c r="C8" s="103"/>
      <c r="E8" s="104"/>
    </row>
    <row r="9" spans="2:6" x14ac:dyDescent="0.35">
      <c r="B9" s="100">
        <f t="shared" si="0"/>
        <v>6</v>
      </c>
      <c r="C9" s="103"/>
    </row>
    <row r="10" spans="2:6" x14ac:dyDescent="0.35">
      <c r="B10" s="100">
        <f t="shared" si="0"/>
        <v>7</v>
      </c>
      <c r="C10" s="103"/>
    </row>
    <row r="11" spans="2:6" ht="16" thickBot="1" x14ac:dyDescent="0.4">
      <c r="B11" s="100">
        <f t="shared" si="0"/>
        <v>8</v>
      </c>
      <c r="C11" s="103"/>
    </row>
    <row r="12" spans="2:6" ht="19.5" thickTop="1" x14ac:dyDescent="0.45">
      <c r="B12" s="100">
        <f t="shared" si="0"/>
        <v>9</v>
      </c>
      <c r="C12" s="103"/>
      <c r="E12" s="105" t="s">
        <v>40</v>
      </c>
      <c r="F12" s="106"/>
    </row>
    <row r="13" spans="2:6" ht="19" x14ac:dyDescent="0.45">
      <c r="B13" s="100">
        <f t="shared" si="0"/>
        <v>10</v>
      </c>
      <c r="C13" s="103"/>
      <c r="E13" s="107" t="s">
        <v>41</v>
      </c>
      <c r="F13" s="108"/>
    </row>
    <row r="14" spans="2:6" ht="19.5" thickBot="1" x14ac:dyDescent="0.5">
      <c r="B14" s="100">
        <f t="shared" si="0"/>
        <v>11</v>
      </c>
      <c r="C14" s="103"/>
      <c r="E14" s="109" t="s">
        <v>42</v>
      </c>
      <c r="F14" s="110"/>
    </row>
    <row r="15" spans="2:6" ht="16" thickTop="1" x14ac:dyDescent="0.35">
      <c r="B15" s="100">
        <f t="shared" si="0"/>
        <v>12</v>
      </c>
      <c r="C15" s="103"/>
    </row>
    <row r="16" spans="2:6" x14ac:dyDescent="0.35">
      <c r="B16" s="100">
        <f t="shared" si="0"/>
        <v>13</v>
      </c>
      <c r="C16" s="103"/>
    </row>
    <row r="17" spans="2:3" x14ac:dyDescent="0.35">
      <c r="B17" s="100">
        <f t="shared" si="0"/>
        <v>14</v>
      </c>
      <c r="C17" s="103"/>
    </row>
    <row r="18" spans="2:3" x14ac:dyDescent="0.35">
      <c r="B18" s="100">
        <f t="shared" si="0"/>
        <v>15</v>
      </c>
      <c r="C18" s="103"/>
    </row>
    <row r="19" spans="2:3" x14ac:dyDescent="0.35">
      <c r="B19" s="100">
        <f t="shared" si="0"/>
        <v>16</v>
      </c>
      <c r="C19" s="103"/>
    </row>
    <row r="20" spans="2:3" x14ac:dyDescent="0.35">
      <c r="B20" s="100">
        <f t="shared" si="0"/>
        <v>17</v>
      </c>
      <c r="C20" s="103"/>
    </row>
    <row r="21" spans="2:3" x14ac:dyDescent="0.35">
      <c r="B21" s="100">
        <f t="shared" si="0"/>
        <v>18</v>
      </c>
      <c r="C21" s="103"/>
    </row>
    <row r="22" spans="2:3" x14ac:dyDescent="0.35">
      <c r="B22" s="100">
        <f t="shared" si="0"/>
        <v>19</v>
      </c>
      <c r="C22" s="103"/>
    </row>
    <row r="23" spans="2:3" x14ac:dyDescent="0.35">
      <c r="B23" s="100">
        <f t="shared" si="0"/>
        <v>20</v>
      </c>
      <c r="C23" s="103"/>
    </row>
    <row r="24" spans="2:3" x14ac:dyDescent="0.35">
      <c r="B24" s="100">
        <f t="shared" si="0"/>
        <v>21</v>
      </c>
      <c r="C24" s="103"/>
    </row>
    <row r="25" spans="2:3" x14ac:dyDescent="0.35">
      <c r="B25" s="100">
        <f t="shared" si="0"/>
        <v>22</v>
      </c>
      <c r="C25" s="103"/>
    </row>
    <row r="26" spans="2:3" x14ac:dyDescent="0.35">
      <c r="B26" s="100">
        <f t="shared" si="0"/>
        <v>23</v>
      </c>
      <c r="C26" s="103"/>
    </row>
    <row r="27" spans="2:3" x14ac:dyDescent="0.35">
      <c r="B27" s="100">
        <f t="shared" si="0"/>
        <v>24</v>
      </c>
      <c r="C27" s="103"/>
    </row>
    <row r="28" spans="2:3" x14ac:dyDescent="0.35">
      <c r="B28" s="100">
        <f>B27+1</f>
        <v>25</v>
      </c>
      <c r="C28" s="103"/>
    </row>
    <row r="29" spans="2:3" ht="19" x14ac:dyDescent="0.45">
      <c r="C29" s="111"/>
    </row>
    <row r="30" spans="2:3" x14ac:dyDescent="0.35">
      <c r="C30" s="112"/>
    </row>
    <row r="31" spans="2:3" x14ac:dyDescent="0.35">
      <c r="C31" s="112"/>
    </row>
  </sheetData>
  <sheetProtection sheet="1" objects="1" scenarios="1" selectLockedCells="1"/>
  <phoneticPr fontId="0" type="noConversion"/>
  <pageMargins left="0.75" right="0.75" top="1" bottom="1" header="0.5" footer="0.5"/>
  <pageSetup scale="89" orientation="portrait" r:id="rId1"/>
  <headerFooter alignWithMargins="0">
    <oddFooter>&amp;LFinancial Calculator&amp;CCopyright 2003 by CCIM Institute.&amp;RAll rights reserved.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 Me First</vt:lpstr>
      <vt:lpstr>(1)Tbl.Cnts</vt:lpstr>
      <vt:lpstr>(2)Instructions</vt:lpstr>
      <vt:lpstr>(3)TVM</vt:lpstr>
      <vt:lpstr>(4)NPV-IRR Annual</vt:lpstr>
      <vt:lpstr>(5)NPV-IRR Annuities</vt:lpstr>
      <vt:lpstr>(6)Amortization Schedule</vt:lpstr>
      <vt:lpstr>(7)Annual Summary</vt:lpstr>
      <vt:lpstr>(8)Statistics</vt:lpstr>
    </vt:vector>
  </TitlesOfParts>
  <Company>CCIM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Calculator V 3.5</dc:title>
  <dc:subject>Financial and Statistical Calculations</dc:subject>
  <dc:creator>CCIM Institute</dc:creator>
  <dc:description>This workbook is designed to perform all of the compounding and discounting functions as well as mortgage amortization.  It also calculates the NPV and IRR with uneven cash flows and annuities.  It also does basic statistics calcualtions:   Median, mean, and standard deviation.  </dc:description>
  <cp:lastModifiedBy>Carina Negreanu</cp:lastModifiedBy>
  <cp:revision>10</cp:revision>
  <cp:lastPrinted>2003-10-22T16:42:25Z</cp:lastPrinted>
  <dcterms:created xsi:type="dcterms:W3CDTF">2003-01-13T03:54:11Z</dcterms:created>
  <dcterms:modified xsi:type="dcterms:W3CDTF">2020-01-27T11:34:34Z</dcterms:modified>
  <cp:category>Version 3.5</cp:category>
</cp:coreProperties>
</file>