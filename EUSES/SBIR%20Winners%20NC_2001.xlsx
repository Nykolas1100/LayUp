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03F986A-9F74-492B-A57A-4B61655C1915}" xr6:coauthVersionLast="45" xr6:coauthVersionMax="45" xr10:uidLastSave="{00000000-0000-0000-0000-000000000000}"/>
  <bookViews>
    <workbookView xWindow="2660" yWindow="2660" windowWidth="28800" windowHeight="15460" firstSheet="3" activeTab="4"/>
  </bookViews>
  <sheets>
    <sheet name="2001 SBIR Winners List" sheetId="1" r:id="rId1"/>
    <sheet name="Win Loss Rates by Agency" sheetId="2" r:id="rId2"/>
    <sheet name="Award Distribution Data" sheetId="3" r:id="rId3"/>
    <sheet name="Award Distribution by Agency" sheetId="4" r:id="rId4"/>
    <sheet name="Award Distribution by Geography" sheetId="5" r:id="rId5"/>
  </sheets>
  <definedNames>
    <definedName name="_xlnm.Print_Area" localSheetId="0">'2001 SBIR Winners List'!$A$1:$O$77</definedName>
    <definedName name="_xlnm.Print_Area" localSheetId="2">'Award Distribution Data'!$A$1:$E$80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" i="1" l="1"/>
  <c r="M5" i="1"/>
  <c r="J6" i="1"/>
  <c r="M6" i="1"/>
  <c r="J7" i="1"/>
  <c r="J8" i="1"/>
  <c r="M8" i="1"/>
  <c r="J9" i="1"/>
  <c r="M9" i="1"/>
  <c r="J10" i="1"/>
  <c r="M10" i="1"/>
  <c r="J39" i="1"/>
  <c r="M39" i="1"/>
  <c r="J40" i="1"/>
  <c r="M40" i="1"/>
  <c r="J41" i="1"/>
  <c r="M41" i="1"/>
  <c r="J42" i="1"/>
  <c r="M42" i="1"/>
  <c r="J43" i="1"/>
  <c r="M43" i="1"/>
  <c r="J44" i="1"/>
  <c r="M44" i="1"/>
  <c r="J45" i="1"/>
  <c r="M45" i="1"/>
  <c r="J46" i="1"/>
  <c r="M46" i="1"/>
  <c r="J47" i="1"/>
  <c r="M47" i="1"/>
  <c r="J48" i="1"/>
  <c r="M48" i="1"/>
  <c r="J49" i="1"/>
  <c r="M49" i="1"/>
  <c r="J50" i="1"/>
  <c r="M50" i="1"/>
  <c r="F52" i="1"/>
  <c r="F77" i="1" s="1"/>
  <c r="F80" i="1" s="1"/>
  <c r="J55" i="1"/>
  <c r="M55" i="1"/>
  <c r="J56" i="1"/>
  <c r="M56" i="1"/>
  <c r="F75" i="1"/>
  <c r="B8" i="4"/>
  <c r="B9" i="4"/>
  <c r="B11" i="4"/>
  <c r="B52" i="4"/>
  <c r="B3" i="4" s="1"/>
  <c r="B59" i="4"/>
  <c r="B4" i="4" s="1"/>
  <c r="B67" i="4"/>
  <c r="B5" i="4" s="1"/>
  <c r="B72" i="4"/>
  <c r="B156" i="4" s="1"/>
  <c r="B78" i="4"/>
  <c r="B7" i="4" s="1"/>
  <c r="C7" i="4" s="1"/>
  <c r="B86" i="4"/>
  <c r="B92" i="4"/>
  <c r="B141" i="4"/>
  <c r="B142" i="4" s="1"/>
  <c r="B146" i="4"/>
  <c r="B147" i="4" s="1"/>
  <c r="B152" i="4"/>
  <c r="B12" i="4" s="1"/>
  <c r="C12" i="4" s="1"/>
  <c r="A40" i="5"/>
  <c r="B40" i="5"/>
  <c r="B45" i="5"/>
  <c r="B61" i="5"/>
  <c r="B112" i="5"/>
  <c r="A117" i="5"/>
  <c r="B117" i="5"/>
  <c r="B53" i="3"/>
  <c r="B77" i="3"/>
  <c r="B79" i="3"/>
  <c r="D4" i="2"/>
  <c r="D5" i="2"/>
  <c r="D6" i="2"/>
  <c r="D7" i="2"/>
  <c r="D8" i="2"/>
  <c r="D9" i="2"/>
  <c r="D10" i="2"/>
  <c r="D11" i="2"/>
  <c r="D12" i="2"/>
  <c r="D13" i="2"/>
  <c r="C5" i="4" l="1"/>
  <c r="B153" i="4"/>
  <c r="B53" i="4"/>
  <c r="B79" i="4"/>
  <c r="B60" i="4"/>
  <c r="C8" i="4"/>
  <c r="B68" i="4"/>
  <c r="B73" i="4"/>
  <c r="B93" i="4"/>
  <c r="B87" i="4"/>
  <c r="C4" i="4"/>
  <c r="C3" i="4"/>
  <c r="C11" i="4"/>
  <c r="C9" i="4"/>
  <c r="B113" i="5"/>
  <c r="B6" i="5" s="1"/>
  <c r="B118" i="5"/>
  <c r="B7" i="5" s="1"/>
  <c r="B10" i="4"/>
  <c r="C10" i="4" s="1"/>
  <c r="B6" i="4"/>
  <c r="C6" i="4" s="1"/>
  <c r="B121" i="5"/>
  <c r="B46" i="5" s="1"/>
  <c r="B4" i="5" s="1"/>
  <c r="B41" i="5" l="1"/>
  <c r="B3" i="5" s="1"/>
  <c r="B62" i="5"/>
  <c r="B5" i="5" s="1"/>
</calcChain>
</file>

<file path=xl/sharedStrings.xml><?xml version="1.0" encoding="utf-8"?>
<sst xmlns="http://schemas.openxmlformats.org/spreadsheetml/2006/main" count="1291" uniqueCount="253">
  <si>
    <t>AGENCY</t>
  </si>
  <si>
    <t>PHASE</t>
  </si>
  <si>
    <t>COMPANY NAME</t>
  </si>
  <si>
    <t>CITY</t>
  </si>
  <si>
    <t>PROJECT TITLE</t>
  </si>
  <si>
    <t>LAST NAME</t>
  </si>
  <si>
    <t>FIRST NAME</t>
  </si>
  <si>
    <t>TITLE</t>
  </si>
  <si>
    <t>ADDRESS 1</t>
  </si>
  <si>
    <t>ADDRESS 2</t>
  </si>
  <si>
    <t>STATE</t>
  </si>
  <si>
    <t>ZIP</t>
  </si>
  <si>
    <t>NC</t>
  </si>
  <si>
    <t>NASA</t>
  </si>
  <si>
    <t>Raleigh</t>
  </si>
  <si>
    <t>DOE</t>
  </si>
  <si>
    <t>ED</t>
  </si>
  <si>
    <t>Charlotte</t>
  </si>
  <si>
    <t>USDA</t>
  </si>
  <si>
    <t>Dr.</t>
  </si>
  <si>
    <t>Embrex</t>
  </si>
  <si>
    <t>RTP</t>
  </si>
  <si>
    <t>Hebrank</t>
  </si>
  <si>
    <t>John</t>
  </si>
  <si>
    <t>P.O. Box 13989</t>
  </si>
  <si>
    <t>Morrisville</t>
  </si>
  <si>
    <t>DOD - BMDO</t>
  </si>
  <si>
    <t>DOD - AF</t>
  </si>
  <si>
    <t>DOD - Army</t>
  </si>
  <si>
    <t>NSF</t>
  </si>
  <si>
    <t xml:space="preserve"> ---------------</t>
  </si>
  <si>
    <t>TOTAL P1 + P2</t>
  </si>
  <si>
    <t>TOTAL P1</t>
  </si>
  <si>
    <t>TOTAL P2</t>
  </si>
  <si>
    <t>NIH</t>
  </si>
  <si>
    <t>AWARD</t>
  </si>
  <si>
    <t xml:space="preserve"> --------------</t>
  </si>
  <si>
    <t>GEOGRAPHIC SECTOR</t>
  </si>
  <si>
    <t>Triangle</t>
  </si>
  <si>
    <t>Triad</t>
  </si>
  <si>
    <t>West</t>
  </si>
  <si>
    <t>East</t>
  </si>
  <si>
    <t>TOTAL</t>
  </si>
  <si>
    <t xml:space="preserve"> -----------------</t>
  </si>
  <si>
    <t>% OF 2000 TOTAL</t>
  </si>
  <si>
    <t>DOD - ARMY</t>
  </si>
  <si>
    <t>TOTAL ALL AGENCIES</t>
  </si>
  <si>
    <t xml:space="preserve"> ------------</t>
  </si>
  <si>
    <t xml:space="preserve">East </t>
  </si>
  <si>
    <t>TOTAL P1 and P2</t>
  </si>
  <si>
    <t>2001 SBIR Award Distribution by NC Geography</t>
  </si>
  <si>
    <t>2001 SBIR Award Distribution in Data for NC</t>
  </si>
  <si>
    <t>2001 SBIR Award Winners - NC</t>
  </si>
  <si>
    <t>Sigma-K Corporation</t>
  </si>
  <si>
    <t>Durham</t>
  </si>
  <si>
    <t>Cursor Control Camera Headset with Voice Recognition Capabilities</t>
  </si>
  <si>
    <t>Kirven</t>
  </si>
  <si>
    <t>Doug</t>
  </si>
  <si>
    <t>511 Clayton Road</t>
  </si>
  <si>
    <t xml:space="preserve">Positive Behavioral Solutions, Inc. </t>
  </si>
  <si>
    <t>Fletcher</t>
  </si>
  <si>
    <t>A Web-based Program for Improving Challenging Behaviors</t>
  </si>
  <si>
    <t>15 Walnut Lane</t>
  </si>
  <si>
    <t>Bright Futures Press</t>
  </si>
  <si>
    <t>1100 Logger Court</t>
  </si>
  <si>
    <t>Triangle Bio Systems</t>
  </si>
  <si>
    <t>Integrated Circuit Design for Biological Data Transmission</t>
  </si>
  <si>
    <t>Morizio</t>
  </si>
  <si>
    <t>IAVO Research and Scientific</t>
  </si>
  <si>
    <t>Linear Structural Relations Modeling for Complex Land Cover and Land Use Change</t>
  </si>
  <si>
    <t>Heric</t>
  </si>
  <si>
    <t>Matt</t>
  </si>
  <si>
    <t>Automated Digital Elevation Extraction from Multispectral Imaging Systems</t>
  </si>
  <si>
    <t>1010 Gloria Avenue</t>
  </si>
  <si>
    <t>Delight Food, Inc.</t>
  </si>
  <si>
    <t>Domestic Production of Vegetable Soybeans</t>
  </si>
  <si>
    <t>Chung</t>
  </si>
  <si>
    <t>Lila</t>
  </si>
  <si>
    <t>Ms.</t>
  </si>
  <si>
    <t>1317 Copeland Oak Drive</t>
  </si>
  <si>
    <t>Automated system for detection of nonviable poultry eggs</t>
  </si>
  <si>
    <t>2001 SBIR Award Data by Agency</t>
  </si>
  <si>
    <t>Awards</t>
  </si>
  <si>
    <t>Proposals</t>
  </si>
  <si>
    <t>Percentage Wins</t>
  </si>
  <si>
    <t>DOD</t>
  </si>
  <si>
    <t>DOC</t>
  </si>
  <si>
    <t>EPA</t>
  </si>
  <si>
    <t>DOT</t>
  </si>
  <si>
    <t>Data compiled from: http://www.ssti.org/Digest/Tables/050302t.htm</t>
  </si>
  <si>
    <t>2810 MERIDIAN PKY, STE 152</t>
  </si>
  <si>
    <t>710 W MAIN ST</t>
  </si>
  <si>
    <t>5410 APEX HWY, STE W</t>
  </si>
  <si>
    <t xml:space="preserve">GAIA HERBS, INC.                       </t>
  </si>
  <si>
    <t>108 ISLAND FORD RD</t>
  </si>
  <si>
    <t>CLINICAL TOOLS, INC.</t>
  </si>
  <si>
    <t>109 MEETING ST</t>
  </si>
  <si>
    <t>5803 WILKINSON BLVD, STE 200</t>
  </si>
  <si>
    <t>RHO FEDERAL SYSTEMS DIVISION</t>
  </si>
  <si>
    <t>100 EASTOWNE DR</t>
  </si>
  <si>
    <t>TANNER</t>
  </si>
  <si>
    <t>T.B.</t>
  </si>
  <si>
    <t>ZYCARE, INC.</t>
  </si>
  <si>
    <t>ALLEN</t>
  </si>
  <si>
    <t>3804 SWEETEN CREEK RD</t>
  </si>
  <si>
    <t>ROBERT</t>
  </si>
  <si>
    <t>HENKENS</t>
  </si>
  <si>
    <t>ANDCARE, INC.</t>
  </si>
  <si>
    <t xml:space="preserve">SALLYEANA        </t>
  </si>
  <si>
    <t>COYLE</t>
  </si>
  <si>
    <t>48 BIRNHAM LANE</t>
  </si>
  <si>
    <t>APPETEK, INC</t>
  </si>
  <si>
    <t>JEFFREY M</t>
  </si>
  <si>
    <t>GIMBLE</t>
  </si>
  <si>
    <t>ARTECEL SCIENCES, INC</t>
  </si>
  <si>
    <t>4819 EMPERORS BLVD, 4TH FL</t>
  </si>
  <si>
    <t>LLOYD</t>
  </si>
  <si>
    <t>MITCHELL</t>
  </si>
  <si>
    <t>INTRONN, LLC</t>
  </si>
  <si>
    <t>WILLIAM</t>
  </si>
  <si>
    <t>DUNN</t>
  </si>
  <si>
    <t>QUANTUM RESEARCH SERVICES</t>
  </si>
  <si>
    <t>STEPHEN</t>
  </si>
  <si>
    <t>GRENON</t>
  </si>
  <si>
    <t>VOLUMETRICS</t>
  </si>
  <si>
    <t>700 W MAIN ST</t>
  </si>
  <si>
    <t>LYNN</t>
  </si>
  <si>
    <t>CLEMOW</t>
  </si>
  <si>
    <t>WILLIAMS LIFESKILLS INC</t>
  </si>
  <si>
    <t>2020 W MAIN ST STE 100</t>
  </si>
  <si>
    <t xml:space="preserve">VIRGINIA </t>
  </si>
  <si>
    <t>WILLIAMS</t>
  </si>
  <si>
    <t>GEORGE</t>
  </si>
  <si>
    <t>CLARK</t>
  </si>
  <si>
    <t>XENOBIOTIC DETECTION SYSTEMS</t>
  </si>
  <si>
    <t>1601 E GEER ST STE S</t>
  </si>
  <si>
    <t>LINDA</t>
  </si>
  <si>
    <t>DUSENBURY</t>
  </si>
  <si>
    <t>TANGLEWOOD RESEARCH INC</t>
  </si>
  <si>
    <t>7017 ALBERT PICK RD STE D</t>
  </si>
  <si>
    <t>STEVEN</t>
  </si>
  <si>
    <t>GILES</t>
  </si>
  <si>
    <t>HANSEN</t>
  </si>
  <si>
    <t>MELODIE</t>
  </si>
  <si>
    <t>FEARNOW-KENNEY</t>
  </si>
  <si>
    <t>FRIEDMAN</t>
  </si>
  <si>
    <t>SYLVANUS ENVIRONMENTAL, INC</t>
  </si>
  <si>
    <t>PO BOX 848, 45 WEST STREET</t>
  </si>
  <si>
    <t xml:space="preserve">PREMITEC, INC.  </t>
  </si>
  <si>
    <t>VINAY</t>
  </si>
  <si>
    <t>SAKHRANI</t>
  </si>
  <si>
    <t>920 MAIN CAMPUS DR</t>
  </si>
  <si>
    <t>LOUIS</t>
  </si>
  <si>
    <t>BROUSSEAU</t>
  </si>
  <si>
    <t>QUANTUM LOGIC DEVICES</t>
  </si>
  <si>
    <t>831 VALERIE DR</t>
  </si>
  <si>
    <t>DOROTHY</t>
  </si>
  <si>
    <t>STRICKLAND</t>
  </si>
  <si>
    <t>VIRTUAL REALITY AIDS, INC</t>
  </si>
  <si>
    <t>107 SHEPHERD ST</t>
  </si>
  <si>
    <t>MARCIA</t>
  </si>
  <si>
    <t>MOSS</t>
  </si>
  <si>
    <t>ORDER STATUS VEHICLE INC</t>
  </si>
  <si>
    <t>BOX 12076, 2 DAVIS DR</t>
  </si>
  <si>
    <t xml:space="preserve">MICHAEL P    </t>
  </si>
  <si>
    <t>VITEK</t>
  </si>
  <si>
    <t>SUWANNA</t>
  </si>
  <si>
    <t>BLAIR</t>
  </si>
  <si>
    <t>ANASAZI BIOMEDICAL RESEARCH</t>
  </si>
  <si>
    <t>ALBERT HALL, STE 206 101 N CHESTNUT ST</t>
  </si>
  <si>
    <t>JAMES</t>
  </si>
  <si>
    <t>CAMPBELL</t>
  </si>
  <si>
    <t>BIOGRAPHICS, INC</t>
  </si>
  <si>
    <t>2000 W 1ST STREET, STE 406</t>
  </si>
  <si>
    <t>KENNETH</t>
  </si>
  <si>
    <t>TRAMPOSCH</t>
  </si>
  <si>
    <t>PILOT THERAPEUTICS, INC</t>
  </si>
  <si>
    <t>ALBERT HALL, 101 N CHESTNUT ST</t>
  </si>
  <si>
    <t>BOWEN</t>
  </si>
  <si>
    <t>GARY</t>
  </si>
  <si>
    <t>WANG</t>
  </si>
  <si>
    <t>XIPING</t>
  </si>
  <si>
    <t>RONALD</t>
  </si>
  <si>
    <t>HELMS</t>
  </si>
  <si>
    <t>LYLE</t>
  </si>
  <si>
    <t>Flying Bridge TECHNOLOGIES</t>
  </si>
  <si>
    <t>BELMONT</t>
  </si>
  <si>
    <t>BREVARD</t>
  </si>
  <si>
    <t xml:space="preserve">CHAPEL HILL  </t>
  </si>
  <si>
    <t xml:space="preserve">CHAPEL HILL </t>
  </si>
  <si>
    <t>CHAPEL HILL</t>
  </si>
  <si>
    <t>DURHAM</t>
  </si>
  <si>
    <t>GREENSBORO</t>
  </si>
  <si>
    <t>PITTSBORO</t>
  </si>
  <si>
    <t>RALEIGH</t>
  </si>
  <si>
    <t>WINSTON-SALEM</t>
  </si>
  <si>
    <t>SSP Drug Abuse Prevention Screening Tool</t>
  </si>
  <si>
    <t>Echinacea: Standardized Product and Supply Provision</t>
  </si>
  <si>
    <t>Finding Quality Alternative Medicine Information</t>
  </si>
  <si>
    <t>Xanthon, Inc.</t>
  </si>
  <si>
    <t>Golden</t>
  </si>
  <si>
    <t>Carole</t>
  </si>
  <si>
    <t>104 Alexander Drive, Building 21</t>
  </si>
  <si>
    <t>P.O. Box 12296</t>
  </si>
  <si>
    <t>Visual Sciences, Inc.</t>
  </si>
  <si>
    <t>Kasbekar</t>
  </si>
  <si>
    <t>Anand</t>
  </si>
  <si>
    <t>P.O. Box 90335</t>
  </si>
  <si>
    <t>Ensolve Biosystems, Inc</t>
  </si>
  <si>
    <t>Caplan</t>
  </si>
  <si>
    <t>Jason</t>
  </si>
  <si>
    <t>3209 Gresham Lake Road</t>
  </si>
  <si>
    <t>Suite 147</t>
  </si>
  <si>
    <t>DOD - OSD</t>
  </si>
  <si>
    <t>Providence Holdings</t>
  </si>
  <si>
    <t>Gomez</t>
  </si>
  <si>
    <t>Luis</t>
  </si>
  <si>
    <t>P.O. Box 32693</t>
  </si>
  <si>
    <t>Microphase Coatings, Inc.</t>
  </si>
  <si>
    <t>Garner</t>
  </si>
  <si>
    <t>Simendinger</t>
  </si>
  <si>
    <t>William</t>
  </si>
  <si>
    <t>170 Donmoor Ct.</t>
  </si>
  <si>
    <t>Albany Instruments, Inc.</t>
  </si>
  <si>
    <t>Dogaru</t>
  </si>
  <si>
    <t>Teodor</t>
  </si>
  <si>
    <t>1500 Princeton Ave.</t>
  </si>
  <si>
    <t>RF Nitro Communications, Inc.</t>
  </si>
  <si>
    <t>Shealy</t>
  </si>
  <si>
    <t>Jeffery</t>
  </si>
  <si>
    <t>10420 Harris Oaks Blvd.</t>
  </si>
  <si>
    <t>Kyma Technologies, Inc.</t>
  </si>
  <si>
    <t>Hanser</t>
  </si>
  <si>
    <t>Drew</t>
  </si>
  <si>
    <t>8829 Midway West Road</t>
  </si>
  <si>
    <t>Foard Systems Design, Inc.</t>
  </si>
  <si>
    <t>Foard</t>
  </si>
  <si>
    <t>1906 Hwy. 54 East</t>
  </si>
  <si>
    <t>Suite 200E</t>
  </si>
  <si>
    <t>Williams</t>
  </si>
  <si>
    <t>Mark</t>
  </si>
  <si>
    <t>Nitronex Corp</t>
  </si>
  <si>
    <t>Linthicum</t>
  </si>
  <si>
    <t>Kevin</t>
  </si>
  <si>
    <t>628 Hutton Street</t>
  </si>
  <si>
    <t>Suite 103</t>
  </si>
  <si>
    <t>2001 SBIR Award Distribution in NC by Agency</t>
  </si>
  <si>
    <t>% OF 2001 TOTAL</t>
  </si>
  <si>
    <t>PHASE 2</t>
  </si>
  <si>
    <t>PHASE 1</t>
  </si>
  <si>
    <t>Percent Change from 2000 ($11,097,884)</t>
  </si>
  <si>
    <t>Phase 1</t>
  </si>
  <si>
    <t>Phase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</si>
</sst>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5" formatCode="&quot;$&quot;#,##0_);[Red]\(&quot;$&quot;#,##0\)"/>
    <numFmt numFmtId="170" formatCode="_(&quot;$&quot;* #,##0.00_);_(&quot;$&quot;* \(#,##0.00\);_(&quot;$&quot;* &quot;-&quot;??_);_(@_)"/>
    <numFmt numFmtId="173" formatCode="_(&quot;$&quot;* #,##0_);_(&quot;$&quot;* \(#,##0\);_(&quot;$&quot;* &quot;-&quot;??_);_(@_)"/>
    <numFmt numFmtId="174" formatCode="0.0%"/>
  </numFmts>
  <fonts count="15" x14ac:knownFonts="1">
    <font>
      <sz val="10"/>
      <name val="Arial"/>
    </font>
    <font>
      <sz val="10"/>
      <name val="Arial"/>
    </font>
    <font>
      <sz val="14"/>
      <name val="Arial"/>
      <family val="2"/>
    </font>
    <font>
      <b/>
      <sz val="11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2"/>
      <color indexed="9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i/>
      <sz val="11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5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6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173" fontId="5" fillId="0" borderId="0" xfId="1" applyNumberFormat="1" applyFont="1" applyAlignment="1">
      <alignment horizontal="left"/>
    </xf>
    <xf numFmtId="173" fontId="6" fillId="0" borderId="0" xfId="1" applyNumberFormat="1" applyFont="1" applyFill="1" applyAlignment="1">
      <alignment horizontal="left"/>
    </xf>
    <xf numFmtId="173" fontId="4" fillId="0" borderId="0" xfId="1" applyNumberFormat="1" applyFont="1" applyAlignment="1">
      <alignment horizontal="left"/>
    </xf>
    <xf numFmtId="173" fontId="0" fillId="0" borderId="0" xfId="1" applyNumberFormat="1" applyFont="1" applyAlignment="1">
      <alignment horizontal="left"/>
    </xf>
    <xf numFmtId="173" fontId="4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/>
    <xf numFmtId="0" fontId="8" fillId="0" borderId="0" xfId="0" applyFont="1" applyFill="1" applyAlignment="1">
      <alignment horizontal="left"/>
    </xf>
    <xf numFmtId="173" fontId="8" fillId="0" borderId="0" xfId="1" applyNumberFormat="1" applyFont="1" applyFill="1" applyAlignment="1">
      <alignment horizontal="left"/>
    </xf>
    <xf numFmtId="174" fontId="4" fillId="0" borderId="0" xfId="2" applyNumberFormat="1" applyFont="1" applyAlignment="1">
      <alignment horizontal="right"/>
    </xf>
    <xf numFmtId="0" fontId="9" fillId="0" borderId="1" xfId="0" applyFont="1" applyBorder="1"/>
    <xf numFmtId="174" fontId="9" fillId="0" borderId="2" xfId="0" applyNumberFormat="1" applyFont="1" applyBorder="1"/>
    <xf numFmtId="0" fontId="9" fillId="0" borderId="3" xfId="0" applyFont="1" applyBorder="1"/>
    <xf numFmtId="174" fontId="9" fillId="0" borderId="4" xfId="0" applyNumberFormat="1" applyFont="1" applyBorder="1"/>
    <xf numFmtId="0" fontId="9" fillId="0" borderId="5" xfId="0" applyFont="1" applyBorder="1"/>
    <xf numFmtId="174" fontId="9" fillId="0" borderId="6" xfId="0" applyNumberFormat="1" applyFont="1" applyBorder="1"/>
    <xf numFmtId="0" fontId="7" fillId="0" borderId="0" xfId="0" applyFont="1"/>
    <xf numFmtId="0" fontId="0" fillId="0" borderId="1" xfId="0" applyBorder="1"/>
    <xf numFmtId="173" fontId="6" fillId="0" borderId="7" xfId="1" applyNumberFormat="1" applyFont="1" applyFill="1" applyBorder="1" applyAlignment="1">
      <alignment horizontal="left"/>
    </xf>
    <xf numFmtId="0" fontId="0" fillId="0" borderId="7" xfId="0" applyBorder="1"/>
    <xf numFmtId="0" fontId="6" fillId="0" borderId="2" xfId="0" applyFont="1" applyFill="1" applyBorder="1" applyAlignment="1">
      <alignment horizontal="left"/>
    </xf>
    <xf numFmtId="0" fontId="0" fillId="0" borderId="3" xfId="0" applyBorder="1"/>
    <xf numFmtId="173" fontId="0" fillId="0" borderId="0" xfId="1" applyNumberFormat="1" applyFont="1" applyBorder="1" applyAlignment="1">
      <alignment horizontal="left"/>
    </xf>
    <xf numFmtId="0" fontId="0" fillId="0" borderId="0" xfId="0" applyBorder="1"/>
    <xf numFmtId="0" fontId="0" fillId="0" borderId="4" xfId="0" applyBorder="1" applyAlignment="1">
      <alignment horizontal="left"/>
    </xf>
    <xf numFmtId="0" fontId="8" fillId="0" borderId="3" xfId="0" applyFont="1" applyFill="1" applyBorder="1" applyAlignment="1">
      <alignment horizontal="left"/>
    </xf>
    <xf numFmtId="173" fontId="4" fillId="0" borderId="0" xfId="1" applyNumberFormat="1" applyFont="1" applyBorder="1" applyAlignment="1">
      <alignment horizontal="left"/>
    </xf>
    <xf numFmtId="0" fontId="4" fillId="0" borderId="0" xfId="0" applyFont="1" applyBorder="1"/>
    <xf numFmtId="0" fontId="8" fillId="0" borderId="5" xfId="0" applyFont="1" applyFill="1" applyBorder="1" applyAlignment="1">
      <alignment horizontal="left"/>
    </xf>
    <xf numFmtId="174" fontId="4" fillId="0" borderId="8" xfId="2" applyNumberFormat="1" applyFont="1" applyBorder="1" applyAlignment="1">
      <alignment horizontal="right"/>
    </xf>
    <xf numFmtId="0" fontId="4" fillId="0" borderId="8" xfId="0" applyFont="1" applyBorder="1"/>
    <xf numFmtId="0" fontId="0" fillId="0" borderId="6" xfId="0" applyBorder="1" applyAlignment="1">
      <alignment horizontal="left"/>
    </xf>
    <xf numFmtId="173" fontId="5" fillId="0" borderId="7" xfId="1" applyNumberFormat="1" applyFont="1" applyBorder="1" applyAlignment="1">
      <alignment horizontal="left"/>
    </xf>
    <xf numFmtId="173" fontId="5" fillId="0" borderId="0" xfId="1" applyNumberFormat="1" applyFont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6" xfId="0" applyFont="1" applyFill="1" applyBorder="1" applyAlignment="1">
      <alignment horizontal="left"/>
    </xf>
    <xf numFmtId="0" fontId="0" fillId="0" borderId="6" xfId="0" applyBorder="1"/>
    <xf numFmtId="0" fontId="0" fillId="0" borderId="4" xfId="0" applyBorder="1"/>
    <xf numFmtId="0" fontId="4" fillId="0" borderId="9" xfId="0" applyFont="1" applyBorder="1" applyAlignment="1">
      <alignment horizontal="left"/>
    </xf>
    <xf numFmtId="173" fontId="4" fillId="0" borderId="10" xfId="0" applyNumberFormat="1" applyFont="1" applyBorder="1"/>
    <xf numFmtId="173" fontId="4" fillId="0" borderId="0" xfId="1" applyNumberFormat="1" applyFont="1"/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left"/>
    </xf>
    <xf numFmtId="0" fontId="4" fillId="0" borderId="4" xfId="0" applyFont="1" applyBorder="1"/>
    <xf numFmtId="0" fontId="4" fillId="0" borderId="6" xfId="0" applyFont="1" applyBorder="1"/>
    <xf numFmtId="173" fontId="0" fillId="0" borderId="7" xfId="1" applyNumberFormat="1" applyFont="1" applyBorder="1" applyAlignment="1">
      <alignment horizontal="left"/>
    </xf>
    <xf numFmtId="173" fontId="4" fillId="0" borderId="8" xfId="1" applyNumberFormat="1" applyFont="1" applyBorder="1" applyAlignment="1">
      <alignment horizontal="left"/>
    </xf>
    <xf numFmtId="0" fontId="6" fillId="0" borderId="3" xfId="0" applyFont="1" applyFill="1" applyBorder="1" applyAlignment="1">
      <alignment horizontal="left"/>
    </xf>
    <xf numFmtId="0" fontId="5" fillId="0" borderId="0" xfId="0" applyFont="1" applyBorder="1"/>
    <xf numFmtId="173" fontId="4" fillId="0" borderId="10" xfId="0" applyNumberFormat="1" applyFont="1" applyBorder="1" applyAlignment="1">
      <alignment horizontal="left"/>
    </xf>
    <xf numFmtId="0" fontId="0" fillId="0" borderId="8" xfId="0" applyBorder="1"/>
    <xf numFmtId="173" fontId="4" fillId="0" borderId="0" xfId="1" applyNumberFormat="1" applyFont="1" applyBorder="1"/>
    <xf numFmtId="173" fontId="4" fillId="0" borderId="7" xfId="1" applyNumberFormat="1" applyFont="1" applyBorder="1" applyAlignment="1">
      <alignment horizontal="left"/>
    </xf>
    <xf numFmtId="173" fontId="4" fillId="0" borderId="8" xfId="1" applyNumberFormat="1" applyFont="1" applyBorder="1"/>
    <xf numFmtId="174" fontId="4" fillId="0" borderId="2" xfId="2" applyNumberFormat="1" applyFont="1" applyBorder="1"/>
    <xf numFmtId="174" fontId="4" fillId="0" borderId="4" xfId="2" applyNumberFormat="1" applyFont="1" applyBorder="1"/>
    <xf numFmtId="174" fontId="4" fillId="0" borderId="6" xfId="2" applyNumberFormat="1" applyFont="1" applyBorder="1"/>
    <xf numFmtId="0" fontId="4" fillId="0" borderId="0" xfId="0" applyFont="1" applyBorder="1" applyAlignment="1">
      <alignment horizontal="right"/>
    </xf>
    <xf numFmtId="173" fontId="4" fillId="0" borderId="8" xfId="0" applyNumberFormat="1" applyFont="1" applyBorder="1" applyAlignment="1">
      <alignment horizontal="left"/>
    </xf>
    <xf numFmtId="0" fontId="0" fillId="0" borderId="5" xfId="0" applyBorder="1" applyAlignment="1">
      <alignment horizontal="left"/>
    </xf>
    <xf numFmtId="173" fontId="0" fillId="0" borderId="0" xfId="0" applyNumberFormat="1"/>
    <xf numFmtId="0" fontId="0" fillId="0" borderId="0" xfId="0" applyBorder="1" applyAlignment="1">
      <alignment horizontal="left"/>
    </xf>
    <xf numFmtId="0" fontId="10" fillId="0" borderId="0" xfId="0" applyFont="1" applyBorder="1"/>
    <xf numFmtId="173" fontId="10" fillId="0" borderId="0" xfId="1" applyNumberFormat="1" applyFont="1" applyBorder="1"/>
    <xf numFmtId="173" fontId="10" fillId="0" borderId="0" xfId="1" applyNumberFormat="1" applyFont="1" applyBorder="1" applyAlignment="1">
      <alignment horizontal="right"/>
    </xf>
    <xf numFmtId="173" fontId="10" fillId="0" borderId="0" xfId="1" applyNumberFormat="1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9" fillId="0" borderId="0" xfId="0" applyFont="1"/>
    <xf numFmtId="0" fontId="0" fillId="0" borderId="11" xfId="0" applyBorder="1"/>
    <xf numFmtId="0" fontId="0" fillId="0" borderId="12" xfId="0" applyBorder="1"/>
    <xf numFmtId="174" fontId="0" fillId="0" borderId="13" xfId="2" applyNumberFormat="1" applyFont="1" applyBorder="1"/>
    <xf numFmtId="0" fontId="0" fillId="0" borderId="14" xfId="0" applyBorder="1"/>
    <xf numFmtId="0" fontId="0" fillId="0" borderId="15" xfId="0" applyBorder="1"/>
    <xf numFmtId="174" fontId="0" fillId="0" borderId="16" xfId="2" applyNumberFormat="1" applyFont="1" applyBorder="1"/>
    <xf numFmtId="0" fontId="0" fillId="0" borderId="17" xfId="0" applyBorder="1"/>
    <xf numFmtId="0" fontId="0" fillId="0" borderId="18" xfId="0" applyBorder="1"/>
    <xf numFmtId="174" fontId="0" fillId="0" borderId="19" xfId="2" applyNumberFormat="1" applyFont="1" applyBorder="1"/>
    <xf numFmtId="0" fontId="9" fillId="0" borderId="0" xfId="0" applyFont="1" applyFill="1" applyBorder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65" fontId="0" fillId="0" borderId="0" xfId="0" applyNumberFormat="1" applyBorder="1"/>
    <xf numFmtId="173" fontId="5" fillId="0" borderId="0" xfId="0" applyNumberFormat="1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73" fontId="5" fillId="0" borderId="0" xfId="1" applyNumberFormat="1" applyFont="1" applyBorder="1" applyAlignment="1">
      <alignment horizontal="right"/>
    </xf>
    <xf numFmtId="173" fontId="5" fillId="0" borderId="7" xfId="0" applyNumberFormat="1" applyFont="1" applyBorder="1" applyAlignment="1">
      <alignment horizontal="left"/>
    </xf>
    <xf numFmtId="0" fontId="11" fillId="2" borderId="0" xfId="0" applyFont="1" applyFill="1" applyAlignment="1">
      <alignment horizontal="left"/>
    </xf>
    <xf numFmtId="0" fontId="5" fillId="0" borderId="4" xfId="0" applyFont="1" applyBorder="1"/>
    <xf numFmtId="0" fontId="5" fillId="0" borderId="0" xfId="0" applyFont="1" applyBorder="1" applyAlignment="1">
      <alignment horizontal="right"/>
    </xf>
    <xf numFmtId="0" fontId="5" fillId="0" borderId="0" xfId="0" applyFont="1" applyBorder="1" applyAlignment="1"/>
    <xf numFmtId="0" fontId="4" fillId="0" borderId="0" xfId="0" applyFont="1" applyBorder="1" applyAlignment="1">
      <alignment horizontal="center"/>
    </xf>
    <xf numFmtId="0" fontId="5" fillId="0" borderId="4" xfId="0" applyFont="1" applyBorder="1" applyAlignment="1"/>
    <xf numFmtId="0" fontId="4" fillId="0" borderId="8" xfId="0" applyFont="1" applyBorder="1" applyAlignment="1">
      <alignment horizontal="right"/>
    </xf>
    <xf numFmtId="173" fontId="0" fillId="0" borderId="8" xfId="0" applyNumberFormat="1" applyBorder="1"/>
    <xf numFmtId="0" fontId="12" fillId="0" borderId="0" xfId="0" applyFont="1" applyAlignment="1">
      <alignment horizontal="left"/>
    </xf>
    <xf numFmtId="0" fontId="12" fillId="0" borderId="0" xfId="0" applyFont="1"/>
    <xf numFmtId="0" fontId="9" fillId="0" borderId="9" xfId="0" applyFont="1" applyBorder="1" applyAlignment="1">
      <alignment horizontal="right"/>
    </xf>
    <xf numFmtId="173" fontId="9" fillId="0" borderId="10" xfId="0" applyNumberFormat="1" applyFont="1" applyBorder="1" applyAlignment="1">
      <alignment horizontal="left"/>
    </xf>
    <xf numFmtId="174" fontId="9" fillId="0" borderId="10" xfId="2" applyNumberFormat="1" applyFont="1" applyBorder="1" applyAlignment="1">
      <alignment horizontal="right"/>
    </xf>
    <xf numFmtId="0" fontId="13" fillId="0" borderId="0" xfId="0" applyFont="1" applyFill="1"/>
    <xf numFmtId="0" fontId="13" fillId="0" borderId="7" xfId="0" applyFont="1" applyFill="1" applyBorder="1"/>
    <xf numFmtId="0" fontId="13" fillId="0" borderId="7" xfId="0" applyFont="1" applyFill="1" applyBorder="1" applyAlignment="1">
      <alignment horizontal="left"/>
    </xf>
    <xf numFmtId="0" fontId="13" fillId="0" borderId="7" xfId="0" applyFont="1" applyFill="1" applyBorder="1" applyAlignment="1">
      <alignment horizontal="center"/>
    </xf>
    <xf numFmtId="0" fontId="13" fillId="0" borderId="2" xfId="0" applyFont="1" applyFill="1" applyBorder="1" applyAlignment="1">
      <alignment horizontal="center"/>
    </xf>
    <xf numFmtId="173" fontId="0" fillId="0" borderId="7" xfId="0" applyNumberFormat="1" applyBorder="1"/>
    <xf numFmtId="0" fontId="3" fillId="0" borderId="1" xfId="0" applyFont="1" applyFill="1" applyBorder="1"/>
    <xf numFmtId="0" fontId="14" fillId="2" borderId="7" xfId="0" applyFont="1" applyFill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2001 SBIR Award Distribution in NC by Agency</a:t>
            </a:r>
          </a:p>
        </c:rich>
      </c:tx>
      <c:layout>
        <c:manualLayout>
          <c:xMode val="edge"/>
          <c:yMode val="edge"/>
          <c:x val="0.2620203864395802"/>
          <c:y val="3.0096701585268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130060154314363"/>
          <c:y val="0.30507111152340588"/>
          <c:w val="0.27403278237950368"/>
          <c:h val="0.4993316399374132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6DA7-4033-B095-7CBE98B9E53B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DA7-4033-B095-7CBE98B9E53B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6DA7-4033-B095-7CBE98B9E53B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DA7-4033-B095-7CBE98B9E53B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6DA7-4033-B095-7CBE98B9E53B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DA7-4033-B095-7CBE98B9E53B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6DA7-4033-B095-7CBE98B9E53B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DA7-4033-B095-7CBE98B9E53B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6DA7-4033-B095-7CBE98B9E53B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DA7-4033-B095-7CBE98B9E53B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26502348542456106"/>
                  <c:y val="0.1368031890239488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A7-4033-B095-7CBE98B9E53B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34760870751153478"/>
                  <c:y val="8.8922072865566734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A7-4033-B095-7CBE98B9E53B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45722182046333626"/>
                  <c:y val="9.029010475580621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A7-4033-B095-7CBE98B9E53B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53755471831157431"/>
                  <c:y val="0.1436433484751462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A7-4033-B095-7CBE98B9E53B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65842945245705398"/>
                  <c:y val="0.16826792249945705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DA7-4033-B095-7CBE98B9E53B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59986902224992722"/>
                  <c:y val="0.2544539315845448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A7-4033-B095-7CBE98B9E53B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61263219293609583"/>
                  <c:y val="0.4145136627425649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DA7-4033-B095-7CBE98B9E53B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26277116118582544"/>
                  <c:y val="0.7578896671926764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DA7-4033-B095-7CBE98B9E53B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34835948225778002"/>
                  <c:y val="0.30233504774292691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DA7-4033-B095-7CBE98B9E53B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040637722293123"/>
                  <c:y val="0.2311973894504735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DA7-4033-B095-7CBE98B9E53B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22673397336605508"/>
                  <c:y val="0.17921217762137295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DA7-4033-B095-7CBE98B9E53B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'Award Distribution by Agency'!$A$3:$A$12</c:f>
              <c:strCache>
                <c:ptCount val="10"/>
                <c:pt idx="0">
                  <c:v>DOD - AF</c:v>
                </c:pt>
                <c:pt idx="1">
                  <c:v>DOD - ARMY</c:v>
                </c:pt>
                <c:pt idx="2">
                  <c:v>DOD - BMDO</c:v>
                </c:pt>
                <c:pt idx="3">
                  <c:v>DOD - OSD</c:v>
                </c:pt>
                <c:pt idx="4">
                  <c:v>DOE</c:v>
                </c:pt>
                <c:pt idx="5">
                  <c:v>ED</c:v>
                </c:pt>
                <c:pt idx="6">
                  <c:v>NASA</c:v>
                </c:pt>
                <c:pt idx="7">
                  <c:v>NIH</c:v>
                </c:pt>
                <c:pt idx="8">
                  <c:v>NSF</c:v>
                </c:pt>
                <c:pt idx="9">
                  <c:v>USDA</c:v>
                </c:pt>
              </c:strCache>
            </c:strRef>
          </c:cat>
          <c:val>
            <c:numRef>
              <c:f>'Award Distribution by Agency'!$C$3:$C$12</c:f>
              <c:numCache>
                <c:formatCode>0.0%</c:formatCode>
                <c:ptCount val="10"/>
                <c:pt idx="0">
                  <c:v>2.7950704540636494E-2</c:v>
                </c:pt>
                <c:pt idx="1">
                  <c:v>1.586399350745845E-2</c:v>
                </c:pt>
                <c:pt idx="2">
                  <c:v>2.0507951531538528E-2</c:v>
                </c:pt>
                <c:pt idx="3">
                  <c:v>7.601083580070841E-3</c:v>
                </c:pt>
                <c:pt idx="4">
                  <c:v>0</c:v>
                </c:pt>
                <c:pt idx="5">
                  <c:v>2.1283034024198354E-2</c:v>
                </c:pt>
                <c:pt idx="6">
                  <c:v>1.0502645215091283E-2</c:v>
                </c:pt>
                <c:pt idx="7">
                  <c:v>0.85041037110086271</c:v>
                </c:pt>
                <c:pt idx="8">
                  <c:v>7.4513422335434447E-3</c:v>
                </c:pt>
                <c:pt idx="9">
                  <c:v>3.8428874266599952E-2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DA7-4033-B095-7CBE98B9E53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5363088648081009"/>
          <c:y val="0.30780717530388485"/>
          <c:w val="0.13814255330911965"/>
          <c:h val="0.4938595123764552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2001 SBIR Award Distribution by NC Geography</a:t>
            </a:r>
          </a:p>
        </c:rich>
      </c:tx>
      <c:layout>
        <c:manualLayout>
          <c:xMode val="edge"/>
          <c:yMode val="edge"/>
          <c:x val="0.13808907191565947"/>
          <c:y val="3.40919672293461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847316871481995"/>
          <c:y val="0.3769056377022163"/>
          <c:w val="0.22495155263680011"/>
          <c:h val="0.3825876322404406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09F-4039-AA6A-669308D64647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09F-4039-AA6A-669308D64647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209F-4039-AA6A-669308D64647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09F-4039-AA6A-669308D64647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209F-4039-AA6A-669308D64647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4298579174148755"/>
                  <c:y val="0.1420498634556091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9F-4039-AA6A-669308D64647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50335693956353289"/>
                  <c:y val="0.2613717487583208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9F-4039-AA6A-669308D64647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534538342899327"/>
                  <c:y val="0.3693296449845838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9F-4039-AA6A-669308D64647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34522267978914872"/>
                  <c:y val="0.25379575604068838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09F-4039-AA6A-669308D64647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'Award Distribution by Geography'!$A$3:$A$7</c:f>
              <c:strCache>
                <c:ptCount val="5"/>
                <c:pt idx="0">
                  <c:v>Charlotte</c:v>
                </c:pt>
                <c:pt idx="1">
                  <c:v>East </c:v>
                </c:pt>
                <c:pt idx="2">
                  <c:v>Triad</c:v>
                </c:pt>
                <c:pt idx="3">
                  <c:v>Triangle</c:v>
                </c:pt>
                <c:pt idx="4">
                  <c:v>West</c:v>
                </c:pt>
              </c:strCache>
            </c:strRef>
          </c:cat>
          <c:val>
            <c:numRef>
              <c:f>'Award Distribution by Geography'!$B$3:$B$7</c:f>
              <c:numCache>
                <c:formatCode>0.0%</c:formatCode>
                <c:ptCount val="5"/>
                <c:pt idx="0">
                  <c:v>4.6245676598673201E-2</c:v>
                </c:pt>
                <c:pt idx="1">
                  <c:v>3.8005341889518401E-2</c:v>
                </c:pt>
                <c:pt idx="2">
                  <c:v>0.13828134483539437</c:v>
                </c:pt>
                <c:pt idx="3">
                  <c:v>0.77746763667641405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09F-4039-AA6A-669308D6464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3632978232790545"/>
          <c:y val="0.39773961767570565"/>
          <c:w val="0.15145253048814267"/>
          <c:h val="0.3428136704728700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14</xdr:row>
      <xdr:rowOff>38100</xdr:rowOff>
    </xdr:from>
    <xdr:to>
      <xdr:col>7</xdr:col>
      <xdr:colOff>806450</xdr:colOff>
      <xdr:row>43</xdr:row>
      <xdr:rowOff>76200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DDF6E914-817E-475E-B0D2-582AEC088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6350</xdr:rowOff>
    </xdr:from>
    <xdr:to>
      <xdr:col>5</xdr:col>
      <xdr:colOff>165100</xdr:colOff>
      <xdr:row>29</xdr:row>
      <xdr:rowOff>25400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63F2A74E-1279-4CDB-B284-875A1924F1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95"/>
  <sheetViews>
    <sheetView topLeftCell="C1" workbookViewId="0">
      <pane ySplit="3" topLeftCell="A55" activePane="bottomLeft" state="frozen"/>
      <selection pane="bottomLeft" activeCell="E80" sqref="E80"/>
    </sheetView>
  </sheetViews>
  <sheetFormatPr defaultRowHeight="12.5" x14ac:dyDescent="0.25"/>
  <cols>
    <col min="1" max="1" width="12.453125" style="7" customWidth="1"/>
    <col min="2" max="2" width="8.1796875" bestFit="1" customWidth="1"/>
    <col min="3" max="3" width="33" bestFit="1" customWidth="1"/>
    <col min="4" max="4" width="16.7265625" bestFit="1" customWidth="1"/>
    <col min="5" max="5" width="66.26953125" customWidth="1"/>
    <col min="6" max="6" width="15.54296875" style="7" bestFit="1" customWidth="1"/>
    <col min="7" max="7" width="19.1796875" bestFit="1" customWidth="1"/>
    <col min="8" max="8" width="16.7265625" bestFit="1" customWidth="1"/>
    <col min="9" max="9" width="7.1796875" bestFit="1" customWidth="1"/>
    <col min="10" max="10" width="33" bestFit="1" customWidth="1"/>
    <col min="11" max="11" width="41.1796875" bestFit="1" customWidth="1"/>
    <col min="12" max="12" width="14.453125" bestFit="1" customWidth="1"/>
    <col min="13" max="13" width="16.7265625" bestFit="1" customWidth="1"/>
    <col min="14" max="14" width="8" bestFit="1" customWidth="1"/>
    <col min="15" max="15" width="6" bestFit="1" customWidth="1"/>
  </cols>
  <sheetData>
    <row r="1" spans="1:69" s="1" customFormat="1" ht="18" x14ac:dyDescent="0.4">
      <c r="A1" s="14" t="s">
        <v>52</v>
      </c>
      <c r="F1" s="5"/>
    </row>
    <row r="3" spans="1:69" s="2" customFormat="1" ht="14.5" thickBot="1" x14ac:dyDescent="0.35">
      <c r="A3" s="6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6" t="s">
        <v>35</v>
      </c>
      <c r="G3" s="3" t="s">
        <v>5</v>
      </c>
      <c r="H3" s="3" t="s">
        <v>6</v>
      </c>
      <c r="I3" s="3" t="s">
        <v>7</v>
      </c>
      <c r="J3" s="3" t="s">
        <v>2</v>
      </c>
      <c r="K3" s="3" t="s">
        <v>8</v>
      </c>
      <c r="L3" s="3" t="s">
        <v>9</v>
      </c>
      <c r="M3" s="3" t="s">
        <v>3</v>
      </c>
      <c r="N3" s="3" t="s">
        <v>10</v>
      </c>
      <c r="O3" s="3" t="s">
        <v>11</v>
      </c>
    </row>
    <row r="4" spans="1:69" s="2" customFormat="1" ht="14" x14ac:dyDescent="0.3">
      <c r="A4" s="123"/>
      <c r="B4" s="124" t="s">
        <v>251</v>
      </c>
      <c r="C4" s="118"/>
      <c r="D4" s="118"/>
      <c r="E4" s="118"/>
      <c r="F4" s="119"/>
      <c r="G4" s="120"/>
      <c r="H4" s="120"/>
      <c r="I4" s="120"/>
      <c r="J4" s="120"/>
      <c r="K4" s="120"/>
      <c r="L4" s="120"/>
      <c r="M4" s="120"/>
      <c r="N4" s="120"/>
      <c r="O4" s="121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</row>
    <row r="5" spans="1:69" x14ac:dyDescent="0.25">
      <c r="A5" s="30" t="s">
        <v>16</v>
      </c>
      <c r="B5" s="32">
        <v>1</v>
      </c>
      <c r="C5" s="32" t="s">
        <v>53</v>
      </c>
      <c r="D5" s="32" t="s">
        <v>54</v>
      </c>
      <c r="E5" s="32" t="s">
        <v>55</v>
      </c>
      <c r="F5" s="31">
        <v>60000</v>
      </c>
      <c r="G5" s="32" t="s">
        <v>56</v>
      </c>
      <c r="H5" s="32" t="s">
        <v>57</v>
      </c>
      <c r="I5" s="32"/>
      <c r="J5" s="32" t="str">
        <f t="shared" ref="J5:J10" si="0">C5</f>
        <v>Sigma-K Corporation</v>
      </c>
      <c r="K5" s="32" t="s">
        <v>58</v>
      </c>
      <c r="L5" s="32"/>
      <c r="M5" s="32" t="str">
        <f>D5</f>
        <v>Durham</v>
      </c>
      <c r="N5" s="32" t="s">
        <v>12</v>
      </c>
      <c r="O5" s="46">
        <v>27703</v>
      </c>
    </row>
    <row r="6" spans="1:69" x14ac:dyDescent="0.25">
      <c r="A6" s="30" t="s">
        <v>16</v>
      </c>
      <c r="B6" s="32">
        <v>1</v>
      </c>
      <c r="C6" s="32" t="s">
        <v>59</v>
      </c>
      <c r="D6" s="32" t="s">
        <v>60</v>
      </c>
      <c r="E6" s="32" t="s">
        <v>61</v>
      </c>
      <c r="F6" s="31">
        <v>59825</v>
      </c>
      <c r="G6" s="32"/>
      <c r="H6" s="32"/>
      <c r="I6" s="32"/>
      <c r="J6" s="32" t="str">
        <f t="shared" si="0"/>
        <v xml:space="preserve">Positive Behavioral Solutions, Inc. </v>
      </c>
      <c r="K6" s="32" t="s">
        <v>62</v>
      </c>
      <c r="L6" s="32"/>
      <c r="M6" s="32" t="str">
        <f>D6</f>
        <v>Fletcher</v>
      </c>
      <c r="N6" s="32" t="s">
        <v>12</v>
      </c>
      <c r="O6" s="46">
        <v>28732</v>
      </c>
    </row>
    <row r="7" spans="1:69" x14ac:dyDescent="0.25">
      <c r="A7" s="30" t="s">
        <v>16</v>
      </c>
      <c r="B7" s="32">
        <v>1</v>
      </c>
      <c r="C7" s="32" t="s">
        <v>63</v>
      </c>
      <c r="D7" s="32" t="s">
        <v>194</v>
      </c>
      <c r="E7" s="32"/>
      <c r="F7" s="31">
        <v>59981</v>
      </c>
      <c r="G7" s="32"/>
      <c r="H7" s="32"/>
      <c r="I7" s="32"/>
      <c r="J7" s="32" t="str">
        <f t="shared" si="0"/>
        <v>Bright Futures Press</v>
      </c>
      <c r="K7" s="32" t="s">
        <v>64</v>
      </c>
      <c r="L7" s="32"/>
      <c r="M7" s="32" t="s">
        <v>14</v>
      </c>
      <c r="N7" s="32" t="s">
        <v>12</v>
      </c>
      <c r="O7" s="46">
        <v>27614</v>
      </c>
    </row>
    <row r="8" spans="1:69" x14ac:dyDescent="0.25">
      <c r="A8" s="30" t="s">
        <v>29</v>
      </c>
      <c r="B8" s="32">
        <v>1</v>
      </c>
      <c r="C8" s="32" t="s">
        <v>65</v>
      </c>
      <c r="D8" s="32" t="s">
        <v>17</v>
      </c>
      <c r="E8" s="32" t="s">
        <v>66</v>
      </c>
      <c r="F8" s="31">
        <v>98030</v>
      </c>
      <c r="G8" s="32" t="s">
        <v>67</v>
      </c>
      <c r="H8" s="32"/>
      <c r="I8" s="32"/>
      <c r="J8" s="32" t="str">
        <f t="shared" si="0"/>
        <v>Triangle Bio Systems</v>
      </c>
      <c r="K8" s="32"/>
      <c r="L8" s="32"/>
      <c r="M8" s="32" t="str">
        <f>D8</f>
        <v>Charlotte</v>
      </c>
      <c r="N8" s="32" t="s">
        <v>12</v>
      </c>
      <c r="O8" s="105">
        <v>28269</v>
      </c>
    </row>
    <row r="9" spans="1:69" x14ac:dyDescent="0.25">
      <c r="A9" s="30" t="s">
        <v>13</v>
      </c>
      <c r="B9" s="32">
        <v>1</v>
      </c>
      <c r="C9" s="32" t="s">
        <v>68</v>
      </c>
      <c r="D9" s="32" t="s">
        <v>54</v>
      </c>
      <c r="E9" s="32" t="s">
        <v>69</v>
      </c>
      <c r="F9" s="31">
        <v>68263</v>
      </c>
      <c r="G9" s="32" t="s">
        <v>70</v>
      </c>
      <c r="H9" s="32" t="s">
        <v>71</v>
      </c>
      <c r="I9" s="32"/>
      <c r="J9" s="32" t="str">
        <f t="shared" si="0"/>
        <v>IAVO Research and Scientific</v>
      </c>
      <c r="K9" s="32"/>
      <c r="L9" s="32"/>
      <c r="M9" s="32" t="str">
        <f>D9</f>
        <v>Durham</v>
      </c>
      <c r="N9" s="32" t="s">
        <v>12</v>
      </c>
      <c r="O9" s="46">
        <v>27701</v>
      </c>
    </row>
    <row r="10" spans="1:69" x14ac:dyDescent="0.25">
      <c r="A10" s="30" t="s">
        <v>13</v>
      </c>
      <c r="B10" s="32">
        <v>1</v>
      </c>
      <c r="C10" s="32" t="s">
        <v>68</v>
      </c>
      <c r="D10" s="32" t="s">
        <v>54</v>
      </c>
      <c r="E10" s="32" t="s">
        <v>72</v>
      </c>
      <c r="F10" s="31">
        <v>69910</v>
      </c>
      <c r="G10" s="32" t="s">
        <v>70</v>
      </c>
      <c r="H10" s="32" t="s">
        <v>71</v>
      </c>
      <c r="I10" s="32"/>
      <c r="J10" s="32" t="str">
        <f t="shared" si="0"/>
        <v>IAVO Research and Scientific</v>
      </c>
      <c r="K10" s="32" t="s">
        <v>73</v>
      </c>
      <c r="L10" s="32"/>
      <c r="M10" s="32" t="str">
        <f>D10</f>
        <v>Durham</v>
      </c>
      <c r="N10" s="32" t="s">
        <v>12</v>
      </c>
      <c r="O10" s="46">
        <v>27701</v>
      </c>
    </row>
    <row r="11" spans="1:69" ht="13" x14ac:dyDescent="0.3">
      <c r="A11" s="96" t="s">
        <v>34</v>
      </c>
      <c r="B11" s="106">
        <v>1</v>
      </c>
      <c r="C11" s="97" t="s">
        <v>185</v>
      </c>
      <c r="D11" s="97" t="s">
        <v>186</v>
      </c>
      <c r="E11" s="97" t="s">
        <v>196</v>
      </c>
      <c r="F11" s="42">
        <v>102619</v>
      </c>
      <c r="G11" s="97" t="s">
        <v>178</v>
      </c>
      <c r="H11" s="61" t="s">
        <v>179</v>
      </c>
      <c r="I11" s="107"/>
      <c r="J11" s="61" t="s">
        <v>185</v>
      </c>
      <c r="K11" s="97" t="s">
        <v>97</v>
      </c>
      <c r="L11" s="108"/>
      <c r="M11" s="107" t="s">
        <v>186</v>
      </c>
      <c r="N11" s="107" t="s">
        <v>12</v>
      </c>
      <c r="O11" s="109">
        <v>28012</v>
      </c>
    </row>
    <row r="12" spans="1:69" x14ac:dyDescent="0.25">
      <c r="A12" s="96" t="s">
        <v>34</v>
      </c>
      <c r="B12" s="61">
        <v>1</v>
      </c>
      <c r="C12" s="97" t="s">
        <v>93</v>
      </c>
      <c r="D12" s="97" t="s">
        <v>187</v>
      </c>
      <c r="E12" s="97" t="s">
        <v>197</v>
      </c>
      <c r="F12" s="42">
        <v>499999</v>
      </c>
      <c r="G12" s="61" t="s">
        <v>181</v>
      </c>
      <c r="H12" s="107" t="s">
        <v>180</v>
      </c>
      <c r="I12" s="107"/>
      <c r="J12" s="107" t="s">
        <v>93</v>
      </c>
      <c r="K12" s="107" t="s">
        <v>94</v>
      </c>
      <c r="L12" s="61"/>
      <c r="M12" s="107" t="s">
        <v>187</v>
      </c>
      <c r="N12" s="107" t="s">
        <v>12</v>
      </c>
      <c r="O12" s="105">
        <v>28712</v>
      </c>
    </row>
    <row r="13" spans="1:69" x14ac:dyDescent="0.25">
      <c r="A13" s="96" t="s">
        <v>34</v>
      </c>
      <c r="B13" s="61">
        <v>1</v>
      </c>
      <c r="C13" s="97" t="s">
        <v>95</v>
      </c>
      <c r="D13" s="97" t="s">
        <v>188</v>
      </c>
      <c r="E13" s="97" t="s">
        <v>198</v>
      </c>
      <c r="F13" s="42">
        <v>154159</v>
      </c>
      <c r="G13" s="107" t="s">
        <v>100</v>
      </c>
      <c r="H13" s="61" t="s">
        <v>101</v>
      </c>
      <c r="I13" s="61"/>
      <c r="J13" s="107" t="s">
        <v>95</v>
      </c>
      <c r="K13" s="107" t="s">
        <v>96</v>
      </c>
      <c r="L13" s="61"/>
      <c r="M13" s="107" t="s">
        <v>188</v>
      </c>
      <c r="N13" s="107" t="s">
        <v>12</v>
      </c>
      <c r="O13" s="105">
        <v>27516</v>
      </c>
    </row>
    <row r="14" spans="1:69" x14ac:dyDescent="0.25">
      <c r="A14" s="96" t="s">
        <v>34</v>
      </c>
      <c r="B14" s="61">
        <v>1</v>
      </c>
      <c r="C14" s="97" t="s">
        <v>95</v>
      </c>
      <c r="D14" s="97" t="s">
        <v>188</v>
      </c>
      <c r="E14" s="97"/>
      <c r="F14" s="42">
        <v>152869</v>
      </c>
      <c r="G14" s="107" t="s">
        <v>100</v>
      </c>
      <c r="H14" s="61" t="s">
        <v>101</v>
      </c>
      <c r="I14" s="61"/>
      <c r="J14" s="107" t="s">
        <v>95</v>
      </c>
      <c r="K14" s="107" t="s">
        <v>96</v>
      </c>
      <c r="L14" s="61"/>
      <c r="M14" s="107" t="s">
        <v>188</v>
      </c>
      <c r="N14" s="107" t="s">
        <v>12</v>
      </c>
      <c r="O14" s="105">
        <v>27516</v>
      </c>
    </row>
    <row r="15" spans="1:69" x14ac:dyDescent="0.25">
      <c r="A15" s="96" t="s">
        <v>34</v>
      </c>
      <c r="B15" s="61">
        <v>1</v>
      </c>
      <c r="C15" s="97" t="s">
        <v>95</v>
      </c>
      <c r="D15" s="97" t="s">
        <v>188</v>
      </c>
      <c r="E15" s="97"/>
      <c r="F15" s="42">
        <v>57473</v>
      </c>
      <c r="G15" s="107" t="s">
        <v>100</v>
      </c>
      <c r="H15" s="61" t="s">
        <v>101</v>
      </c>
      <c r="I15" s="61"/>
      <c r="J15" s="107" t="s">
        <v>95</v>
      </c>
      <c r="K15" s="107" t="s">
        <v>96</v>
      </c>
      <c r="L15" s="61"/>
      <c r="M15" s="107" t="s">
        <v>188</v>
      </c>
      <c r="N15" s="107" t="s">
        <v>12</v>
      </c>
      <c r="O15" s="105">
        <v>27516</v>
      </c>
    </row>
    <row r="16" spans="1:69" x14ac:dyDescent="0.25">
      <c r="A16" s="96" t="s">
        <v>34</v>
      </c>
      <c r="B16" s="61">
        <v>1</v>
      </c>
      <c r="C16" s="97" t="s">
        <v>98</v>
      </c>
      <c r="D16" s="97" t="s">
        <v>189</v>
      </c>
      <c r="E16" s="97"/>
      <c r="F16" s="42">
        <v>99143</v>
      </c>
      <c r="G16" s="107" t="s">
        <v>183</v>
      </c>
      <c r="H16" s="61" t="s">
        <v>182</v>
      </c>
      <c r="I16" s="61"/>
      <c r="J16" s="107" t="s">
        <v>98</v>
      </c>
      <c r="K16" s="107" t="s">
        <v>99</v>
      </c>
      <c r="L16" s="61"/>
      <c r="M16" s="107" t="s">
        <v>189</v>
      </c>
      <c r="N16" s="107" t="s">
        <v>12</v>
      </c>
      <c r="O16" s="105">
        <v>27514</v>
      </c>
    </row>
    <row r="17" spans="1:15" x14ac:dyDescent="0.25">
      <c r="A17" s="96" t="s">
        <v>34</v>
      </c>
      <c r="B17" s="61">
        <v>1</v>
      </c>
      <c r="C17" s="97" t="s">
        <v>102</v>
      </c>
      <c r="D17" s="97" t="s">
        <v>190</v>
      </c>
      <c r="E17" s="97"/>
      <c r="F17" s="42">
        <v>121712</v>
      </c>
      <c r="G17" s="61" t="s">
        <v>184</v>
      </c>
      <c r="H17" s="107" t="s">
        <v>103</v>
      </c>
      <c r="I17" s="107"/>
      <c r="J17" s="107" t="s">
        <v>102</v>
      </c>
      <c r="K17" s="107" t="s">
        <v>104</v>
      </c>
      <c r="L17" s="61"/>
      <c r="M17" s="107" t="s">
        <v>190</v>
      </c>
      <c r="N17" s="107" t="s">
        <v>12</v>
      </c>
      <c r="O17" s="105">
        <v>27514</v>
      </c>
    </row>
    <row r="18" spans="1:15" x14ac:dyDescent="0.25">
      <c r="A18" s="96" t="s">
        <v>34</v>
      </c>
      <c r="B18" s="61">
        <v>1</v>
      </c>
      <c r="C18" s="97" t="s">
        <v>107</v>
      </c>
      <c r="D18" s="97" t="s">
        <v>191</v>
      </c>
      <c r="E18" s="97"/>
      <c r="F18" s="42">
        <v>300000</v>
      </c>
      <c r="G18" s="61" t="s">
        <v>106</v>
      </c>
      <c r="H18" s="107" t="s">
        <v>105</v>
      </c>
      <c r="I18" s="107"/>
      <c r="J18" s="61" t="s">
        <v>107</v>
      </c>
      <c r="K18" s="107" t="s">
        <v>90</v>
      </c>
      <c r="L18" s="61"/>
      <c r="M18" s="61" t="s">
        <v>191</v>
      </c>
      <c r="N18" s="107" t="s">
        <v>12</v>
      </c>
      <c r="O18" s="105">
        <v>27713</v>
      </c>
    </row>
    <row r="19" spans="1:15" x14ac:dyDescent="0.25">
      <c r="A19" s="96" t="s">
        <v>34</v>
      </c>
      <c r="B19" s="61">
        <v>1</v>
      </c>
      <c r="C19" s="97" t="s">
        <v>107</v>
      </c>
      <c r="D19" s="97" t="s">
        <v>191</v>
      </c>
      <c r="E19" s="97"/>
      <c r="F19" s="42">
        <v>99277</v>
      </c>
      <c r="G19" s="61" t="s">
        <v>106</v>
      </c>
      <c r="H19" s="107" t="s">
        <v>105</v>
      </c>
      <c r="I19" s="107"/>
      <c r="J19" s="61" t="s">
        <v>107</v>
      </c>
      <c r="K19" s="107" t="s">
        <v>90</v>
      </c>
      <c r="L19" s="61"/>
      <c r="M19" s="61" t="s">
        <v>191</v>
      </c>
      <c r="N19" s="107" t="s">
        <v>12</v>
      </c>
      <c r="O19" s="105">
        <v>27713</v>
      </c>
    </row>
    <row r="20" spans="1:15" x14ac:dyDescent="0.25">
      <c r="A20" s="96" t="s">
        <v>34</v>
      </c>
      <c r="B20" s="61">
        <v>1</v>
      </c>
      <c r="C20" s="97" t="s">
        <v>111</v>
      </c>
      <c r="D20" s="97" t="s">
        <v>191</v>
      </c>
      <c r="E20" s="97"/>
      <c r="F20" s="42">
        <v>99133</v>
      </c>
      <c r="G20" s="61" t="s">
        <v>109</v>
      </c>
      <c r="H20" s="107" t="s">
        <v>108</v>
      </c>
      <c r="I20" s="107"/>
      <c r="J20" s="107" t="s">
        <v>111</v>
      </c>
      <c r="K20" s="61" t="s">
        <v>110</v>
      </c>
      <c r="L20" s="61"/>
      <c r="M20" s="107" t="s">
        <v>191</v>
      </c>
      <c r="N20" s="107" t="s">
        <v>12</v>
      </c>
      <c r="O20" s="105">
        <v>27707</v>
      </c>
    </row>
    <row r="21" spans="1:15" x14ac:dyDescent="0.25">
      <c r="A21" s="96" t="s">
        <v>34</v>
      </c>
      <c r="B21" s="61">
        <v>1</v>
      </c>
      <c r="C21" s="97" t="s">
        <v>114</v>
      </c>
      <c r="D21" s="97" t="s">
        <v>191</v>
      </c>
      <c r="E21" s="97"/>
      <c r="F21" s="42">
        <v>101102</v>
      </c>
      <c r="G21" s="61" t="s">
        <v>113</v>
      </c>
      <c r="H21" s="107" t="s">
        <v>112</v>
      </c>
      <c r="I21" s="107"/>
      <c r="J21" s="107" t="s">
        <v>114</v>
      </c>
      <c r="K21" s="61" t="s">
        <v>115</v>
      </c>
      <c r="L21" s="61"/>
      <c r="M21" s="107" t="s">
        <v>191</v>
      </c>
      <c r="N21" s="107" t="s">
        <v>12</v>
      </c>
      <c r="O21" s="105">
        <v>27703</v>
      </c>
    </row>
    <row r="22" spans="1:15" x14ac:dyDescent="0.25">
      <c r="A22" s="96" t="s">
        <v>34</v>
      </c>
      <c r="B22" s="61">
        <v>1</v>
      </c>
      <c r="C22" s="97" t="s">
        <v>114</v>
      </c>
      <c r="D22" s="97" t="s">
        <v>191</v>
      </c>
      <c r="E22" s="97"/>
      <c r="F22" s="42">
        <v>100000</v>
      </c>
      <c r="G22" s="61" t="s">
        <v>113</v>
      </c>
      <c r="H22" s="107" t="s">
        <v>112</v>
      </c>
      <c r="I22" s="107"/>
      <c r="J22" s="107" t="s">
        <v>114</v>
      </c>
      <c r="K22" s="61" t="s">
        <v>115</v>
      </c>
      <c r="L22" s="61"/>
      <c r="M22" s="107" t="s">
        <v>191</v>
      </c>
      <c r="N22" s="107" t="s">
        <v>12</v>
      </c>
      <c r="O22" s="105">
        <v>27703</v>
      </c>
    </row>
    <row r="23" spans="1:15" x14ac:dyDescent="0.25">
      <c r="A23" s="96" t="s">
        <v>34</v>
      </c>
      <c r="B23" s="61">
        <v>1</v>
      </c>
      <c r="C23" s="97" t="s">
        <v>121</v>
      </c>
      <c r="D23" s="97" t="s">
        <v>191</v>
      </c>
      <c r="E23" s="97"/>
      <c r="F23" s="42">
        <v>100000</v>
      </c>
      <c r="G23" s="61" t="s">
        <v>120</v>
      </c>
      <c r="H23" s="107" t="s">
        <v>119</v>
      </c>
      <c r="I23" s="107"/>
      <c r="J23" s="107" t="s">
        <v>121</v>
      </c>
      <c r="K23" s="107" t="s">
        <v>92</v>
      </c>
      <c r="L23" s="61"/>
      <c r="M23" s="107" t="s">
        <v>191</v>
      </c>
      <c r="N23" s="107" t="s">
        <v>12</v>
      </c>
      <c r="O23" s="105">
        <v>27713</v>
      </c>
    </row>
    <row r="24" spans="1:15" x14ac:dyDescent="0.25">
      <c r="A24" s="96" t="s">
        <v>34</v>
      </c>
      <c r="B24" s="61">
        <v>1</v>
      </c>
      <c r="C24" s="97" t="s">
        <v>128</v>
      </c>
      <c r="D24" s="97" t="s">
        <v>191</v>
      </c>
      <c r="E24" s="97"/>
      <c r="F24" s="42">
        <v>99802</v>
      </c>
      <c r="G24" s="61" t="s">
        <v>127</v>
      </c>
      <c r="H24" s="107" t="s">
        <v>126</v>
      </c>
      <c r="I24" s="107"/>
      <c r="J24" s="107" t="s">
        <v>128</v>
      </c>
      <c r="K24" s="107" t="s">
        <v>129</v>
      </c>
      <c r="L24" s="61"/>
      <c r="M24" s="107" t="s">
        <v>191</v>
      </c>
      <c r="N24" s="107" t="s">
        <v>12</v>
      </c>
      <c r="O24" s="105">
        <v>27705</v>
      </c>
    </row>
    <row r="25" spans="1:15" x14ac:dyDescent="0.25">
      <c r="A25" s="96" t="s">
        <v>34</v>
      </c>
      <c r="B25" s="61">
        <v>1</v>
      </c>
      <c r="C25" s="97" t="s">
        <v>138</v>
      </c>
      <c r="D25" s="97" t="s">
        <v>192</v>
      </c>
      <c r="E25" s="97"/>
      <c r="F25" s="42">
        <v>136705</v>
      </c>
      <c r="G25" s="61" t="s">
        <v>137</v>
      </c>
      <c r="H25" s="107" t="s">
        <v>136</v>
      </c>
      <c r="I25" s="107"/>
      <c r="J25" s="107" t="s">
        <v>138</v>
      </c>
      <c r="K25" s="107" t="s">
        <v>139</v>
      </c>
      <c r="L25" s="61"/>
      <c r="M25" s="107" t="s">
        <v>192</v>
      </c>
      <c r="N25" s="107" t="s">
        <v>12</v>
      </c>
      <c r="O25" s="105">
        <v>27409</v>
      </c>
    </row>
    <row r="26" spans="1:15" x14ac:dyDescent="0.25">
      <c r="A26" s="96" t="s">
        <v>34</v>
      </c>
      <c r="B26" s="61">
        <v>1</v>
      </c>
      <c r="C26" s="97" t="s">
        <v>138</v>
      </c>
      <c r="D26" s="97" t="s">
        <v>192</v>
      </c>
      <c r="E26" s="97"/>
      <c r="F26" s="99">
        <v>123318</v>
      </c>
      <c r="G26" s="61" t="s">
        <v>141</v>
      </c>
      <c r="H26" s="107" t="s">
        <v>140</v>
      </c>
      <c r="I26" s="107"/>
      <c r="J26" s="107" t="s">
        <v>138</v>
      </c>
      <c r="K26" s="107" t="s">
        <v>139</v>
      </c>
      <c r="L26" s="61"/>
      <c r="M26" s="107" t="s">
        <v>192</v>
      </c>
      <c r="N26" s="107" t="s">
        <v>12</v>
      </c>
      <c r="O26" s="105">
        <v>27409</v>
      </c>
    </row>
    <row r="27" spans="1:15" x14ac:dyDescent="0.25">
      <c r="A27" s="96" t="s">
        <v>34</v>
      </c>
      <c r="B27" s="61">
        <v>1</v>
      </c>
      <c r="C27" s="97" t="s">
        <v>138</v>
      </c>
      <c r="D27" s="97" t="s">
        <v>192</v>
      </c>
      <c r="E27" s="97"/>
      <c r="F27" s="99">
        <v>15398</v>
      </c>
      <c r="G27" s="61" t="s">
        <v>144</v>
      </c>
      <c r="H27" s="107" t="s">
        <v>143</v>
      </c>
      <c r="I27" s="107"/>
      <c r="J27" s="107" t="s">
        <v>138</v>
      </c>
      <c r="K27" s="107" t="s">
        <v>139</v>
      </c>
      <c r="L27" s="61"/>
      <c r="M27" s="107" t="s">
        <v>192</v>
      </c>
      <c r="N27" s="107" t="s">
        <v>12</v>
      </c>
      <c r="O27" s="105">
        <v>27409</v>
      </c>
    </row>
    <row r="28" spans="1:15" x14ac:dyDescent="0.25">
      <c r="A28" s="96" t="s">
        <v>34</v>
      </c>
      <c r="B28" s="61">
        <v>1</v>
      </c>
      <c r="C28" s="97" t="s">
        <v>138</v>
      </c>
      <c r="D28" s="97" t="s">
        <v>192</v>
      </c>
      <c r="E28" s="97"/>
      <c r="F28" s="42">
        <v>30071</v>
      </c>
      <c r="G28" s="61" t="s">
        <v>137</v>
      </c>
      <c r="H28" s="107" t="s">
        <v>136</v>
      </c>
      <c r="I28" s="107"/>
      <c r="J28" s="107" t="s">
        <v>138</v>
      </c>
      <c r="K28" s="107" t="s">
        <v>139</v>
      </c>
      <c r="L28" s="61"/>
      <c r="M28" s="107" t="s">
        <v>192</v>
      </c>
      <c r="N28" s="107" t="s">
        <v>12</v>
      </c>
      <c r="O28" s="105">
        <v>27409</v>
      </c>
    </row>
    <row r="29" spans="1:15" x14ac:dyDescent="0.25">
      <c r="A29" s="96" t="s">
        <v>34</v>
      </c>
      <c r="B29" s="61">
        <v>1</v>
      </c>
      <c r="C29" s="97" t="s">
        <v>138</v>
      </c>
      <c r="D29" s="97" t="s">
        <v>192</v>
      </c>
      <c r="E29" s="97"/>
      <c r="F29" s="42">
        <v>22443</v>
      </c>
      <c r="G29" s="61" t="s">
        <v>137</v>
      </c>
      <c r="H29" s="107" t="s">
        <v>136</v>
      </c>
      <c r="I29" s="107"/>
      <c r="J29" s="107" t="s">
        <v>138</v>
      </c>
      <c r="K29" s="107" t="s">
        <v>139</v>
      </c>
      <c r="L29" s="61"/>
      <c r="M29" s="107" t="s">
        <v>192</v>
      </c>
      <c r="N29" s="107" t="s">
        <v>12</v>
      </c>
      <c r="O29" s="105">
        <v>27409</v>
      </c>
    </row>
    <row r="30" spans="1:15" x14ac:dyDescent="0.25">
      <c r="A30" s="96" t="s">
        <v>34</v>
      </c>
      <c r="B30" s="61">
        <v>1</v>
      </c>
      <c r="C30" s="97" t="s">
        <v>138</v>
      </c>
      <c r="D30" s="97" t="s">
        <v>192</v>
      </c>
      <c r="E30" s="97"/>
      <c r="F30" s="42">
        <v>55904</v>
      </c>
      <c r="G30" s="61" t="s">
        <v>137</v>
      </c>
      <c r="H30" s="107" t="s">
        <v>136</v>
      </c>
      <c r="I30" s="107"/>
      <c r="J30" s="107" t="s">
        <v>138</v>
      </c>
      <c r="K30" s="107" t="s">
        <v>139</v>
      </c>
      <c r="L30" s="61"/>
      <c r="M30" s="107" t="s">
        <v>192</v>
      </c>
      <c r="N30" s="107" t="s">
        <v>12</v>
      </c>
      <c r="O30" s="105">
        <v>27409</v>
      </c>
    </row>
    <row r="31" spans="1:15" x14ac:dyDescent="0.25">
      <c r="A31" s="96" t="s">
        <v>34</v>
      </c>
      <c r="B31" s="61">
        <v>1</v>
      </c>
      <c r="C31" s="97" t="s">
        <v>146</v>
      </c>
      <c r="D31" s="97" t="s">
        <v>193</v>
      </c>
      <c r="E31" s="97"/>
      <c r="F31" s="42">
        <v>49000</v>
      </c>
      <c r="G31" s="61" t="s">
        <v>145</v>
      </c>
      <c r="H31" s="107" t="s">
        <v>122</v>
      </c>
      <c r="I31" s="107"/>
      <c r="J31" s="107" t="s">
        <v>146</v>
      </c>
      <c r="K31" s="107" t="s">
        <v>147</v>
      </c>
      <c r="L31" s="61"/>
      <c r="M31" s="107" t="s">
        <v>193</v>
      </c>
      <c r="N31" s="107" t="s">
        <v>12</v>
      </c>
      <c r="O31" s="105">
        <v>27312</v>
      </c>
    </row>
    <row r="32" spans="1:15" x14ac:dyDescent="0.25">
      <c r="A32" s="96" t="s">
        <v>34</v>
      </c>
      <c r="B32" s="61">
        <v>1</v>
      </c>
      <c r="C32" s="97" t="s">
        <v>148</v>
      </c>
      <c r="D32" s="97" t="s">
        <v>194</v>
      </c>
      <c r="E32" s="97"/>
      <c r="F32" s="42">
        <v>100000</v>
      </c>
      <c r="G32" s="61" t="s">
        <v>150</v>
      </c>
      <c r="H32" s="107" t="s">
        <v>149</v>
      </c>
      <c r="I32" s="107"/>
      <c r="J32" s="61" t="s">
        <v>148</v>
      </c>
      <c r="K32" s="61" t="s">
        <v>151</v>
      </c>
      <c r="L32" s="61"/>
      <c r="M32" s="107" t="s">
        <v>194</v>
      </c>
      <c r="N32" s="107" t="s">
        <v>12</v>
      </c>
      <c r="O32" s="105">
        <v>27606</v>
      </c>
    </row>
    <row r="33" spans="1:15" x14ac:dyDescent="0.25">
      <c r="A33" s="96" t="s">
        <v>34</v>
      </c>
      <c r="B33" s="61">
        <v>1</v>
      </c>
      <c r="C33" s="97" t="s">
        <v>154</v>
      </c>
      <c r="D33" s="97" t="s">
        <v>194</v>
      </c>
      <c r="E33" s="97"/>
      <c r="F33" s="42">
        <v>178052</v>
      </c>
      <c r="G33" s="61" t="s">
        <v>153</v>
      </c>
      <c r="H33" s="107" t="s">
        <v>152</v>
      </c>
      <c r="I33" s="107"/>
      <c r="J33" s="61" t="s">
        <v>154</v>
      </c>
      <c r="K33" s="61" t="s">
        <v>155</v>
      </c>
      <c r="L33" s="61"/>
      <c r="M33" s="107" t="s">
        <v>194</v>
      </c>
      <c r="N33" s="107" t="s">
        <v>12</v>
      </c>
      <c r="O33" s="105">
        <v>27606</v>
      </c>
    </row>
    <row r="34" spans="1:15" x14ac:dyDescent="0.25">
      <c r="A34" s="96" t="s">
        <v>34</v>
      </c>
      <c r="B34" s="61">
        <v>1</v>
      </c>
      <c r="C34" s="97" t="s">
        <v>158</v>
      </c>
      <c r="D34" s="97" t="s">
        <v>194</v>
      </c>
      <c r="E34" s="97"/>
      <c r="F34" s="42">
        <v>104592</v>
      </c>
      <c r="G34" s="61" t="s">
        <v>157</v>
      </c>
      <c r="H34" s="107" t="s">
        <v>156</v>
      </c>
      <c r="I34" s="107"/>
      <c r="J34" s="61" t="s">
        <v>158</v>
      </c>
      <c r="K34" s="61" t="s">
        <v>159</v>
      </c>
      <c r="L34" s="61"/>
      <c r="M34" s="107" t="s">
        <v>194</v>
      </c>
      <c r="N34" s="107" t="s">
        <v>12</v>
      </c>
      <c r="O34" s="105">
        <v>27607</v>
      </c>
    </row>
    <row r="35" spans="1:15" x14ac:dyDescent="0.25">
      <c r="A35" s="96" t="s">
        <v>34</v>
      </c>
      <c r="B35" s="61">
        <v>1</v>
      </c>
      <c r="C35" s="97" t="s">
        <v>158</v>
      </c>
      <c r="D35" s="97" t="s">
        <v>194</v>
      </c>
      <c r="E35" s="97"/>
      <c r="F35" s="42">
        <v>196200</v>
      </c>
      <c r="G35" s="61" t="s">
        <v>157</v>
      </c>
      <c r="H35" s="107" t="s">
        <v>156</v>
      </c>
      <c r="I35" s="107"/>
      <c r="J35" s="61" t="s">
        <v>158</v>
      </c>
      <c r="K35" s="61" t="s">
        <v>159</v>
      </c>
      <c r="L35" s="61"/>
      <c r="M35" s="107" t="s">
        <v>194</v>
      </c>
      <c r="N35" s="107" t="s">
        <v>12</v>
      </c>
      <c r="O35" s="105">
        <v>27607</v>
      </c>
    </row>
    <row r="36" spans="1:15" x14ac:dyDescent="0.25">
      <c r="A36" s="96" t="s">
        <v>34</v>
      </c>
      <c r="B36" s="61">
        <v>1</v>
      </c>
      <c r="C36" s="97" t="s">
        <v>162</v>
      </c>
      <c r="D36" s="97" t="s">
        <v>21</v>
      </c>
      <c r="E36" s="97"/>
      <c r="F36" s="42">
        <v>172306</v>
      </c>
      <c r="G36" s="61" t="s">
        <v>161</v>
      </c>
      <c r="H36" s="107" t="s">
        <v>160</v>
      </c>
      <c r="I36" s="107"/>
      <c r="J36" s="61" t="s">
        <v>162</v>
      </c>
      <c r="K36" s="61" t="s">
        <v>163</v>
      </c>
      <c r="L36" s="61"/>
      <c r="M36" s="107" t="s">
        <v>21</v>
      </c>
      <c r="N36" s="107" t="s">
        <v>12</v>
      </c>
      <c r="O36" s="105">
        <v>27709</v>
      </c>
    </row>
    <row r="37" spans="1:15" x14ac:dyDescent="0.25">
      <c r="A37" s="96" t="s">
        <v>34</v>
      </c>
      <c r="B37" s="61">
        <v>1</v>
      </c>
      <c r="C37" s="97" t="s">
        <v>168</v>
      </c>
      <c r="D37" s="97" t="s">
        <v>195</v>
      </c>
      <c r="E37" s="97"/>
      <c r="F37" s="42">
        <v>132000</v>
      </c>
      <c r="G37" s="61" t="s">
        <v>167</v>
      </c>
      <c r="H37" s="107" t="s">
        <v>166</v>
      </c>
      <c r="I37" s="107"/>
      <c r="J37" s="61" t="s">
        <v>168</v>
      </c>
      <c r="K37" s="61" t="s">
        <v>169</v>
      </c>
      <c r="L37" s="61"/>
      <c r="M37" s="107" t="s">
        <v>195</v>
      </c>
      <c r="N37" s="107" t="s">
        <v>12</v>
      </c>
      <c r="O37" s="105">
        <v>27101</v>
      </c>
    </row>
    <row r="38" spans="1:15" x14ac:dyDescent="0.25">
      <c r="A38" s="96" t="s">
        <v>34</v>
      </c>
      <c r="B38" s="61">
        <v>1</v>
      </c>
      <c r="C38" s="97" t="s">
        <v>176</v>
      </c>
      <c r="D38" s="97" t="s">
        <v>195</v>
      </c>
      <c r="E38" s="97"/>
      <c r="F38" s="42">
        <v>100000</v>
      </c>
      <c r="G38" s="61" t="s">
        <v>175</v>
      </c>
      <c r="H38" s="107" t="s">
        <v>174</v>
      </c>
      <c r="I38" s="107"/>
      <c r="J38" s="61" t="s">
        <v>176</v>
      </c>
      <c r="K38" s="61" t="s">
        <v>177</v>
      </c>
      <c r="L38" s="61"/>
      <c r="M38" s="107" t="s">
        <v>195</v>
      </c>
      <c r="N38" s="107" t="s">
        <v>12</v>
      </c>
      <c r="O38" s="105">
        <v>27101</v>
      </c>
    </row>
    <row r="39" spans="1:15" x14ac:dyDescent="0.25">
      <c r="A39" s="96" t="s">
        <v>28</v>
      </c>
      <c r="B39" s="61">
        <v>1</v>
      </c>
      <c r="C39" s="97" t="s">
        <v>199</v>
      </c>
      <c r="D39" s="97" t="s">
        <v>21</v>
      </c>
      <c r="E39" s="32"/>
      <c r="F39" s="98">
        <v>69278</v>
      </c>
      <c r="G39" s="61" t="s">
        <v>200</v>
      </c>
      <c r="H39" s="107" t="s">
        <v>201</v>
      </c>
      <c r="I39" s="32"/>
      <c r="J39" s="32" t="str">
        <f>C39</f>
        <v>Xanthon, Inc.</v>
      </c>
      <c r="K39" s="61" t="s">
        <v>202</v>
      </c>
      <c r="L39" s="61" t="s">
        <v>203</v>
      </c>
      <c r="M39" s="32" t="str">
        <f>D39</f>
        <v>RTP</v>
      </c>
      <c r="N39" s="107" t="s">
        <v>12</v>
      </c>
      <c r="O39" s="105">
        <v>27709</v>
      </c>
    </row>
    <row r="40" spans="1:15" x14ac:dyDescent="0.25">
      <c r="A40" s="96" t="s">
        <v>28</v>
      </c>
      <c r="B40" s="61">
        <v>1</v>
      </c>
      <c r="C40" s="97" t="s">
        <v>204</v>
      </c>
      <c r="D40" s="97" t="s">
        <v>194</v>
      </c>
      <c r="E40" s="32"/>
      <c r="F40" s="42">
        <v>69933</v>
      </c>
      <c r="G40" s="61" t="s">
        <v>205</v>
      </c>
      <c r="H40" s="107" t="s">
        <v>206</v>
      </c>
      <c r="I40" s="32"/>
      <c r="J40" s="32" t="str">
        <f t="shared" ref="J40:J50" si="1">C40</f>
        <v>Visual Sciences, Inc.</v>
      </c>
      <c r="K40" s="61" t="s">
        <v>207</v>
      </c>
      <c r="L40" s="32"/>
      <c r="M40" s="32" t="str">
        <f t="shared" ref="M40:M50" si="2">D40</f>
        <v>RALEIGH</v>
      </c>
      <c r="N40" s="107" t="s">
        <v>12</v>
      </c>
      <c r="O40" s="105">
        <v>27675</v>
      </c>
    </row>
    <row r="41" spans="1:15" x14ac:dyDescent="0.25">
      <c r="A41" s="96" t="s">
        <v>28</v>
      </c>
      <c r="B41" s="61">
        <v>1</v>
      </c>
      <c r="C41" s="97" t="s">
        <v>208</v>
      </c>
      <c r="D41" s="97" t="s">
        <v>194</v>
      </c>
      <c r="E41" s="32"/>
      <c r="F41" s="42">
        <v>69496</v>
      </c>
      <c r="G41" s="61" t="s">
        <v>209</v>
      </c>
      <c r="H41" s="107" t="s">
        <v>210</v>
      </c>
      <c r="I41" s="32"/>
      <c r="J41" s="32" t="str">
        <f t="shared" si="1"/>
        <v>Ensolve Biosystems, Inc</v>
      </c>
      <c r="K41" s="61" t="s">
        <v>211</v>
      </c>
      <c r="L41" s="61" t="s">
        <v>212</v>
      </c>
      <c r="M41" s="32" t="str">
        <f t="shared" si="2"/>
        <v>RALEIGH</v>
      </c>
      <c r="N41" s="107" t="s">
        <v>12</v>
      </c>
      <c r="O41" s="105">
        <v>27615</v>
      </c>
    </row>
    <row r="42" spans="1:15" x14ac:dyDescent="0.25">
      <c r="A42" s="96" t="s">
        <v>213</v>
      </c>
      <c r="B42" s="61">
        <v>1</v>
      </c>
      <c r="C42" s="97" t="s">
        <v>214</v>
      </c>
      <c r="D42" s="97" t="s">
        <v>17</v>
      </c>
      <c r="E42" s="32"/>
      <c r="F42" s="42">
        <v>100000</v>
      </c>
      <c r="G42" s="61" t="s">
        <v>215</v>
      </c>
      <c r="H42" s="107" t="s">
        <v>216</v>
      </c>
      <c r="I42" s="32"/>
      <c r="J42" s="32" t="str">
        <f t="shared" si="1"/>
        <v>Providence Holdings</v>
      </c>
      <c r="K42" s="61" t="s">
        <v>217</v>
      </c>
      <c r="L42" s="32"/>
      <c r="M42" s="32" t="str">
        <f t="shared" si="2"/>
        <v>Charlotte</v>
      </c>
      <c r="N42" s="107" t="s">
        <v>12</v>
      </c>
      <c r="O42" s="105">
        <v>28232</v>
      </c>
    </row>
    <row r="43" spans="1:15" x14ac:dyDescent="0.25">
      <c r="A43" s="96" t="s">
        <v>27</v>
      </c>
      <c r="B43" s="61">
        <v>1</v>
      </c>
      <c r="C43" s="97" t="s">
        <v>218</v>
      </c>
      <c r="D43" s="97" t="s">
        <v>219</v>
      </c>
      <c r="E43" s="32"/>
      <c r="F43" s="42">
        <v>99960</v>
      </c>
      <c r="G43" s="61" t="s">
        <v>220</v>
      </c>
      <c r="H43" s="107" t="s">
        <v>221</v>
      </c>
      <c r="I43" s="32"/>
      <c r="J43" s="32" t="str">
        <f t="shared" si="1"/>
        <v>Microphase Coatings, Inc.</v>
      </c>
      <c r="K43" s="61" t="s">
        <v>222</v>
      </c>
      <c r="L43" s="32"/>
      <c r="M43" s="32" t="str">
        <f t="shared" si="2"/>
        <v>Garner</v>
      </c>
      <c r="N43" s="107" t="s">
        <v>12</v>
      </c>
      <c r="O43" s="105">
        <v>27529</v>
      </c>
    </row>
    <row r="44" spans="1:15" x14ac:dyDescent="0.25">
      <c r="A44" s="96" t="s">
        <v>27</v>
      </c>
      <c r="B44" s="61">
        <v>1</v>
      </c>
      <c r="C44" s="97" t="s">
        <v>223</v>
      </c>
      <c r="D44" s="97" t="s">
        <v>17</v>
      </c>
      <c r="E44" s="32"/>
      <c r="F44" s="42">
        <v>99682</v>
      </c>
      <c r="G44" s="61" t="s">
        <v>224</v>
      </c>
      <c r="H44" s="107" t="s">
        <v>225</v>
      </c>
      <c r="I44" s="32"/>
      <c r="J44" s="32" t="str">
        <f t="shared" si="1"/>
        <v>Albany Instruments, Inc.</v>
      </c>
      <c r="K44" s="61" t="s">
        <v>226</v>
      </c>
      <c r="L44" s="32"/>
      <c r="M44" s="32" t="str">
        <f t="shared" si="2"/>
        <v>Charlotte</v>
      </c>
      <c r="N44" s="107" t="s">
        <v>12</v>
      </c>
      <c r="O44" s="105">
        <v>28209</v>
      </c>
    </row>
    <row r="45" spans="1:15" x14ac:dyDescent="0.25">
      <c r="A45" s="96" t="s">
        <v>27</v>
      </c>
      <c r="B45" s="61">
        <v>1</v>
      </c>
      <c r="C45" s="97" t="s">
        <v>227</v>
      </c>
      <c r="D45" s="97" t="s">
        <v>17</v>
      </c>
      <c r="E45" s="32"/>
      <c r="F45" s="42">
        <v>68078</v>
      </c>
      <c r="G45" s="61" t="s">
        <v>228</v>
      </c>
      <c r="H45" s="107" t="s">
        <v>229</v>
      </c>
      <c r="I45" s="32"/>
      <c r="J45" s="32" t="str">
        <f t="shared" si="1"/>
        <v>RF Nitro Communications, Inc.</v>
      </c>
      <c r="K45" s="61" t="s">
        <v>230</v>
      </c>
      <c r="L45" s="32"/>
      <c r="M45" s="32" t="str">
        <f t="shared" si="2"/>
        <v>Charlotte</v>
      </c>
      <c r="N45" s="107" t="s">
        <v>12</v>
      </c>
      <c r="O45" s="105">
        <v>28269</v>
      </c>
    </row>
    <row r="46" spans="1:15" x14ac:dyDescent="0.25">
      <c r="A46" s="96" t="s">
        <v>27</v>
      </c>
      <c r="B46" s="61">
        <v>1</v>
      </c>
      <c r="C46" s="97" t="s">
        <v>231</v>
      </c>
      <c r="D46" s="97" t="s">
        <v>14</v>
      </c>
      <c r="E46" s="32"/>
      <c r="F46" s="42">
        <v>100000</v>
      </c>
      <c r="G46" s="61" t="s">
        <v>232</v>
      </c>
      <c r="H46" s="107" t="s">
        <v>233</v>
      </c>
      <c r="I46" s="32"/>
      <c r="J46" s="32" t="str">
        <f t="shared" si="1"/>
        <v>Kyma Technologies, Inc.</v>
      </c>
      <c r="K46" s="61" t="s">
        <v>234</v>
      </c>
      <c r="L46" s="32"/>
      <c r="M46" s="32" t="str">
        <f t="shared" si="2"/>
        <v>Raleigh</v>
      </c>
      <c r="N46" s="107" t="s">
        <v>12</v>
      </c>
      <c r="O46" s="105">
        <v>27613</v>
      </c>
    </row>
    <row r="47" spans="1:15" x14ac:dyDescent="0.25">
      <c r="A47" s="96" t="s">
        <v>26</v>
      </c>
      <c r="B47" s="61">
        <v>1</v>
      </c>
      <c r="C47" s="97" t="s">
        <v>235</v>
      </c>
      <c r="D47" s="97" t="s">
        <v>54</v>
      </c>
      <c r="E47" s="32"/>
      <c r="F47" s="42">
        <v>64803</v>
      </c>
      <c r="G47" s="61" t="s">
        <v>236</v>
      </c>
      <c r="H47" s="107" t="s">
        <v>221</v>
      </c>
      <c r="I47" s="32"/>
      <c r="J47" s="32" t="str">
        <f t="shared" si="1"/>
        <v>Foard Systems Design, Inc.</v>
      </c>
      <c r="K47" s="61" t="s">
        <v>237</v>
      </c>
      <c r="L47" s="61" t="s">
        <v>238</v>
      </c>
      <c r="M47" s="32" t="str">
        <f t="shared" si="2"/>
        <v>Durham</v>
      </c>
      <c r="N47" s="107" t="s">
        <v>12</v>
      </c>
      <c r="O47" s="105">
        <v>27713</v>
      </c>
    </row>
    <row r="48" spans="1:15" x14ac:dyDescent="0.25">
      <c r="A48" s="96" t="s">
        <v>26</v>
      </c>
      <c r="B48" s="61">
        <v>1</v>
      </c>
      <c r="C48" s="97" t="s">
        <v>231</v>
      </c>
      <c r="D48" s="97" t="s">
        <v>194</v>
      </c>
      <c r="E48" s="32"/>
      <c r="F48" s="42">
        <v>70000</v>
      </c>
      <c r="G48" s="61" t="s">
        <v>239</v>
      </c>
      <c r="H48" s="107" t="s">
        <v>240</v>
      </c>
      <c r="I48" s="32"/>
      <c r="J48" s="32" t="str">
        <f t="shared" si="1"/>
        <v>Kyma Technologies, Inc.</v>
      </c>
      <c r="K48" s="61" t="s">
        <v>234</v>
      </c>
      <c r="L48" s="32"/>
      <c r="M48" s="32" t="str">
        <f t="shared" si="2"/>
        <v>RALEIGH</v>
      </c>
      <c r="N48" s="107" t="s">
        <v>12</v>
      </c>
      <c r="O48" s="105">
        <v>27613</v>
      </c>
    </row>
    <row r="49" spans="1:15" x14ac:dyDescent="0.25">
      <c r="A49" s="96" t="s">
        <v>26</v>
      </c>
      <c r="B49" s="61">
        <v>1</v>
      </c>
      <c r="C49" s="97" t="s">
        <v>241</v>
      </c>
      <c r="D49" s="97" t="s">
        <v>194</v>
      </c>
      <c r="E49" s="32"/>
      <c r="F49" s="42">
        <v>65000</v>
      </c>
      <c r="G49" s="61" t="s">
        <v>242</v>
      </c>
      <c r="H49" s="107" t="s">
        <v>243</v>
      </c>
      <c r="I49" s="32"/>
      <c r="J49" s="32" t="str">
        <f t="shared" si="1"/>
        <v>Nitronex Corp</v>
      </c>
      <c r="K49" s="61" t="s">
        <v>244</v>
      </c>
      <c r="L49" s="61" t="s">
        <v>245</v>
      </c>
      <c r="M49" s="32" t="str">
        <f t="shared" si="2"/>
        <v>RALEIGH</v>
      </c>
      <c r="N49" s="107" t="s">
        <v>12</v>
      </c>
      <c r="O49" s="105">
        <v>27606</v>
      </c>
    </row>
    <row r="50" spans="1:15" x14ac:dyDescent="0.25">
      <c r="A50" s="96" t="s">
        <v>26</v>
      </c>
      <c r="B50" s="61">
        <v>1</v>
      </c>
      <c r="C50" s="97" t="s">
        <v>231</v>
      </c>
      <c r="D50" s="97" t="s">
        <v>194</v>
      </c>
      <c r="E50" s="32"/>
      <c r="F50" s="42">
        <v>70000</v>
      </c>
      <c r="G50" s="61" t="s">
        <v>239</v>
      </c>
      <c r="H50" s="107" t="s">
        <v>240</v>
      </c>
      <c r="I50" s="32"/>
      <c r="J50" s="32" t="str">
        <f t="shared" si="1"/>
        <v>Kyma Technologies, Inc.</v>
      </c>
      <c r="K50" s="61" t="s">
        <v>234</v>
      </c>
      <c r="L50" s="32"/>
      <c r="M50" s="32" t="str">
        <f t="shared" si="2"/>
        <v>RALEIGH</v>
      </c>
      <c r="N50" s="107" t="s">
        <v>12</v>
      </c>
      <c r="O50" s="105">
        <v>27613</v>
      </c>
    </row>
    <row r="51" spans="1:15" x14ac:dyDescent="0.25">
      <c r="A51" s="55"/>
      <c r="B51" s="32"/>
      <c r="C51" s="32"/>
      <c r="D51" s="32"/>
      <c r="E51" s="32"/>
      <c r="F51" s="42" t="s">
        <v>30</v>
      </c>
      <c r="G51" s="32"/>
      <c r="H51" s="32"/>
      <c r="I51" s="32"/>
      <c r="J51" s="32"/>
      <c r="K51" s="32"/>
      <c r="L51" s="32"/>
      <c r="M51" s="32"/>
      <c r="N51" s="32"/>
      <c r="O51" s="46"/>
    </row>
    <row r="52" spans="1:15" ht="13.5" thickBot="1" x14ac:dyDescent="0.35">
      <c r="A52" s="52" t="s">
        <v>32</v>
      </c>
      <c r="B52" s="63"/>
      <c r="C52" s="63"/>
      <c r="D52" s="63"/>
      <c r="E52" s="63"/>
      <c r="F52" s="59">
        <f>SUM(F5:F50)</f>
        <v>4865516</v>
      </c>
      <c r="G52" s="63"/>
      <c r="H52" s="63"/>
      <c r="I52" s="111"/>
      <c r="J52" s="63"/>
      <c r="K52" s="63"/>
      <c r="L52" s="63"/>
      <c r="M52" s="63"/>
      <c r="N52" s="63"/>
      <c r="O52" s="45"/>
    </row>
    <row r="53" spans="1:15" ht="13.5" thickBot="1" x14ac:dyDescent="0.35">
      <c r="F53" s="11"/>
      <c r="I53" s="73"/>
    </row>
    <row r="54" spans="1:15" ht="14" x14ac:dyDescent="0.3">
      <c r="A54" s="53"/>
      <c r="B54" s="124" t="s">
        <v>252</v>
      </c>
      <c r="C54" s="28"/>
      <c r="D54" s="28"/>
      <c r="E54" s="28"/>
      <c r="F54" s="65"/>
      <c r="G54" s="28"/>
      <c r="H54" s="28"/>
      <c r="I54" s="122"/>
      <c r="J54" s="28"/>
      <c r="K54" s="28"/>
      <c r="L54" s="28"/>
      <c r="M54" s="28"/>
      <c r="N54" s="28"/>
      <c r="O54" s="54"/>
    </row>
    <row r="55" spans="1:15" x14ac:dyDescent="0.25">
      <c r="A55" s="30" t="s">
        <v>18</v>
      </c>
      <c r="B55" s="32">
        <v>2</v>
      </c>
      <c r="C55" s="32" t="s">
        <v>74</v>
      </c>
      <c r="D55" s="32" t="s">
        <v>25</v>
      </c>
      <c r="E55" s="32" t="s">
        <v>75</v>
      </c>
      <c r="F55" s="31">
        <v>261739</v>
      </c>
      <c r="G55" s="32" t="s">
        <v>76</v>
      </c>
      <c r="H55" s="32" t="s">
        <v>77</v>
      </c>
      <c r="I55" s="32" t="s">
        <v>78</v>
      </c>
      <c r="J55" s="32" t="str">
        <f>C55</f>
        <v>Delight Food, Inc.</v>
      </c>
      <c r="K55" s="32" t="s">
        <v>79</v>
      </c>
      <c r="L55" s="32"/>
      <c r="M55" s="32" t="str">
        <f>D55</f>
        <v>Morrisville</v>
      </c>
      <c r="N55" s="32" t="s">
        <v>12</v>
      </c>
      <c r="O55" s="46">
        <v>27560</v>
      </c>
    </row>
    <row r="56" spans="1:15" x14ac:dyDescent="0.25">
      <c r="A56" s="30" t="s">
        <v>18</v>
      </c>
      <c r="B56" s="32">
        <v>2</v>
      </c>
      <c r="C56" s="32" t="s">
        <v>20</v>
      </c>
      <c r="D56" s="32" t="s">
        <v>21</v>
      </c>
      <c r="E56" s="32" t="s">
        <v>80</v>
      </c>
      <c r="F56" s="31">
        <v>243832</v>
      </c>
      <c r="G56" s="32" t="s">
        <v>22</v>
      </c>
      <c r="H56" s="32" t="s">
        <v>23</v>
      </c>
      <c r="I56" s="32" t="s">
        <v>19</v>
      </c>
      <c r="J56" s="32" t="str">
        <f>C56</f>
        <v>Embrex</v>
      </c>
      <c r="K56" s="32" t="s">
        <v>24</v>
      </c>
      <c r="L56" s="32"/>
      <c r="M56" s="32" t="str">
        <f>D56</f>
        <v>RTP</v>
      </c>
      <c r="N56" s="32" t="s">
        <v>12</v>
      </c>
      <c r="O56" s="46">
        <v>27709</v>
      </c>
    </row>
    <row r="57" spans="1:15" x14ac:dyDescent="0.25">
      <c r="A57" s="96" t="s">
        <v>34</v>
      </c>
      <c r="B57" s="61">
        <v>2</v>
      </c>
      <c r="C57" s="97" t="s">
        <v>95</v>
      </c>
      <c r="D57" s="97" t="s">
        <v>188</v>
      </c>
      <c r="E57" s="97"/>
      <c r="F57" s="42">
        <v>455253</v>
      </c>
      <c r="G57" s="107" t="s">
        <v>100</v>
      </c>
      <c r="H57" s="61" t="s">
        <v>101</v>
      </c>
      <c r="I57" s="61"/>
      <c r="J57" s="107" t="s">
        <v>95</v>
      </c>
      <c r="K57" s="107" t="s">
        <v>96</v>
      </c>
      <c r="L57" s="61"/>
      <c r="M57" s="107" t="s">
        <v>188</v>
      </c>
      <c r="N57" s="107" t="s">
        <v>12</v>
      </c>
      <c r="O57" s="105">
        <v>27516</v>
      </c>
    </row>
    <row r="58" spans="1:15" x14ac:dyDescent="0.25">
      <c r="A58" s="96" t="s">
        <v>34</v>
      </c>
      <c r="B58" s="61">
        <v>2</v>
      </c>
      <c r="C58" s="97" t="s">
        <v>95</v>
      </c>
      <c r="D58" s="97" t="s">
        <v>188</v>
      </c>
      <c r="E58" s="97"/>
      <c r="F58" s="42">
        <v>405482</v>
      </c>
      <c r="G58" s="107" t="s">
        <v>100</v>
      </c>
      <c r="H58" s="61" t="s">
        <v>101</v>
      </c>
      <c r="I58" s="61"/>
      <c r="J58" s="107" t="s">
        <v>95</v>
      </c>
      <c r="K58" s="107" t="s">
        <v>96</v>
      </c>
      <c r="L58" s="61"/>
      <c r="M58" s="107" t="s">
        <v>188</v>
      </c>
      <c r="N58" s="107" t="s">
        <v>12</v>
      </c>
      <c r="O58" s="105">
        <v>27516</v>
      </c>
    </row>
    <row r="59" spans="1:15" x14ac:dyDescent="0.25">
      <c r="A59" s="96" t="s">
        <v>34</v>
      </c>
      <c r="B59" s="61">
        <v>2</v>
      </c>
      <c r="C59" s="97" t="s">
        <v>95</v>
      </c>
      <c r="D59" s="97" t="s">
        <v>188</v>
      </c>
      <c r="E59" s="97"/>
      <c r="F59" s="42">
        <v>441497</v>
      </c>
      <c r="G59" s="107" t="s">
        <v>100</v>
      </c>
      <c r="H59" s="61" t="s">
        <v>101</v>
      </c>
      <c r="I59" s="61"/>
      <c r="J59" s="107" t="s">
        <v>95</v>
      </c>
      <c r="K59" s="107" t="s">
        <v>96</v>
      </c>
      <c r="L59" s="61"/>
      <c r="M59" s="107" t="s">
        <v>188</v>
      </c>
      <c r="N59" s="107" t="s">
        <v>12</v>
      </c>
      <c r="O59" s="105">
        <v>27516</v>
      </c>
    </row>
    <row r="60" spans="1:15" x14ac:dyDescent="0.25">
      <c r="A60" s="96" t="s">
        <v>34</v>
      </c>
      <c r="B60" s="61">
        <v>2</v>
      </c>
      <c r="C60" s="97" t="s">
        <v>98</v>
      </c>
      <c r="D60" s="97" t="s">
        <v>189</v>
      </c>
      <c r="E60" s="97"/>
      <c r="F60" s="42">
        <v>382311</v>
      </c>
      <c r="G60" s="107" t="s">
        <v>183</v>
      </c>
      <c r="H60" s="61" t="s">
        <v>182</v>
      </c>
      <c r="I60" s="61"/>
      <c r="J60" s="107" t="s">
        <v>98</v>
      </c>
      <c r="K60" s="107" t="s">
        <v>99</v>
      </c>
      <c r="L60" s="61"/>
      <c r="M60" s="107" t="s">
        <v>189</v>
      </c>
      <c r="N60" s="107" t="s">
        <v>12</v>
      </c>
      <c r="O60" s="105">
        <v>27514</v>
      </c>
    </row>
    <row r="61" spans="1:15" x14ac:dyDescent="0.25">
      <c r="A61" s="96" t="s">
        <v>34</v>
      </c>
      <c r="B61" s="61">
        <v>2</v>
      </c>
      <c r="C61" s="97" t="s">
        <v>102</v>
      </c>
      <c r="D61" s="97" t="s">
        <v>190</v>
      </c>
      <c r="E61" s="97"/>
      <c r="F61" s="42">
        <v>515987</v>
      </c>
      <c r="G61" s="61" t="s">
        <v>184</v>
      </c>
      <c r="H61" s="107" t="s">
        <v>103</v>
      </c>
      <c r="I61" s="107"/>
      <c r="J61" s="107" t="s">
        <v>102</v>
      </c>
      <c r="K61" s="107" t="s">
        <v>104</v>
      </c>
      <c r="L61" s="61"/>
      <c r="M61" s="107" t="s">
        <v>190</v>
      </c>
      <c r="N61" s="107" t="s">
        <v>12</v>
      </c>
      <c r="O61" s="105">
        <v>27514</v>
      </c>
    </row>
    <row r="62" spans="1:15" x14ac:dyDescent="0.25">
      <c r="A62" s="96" t="s">
        <v>34</v>
      </c>
      <c r="B62" s="61">
        <v>2</v>
      </c>
      <c r="C62" s="97" t="s">
        <v>107</v>
      </c>
      <c r="D62" s="97" t="s">
        <v>191</v>
      </c>
      <c r="E62" s="97"/>
      <c r="F62" s="42">
        <v>356367</v>
      </c>
      <c r="G62" s="61" t="s">
        <v>106</v>
      </c>
      <c r="H62" s="107" t="s">
        <v>105</v>
      </c>
      <c r="I62" s="107"/>
      <c r="J62" s="61" t="s">
        <v>107</v>
      </c>
      <c r="K62" s="107" t="s">
        <v>90</v>
      </c>
      <c r="L62" s="61"/>
      <c r="M62" s="61" t="s">
        <v>191</v>
      </c>
      <c r="N62" s="107" t="s">
        <v>12</v>
      </c>
      <c r="O62" s="105">
        <v>27713</v>
      </c>
    </row>
    <row r="63" spans="1:15" x14ac:dyDescent="0.25">
      <c r="A63" s="96" t="s">
        <v>34</v>
      </c>
      <c r="B63" s="61">
        <v>2</v>
      </c>
      <c r="C63" s="97" t="s">
        <v>107</v>
      </c>
      <c r="D63" s="97" t="s">
        <v>191</v>
      </c>
      <c r="E63" s="97"/>
      <c r="F63" s="42">
        <v>652055</v>
      </c>
      <c r="G63" s="61" t="s">
        <v>106</v>
      </c>
      <c r="H63" s="107" t="s">
        <v>105</v>
      </c>
      <c r="I63" s="107"/>
      <c r="J63" s="61" t="s">
        <v>107</v>
      </c>
      <c r="K63" s="107" t="s">
        <v>90</v>
      </c>
      <c r="L63" s="61"/>
      <c r="M63" s="61" t="s">
        <v>191</v>
      </c>
      <c r="N63" s="107" t="s">
        <v>12</v>
      </c>
      <c r="O63" s="105">
        <v>27713</v>
      </c>
    </row>
    <row r="64" spans="1:15" x14ac:dyDescent="0.25">
      <c r="A64" s="96" t="s">
        <v>34</v>
      </c>
      <c r="B64" s="61">
        <v>2</v>
      </c>
      <c r="C64" s="97" t="s">
        <v>114</v>
      </c>
      <c r="D64" s="97" t="s">
        <v>191</v>
      </c>
      <c r="E64" s="97"/>
      <c r="F64" s="42">
        <v>160000</v>
      </c>
      <c r="G64" s="61" t="s">
        <v>113</v>
      </c>
      <c r="H64" s="107" t="s">
        <v>112</v>
      </c>
      <c r="I64" s="107"/>
      <c r="J64" s="107" t="s">
        <v>114</v>
      </c>
      <c r="K64" s="61" t="s">
        <v>115</v>
      </c>
      <c r="L64" s="61"/>
      <c r="M64" s="107" t="s">
        <v>191</v>
      </c>
      <c r="N64" s="107" t="s">
        <v>12</v>
      </c>
      <c r="O64" s="105">
        <v>27703</v>
      </c>
    </row>
    <row r="65" spans="1:15" x14ac:dyDescent="0.25">
      <c r="A65" s="96" t="s">
        <v>34</v>
      </c>
      <c r="B65" s="61">
        <v>2</v>
      </c>
      <c r="C65" s="97" t="s">
        <v>118</v>
      </c>
      <c r="D65" s="97" t="s">
        <v>191</v>
      </c>
      <c r="E65" s="97"/>
      <c r="F65" s="42">
        <v>562206</v>
      </c>
      <c r="G65" s="61" t="s">
        <v>117</v>
      </c>
      <c r="H65" s="107" t="s">
        <v>116</v>
      </c>
      <c r="I65" s="107"/>
      <c r="J65" s="107" t="s">
        <v>118</v>
      </c>
      <c r="K65" s="107" t="s">
        <v>91</v>
      </c>
      <c r="L65" s="61"/>
      <c r="M65" s="107" t="s">
        <v>191</v>
      </c>
      <c r="N65" s="107" t="s">
        <v>12</v>
      </c>
      <c r="O65" s="105">
        <v>27701</v>
      </c>
    </row>
    <row r="66" spans="1:15" x14ac:dyDescent="0.25">
      <c r="A66" s="96" t="s">
        <v>34</v>
      </c>
      <c r="B66" s="61">
        <v>2</v>
      </c>
      <c r="C66" s="97" t="s">
        <v>118</v>
      </c>
      <c r="D66" s="97" t="s">
        <v>191</v>
      </c>
      <c r="E66" s="97"/>
      <c r="F66" s="42">
        <v>1357285</v>
      </c>
      <c r="G66" s="61" t="s">
        <v>117</v>
      </c>
      <c r="H66" s="107" t="s">
        <v>116</v>
      </c>
      <c r="I66" s="107"/>
      <c r="J66" s="107" t="s">
        <v>118</v>
      </c>
      <c r="K66" s="107" t="s">
        <v>91</v>
      </c>
      <c r="L66" s="61"/>
      <c r="M66" s="107" t="s">
        <v>191</v>
      </c>
      <c r="N66" s="107" t="s">
        <v>12</v>
      </c>
      <c r="O66" s="105">
        <v>27701</v>
      </c>
    </row>
    <row r="67" spans="1:15" x14ac:dyDescent="0.25">
      <c r="A67" s="96" t="s">
        <v>34</v>
      </c>
      <c r="B67" s="61">
        <v>2</v>
      </c>
      <c r="C67" s="97" t="s">
        <v>124</v>
      </c>
      <c r="D67" s="97" t="s">
        <v>191</v>
      </c>
      <c r="E67" s="97"/>
      <c r="F67" s="42">
        <v>306020</v>
      </c>
      <c r="G67" s="61" t="s">
        <v>123</v>
      </c>
      <c r="H67" s="107" t="s">
        <v>122</v>
      </c>
      <c r="I67" s="107"/>
      <c r="J67" s="107" t="s">
        <v>124</v>
      </c>
      <c r="K67" s="107" t="s">
        <v>125</v>
      </c>
      <c r="L67" s="61"/>
      <c r="M67" s="107" t="s">
        <v>191</v>
      </c>
      <c r="N67" s="107" t="s">
        <v>12</v>
      </c>
      <c r="O67" s="105">
        <v>27701</v>
      </c>
    </row>
    <row r="68" spans="1:15" x14ac:dyDescent="0.25">
      <c r="A68" s="96" t="s">
        <v>34</v>
      </c>
      <c r="B68" s="61">
        <v>2</v>
      </c>
      <c r="C68" s="97" t="s">
        <v>128</v>
      </c>
      <c r="D68" s="97" t="s">
        <v>191</v>
      </c>
      <c r="E68" s="97"/>
      <c r="F68" s="42">
        <v>306836</v>
      </c>
      <c r="G68" s="61" t="s">
        <v>131</v>
      </c>
      <c r="H68" s="107" t="s">
        <v>130</v>
      </c>
      <c r="I68" s="107"/>
      <c r="J68" s="107" t="s">
        <v>128</v>
      </c>
      <c r="K68" s="107" t="s">
        <v>129</v>
      </c>
      <c r="L68" s="61"/>
      <c r="M68" s="107" t="s">
        <v>191</v>
      </c>
      <c r="N68" s="107" t="s">
        <v>12</v>
      </c>
      <c r="O68" s="105">
        <v>27705</v>
      </c>
    </row>
    <row r="69" spans="1:15" x14ac:dyDescent="0.25">
      <c r="A69" s="96" t="s">
        <v>34</v>
      </c>
      <c r="B69" s="61">
        <v>2</v>
      </c>
      <c r="C69" s="97" t="s">
        <v>134</v>
      </c>
      <c r="D69" s="97" t="s">
        <v>191</v>
      </c>
      <c r="E69" s="97"/>
      <c r="F69" s="42">
        <v>122674</v>
      </c>
      <c r="G69" s="61" t="s">
        <v>133</v>
      </c>
      <c r="H69" s="107" t="s">
        <v>132</v>
      </c>
      <c r="I69" s="107"/>
      <c r="J69" s="107" t="s">
        <v>134</v>
      </c>
      <c r="K69" s="107" t="s">
        <v>135</v>
      </c>
      <c r="L69" s="61"/>
      <c r="M69" s="107" t="s">
        <v>191</v>
      </c>
      <c r="N69" s="107" t="s">
        <v>12</v>
      </c>
      <c r="O69" s="105">
        <v>27705</v>
      </c>
    </row>
    <row r="70" spans="1:15" x14ac:dyDescent="0.25">
      <c r="A70" s="96" t="s">
        <v>34</v>
      </c>
      <c r="B70" s="61">
        <v>2</v>
      </c>
      <c r="C70" s="97" t="s">
        <v>138</v>
      </c>
      <c r="D70" s="97" t="s">
        <v>192</v>
      </c>
      <c r="E70" s="97"/>
      <c r="F70" s="99">
        <v>473920</v>
      </c>
      <c r="G70" s="61" t="s">
        <v>142</v>
      </c>
      <c r="H70" s="107" t="s">
        <v>119</v>
      </c>
      <c r="I70" s="107"/>
      <c r="J70" s="107" t="s">
        <v>138</v>
      </c>
      <c r="K70" s="107" t="s">
        <v>139</v>
      </c>
      <c r="L70" s="61"/>
      <c r="M70" s="107" t="s">
        <v>192</v>
      </c>
      <c r="N70" s="107" t="s">
        <v>12</v>
      </c>
      <c r="O70" s="105">
        <v>27409</v>
      </c>
    </row>
    <row r="71" spans="1:15" x14ac:dyDescent="0.25">
      <c r="A71" s="96" t="s">
        <v>34</v>
      </c>
      <c r="B71" s="61">
        <v>2</v>
      </c>
      <c r="C71" s="97" t="s">
        <v>138</v>
      </c>
      <c r="D71" s="97" t="s">
        <v>192</v>
      </c>
      <c r="E71" s="97"/>
      <c r="F71" s="42">
        <v>227986</v>
      </c>
      <c r="G71" s="61" t="s">
        <v>137</v>
      </c>
      <c r="H71" s="107" t="s">
        <v>136</v>
      </c>
      <c r="I71" s="107"/>
      <c r="J71" s="107" t="s">
        <v>138</v>
      </c>
      <c r="K71" s="107" t="s">
        <v>139</v>
      </c>
      <c r="L71" s="61"/>
      <c r="M71" s="107" t="s">
        <v>192</v>
      </c>
      <c r="N71" s="107" t="s">
        <v>12</v>
      </c>
      <c r="O71" s="105">
        <v>27409</v>
      </c>
    </row>
    <row r="72" spans="1:15" x14ac:dyDescent="0.25">
      <c r="A72" s="96" t="s">
        <v>34</v>
      </c>
      <c r="B72" s="61">
        <v>2</v>
      </c>
      <c r="C72" s="97" t="s">
        <v>162</v>
      </c>
      <c r="D72" s="97" t="s">
        <v>21</v>
      </c>
      <c r="E72" s="97"/>
      <c r="F72" s="42">
        <v>457372</v>
      </c>
      <c r="G72" s="61" t="s">
        <v>165</v>
      </c>
      <c r="H72" s="107" t="s">
        <v>164</v>
      </c>
      <c r="I72" s="107"/>
      <c r="J72" s="61" t="s">
        <v>162</v>
      </c>
      <c r="K72" s="61" t="s">
        <v>163</v>
      </c>
      <c r="L72" s="61"/>
      <c r="M72" s="107" t="s">
        <v>21</v>
      </c>
      <c r="N72" s="107" t="s">
        <v>12</v>
      </c>
      <c r="O72" s="105">
        <v>27709</v>
      </c>
    </row>
    <row r="73" spans="1:15" x14ac:dyDescent="0.25">
      <c r="A73" s="96" t="s">
        <v>34</v>
      </c>
      <c r="B73" s="61">
        <v>2</v>
      </c>
      <c r="C73" s="97" t="s">
        <v>172</v>
      </c>
      <c r="D73" s="97" t="s">
        <v>195</v>
      </c>
      <c r="E73" s="97"/>
      <c r="F73" s="42">
        <v>501487</v>
      </c>
      <c r="G73" s="61" t="s">
        <v>171</v>
      </c>
      <c r="H73" s="107" t="s">
        <v>170</v>
      </c>
      <c r="I73" s="107"/>
      <c r="J73" s="61" t="s">
        <v>172</v>
      </c>
      <c r="K73" s="61" t="s">
        <v>173</v>
      </c>
      <c r="L73" s="61"/>
      <c r="M73" s="107" t="s">
        <v>195</v>
      </c>
      <c r="N73" s="107" t="s">
        <v>12</v>
      </c>
      <c r="O73" s="105">
        <v>27104</v>
      </c>
    </row>
    <row r="74" spans="1:15" ht="13" x14ac:dyDescent="0.3">
      <c r="A74" s="55"/>
      <c r="B74" s="32"/>
      <c r="C74" s="32"/>
      <c r="D74" s="32"/>
      <c r="E74" s="32"/>
      <c r="F74" s="70" t="s">
        <v>36</v>
      </c>
      <c r="G74" s="32"/>
      <c r="H74" s="32"/>
      <c r="I74" s="32"/>
      <c r="J74" s="32"/>
      <c r="K74" s="32"/>
      <c r="L74" s="32"/>
      <c r="M74" s="32"/>
      <c r="N74" s="32"/>
      <c r="O74" s="46"/>
    </row>
    <row r="75" spans="1:15" ht="13.5" thickBot="1" x14ac:dyDescent="0.35">
      <c r="A75" s="52" t="s">
        <v>33</v>
      </c>
      <c r="B75" s="63"/>
      <c r="C75" s="63"/>
      <c r="D75" s="63"/>
      <c r="E75" s="110"/>
      <c r="F75" s="71">
        <f>SUM(F55:F73)</f>
        <v>8190309</v>
      </c>
      <c r="G75" s="63"/>
      <c r="H75" s="63"/>
      <c r="I75" s="111"/>
      <c r="J75" s="63"/>
      <c r="K75" s="63"/>
      <c r="L75" s="63"/>
      <c r="M75" s="63"/>
      <c r="N75" s="63"/>
      <c r="O75" s="45"/>
    </row>
    <row r="76" spans="1:15" ht="13" thickBot="1" x14ac:dyDescent="0.3"/>
    <row r="77" spans="1:15" s="113" customFormat="1" ht="16" thickBot="1" x14ac:dyDescent="0.4">
      <c r="A77" s="112"/>
      <c r="E77" s="114" t="s">
        <v>31</v>
      </c>
      <c r="F77" s="115">
        <f>F52+F75</f>
        <v>13055825</v>
      </c>
    </row>
    <row r="79" spans="1:15" ht="13" thickBot="1" x14ac:dyDescent="0.3">
      <c r="A79" s="74"/>
      <c r="B79" s="32"/>
      <c r="C79" s="32"/>
      <c r="D79" s="32"/>
      <c r="E79" s="32"/>
    </row>
    <row r="80" spans="1:15" ht="16" thickBot="1" x14ac:dyDescent="0.4">
      <c r="A80" s="74"/>
      <c r="B80" s="32"/>
      <c r="C80" s="75"/>
      <c r="D80" s="75"/>
      <c r="E80" s="114" t="s">
        <v>250</v>
      </c>
      <c r="F80" s="116">
        <f>(1-(11097884/F77))</f>
        <v>0.14996685387556896</v>
      </c>
    </row>
    <row r="81" spans="1:5" ht="14" x14ac:dyDescent="0.3">
      <c r="A81" s="74"/>
      <c r="B81" s="32"/>
      <c r="C81" s="75"/>
      <c r="D81" s="76"/>
      <c r="E81" s="75"/>
    </row>
    <row r="82" spans="1:5" ht="14" x14ac:dyDescent="0.3">
      <c r="A82" s="74"/>
      <c r="B82" s="32"/>
      <c r="C82" s="75"/>
      <c r="D82" s="76"/>
      <c r="E82" s="75"/>
    </row>
    <row r="83" spans="1:5" ht="14" x14ac:dyDescent="0.3">
      <c r="A83" s="74"/>
      <c r="B83" s="32"/>
      <c r="C83" s="75"/>
      <c r="D83" s="77"/>
      <c r="E83" s="75"/>
    </row>
    <row r="84" spans="1:5" ht="14" x14ac:dyDescent="0.3">
      <c r="A84" s="74"/>
      <c r="B84" s="32"/>
      <c r="C84" s="75"/>
      <c r="D84" s="76"/>
      <c r="E84" s="75"/>
    </row>
    <row r="85" spans="1:5" ht="14" x14ac:dyDescent="0.3">
      <c r="A85" s="74"/>
      <c r="B85" s="32"/>
      <c r="C85" s="75"/>
      <c r="D85" s="76"/>
      <c r="E85" s="75"/>
    </row>
    <row r="86" spans="1:5" ht="14" x14ac:dyDescent="0.3">
      <c r="A86" s="74"/>
      <c r="B86" s="32"/>
      <c r="C86" s="75"/>
      <c r="D86" s="78"/>
      <c r="E86" s="75"/>
    </row>
    <row r="87" spans="1:5" ht="14" x14ac:dyDescent="0.3">
      <c r="A87" s="74"/>
      <c r="B87" s="32"/>
      <c r="C87" s="75"/>
      <c r="D87" s="76"/>
      <c r="E87" s="75"/>
    </row>
    <row r="88" spans="1:5" ht="14" x14ac:dyDescent="0.3">
      <c r="A88" s="74"/>
      <c r="B88" s="32"/>
      <c r="C88" s="75"/>
      <c r="D88" s="77"/>
      <c r="E88" s="75"/>
    </row>
    <row r="89" spans="1:5" ht="14" x14ac:dyDescent="0.3">
      <c r="A89" s="74"/>
      <c r="B89" s="32"/>
      <c r="C89" s="75"/>
      <c r="D89" s="76"/>
      <c r="E89" s="75"/>
    </row>
    <row r="90" spans="1:5" ht="14" x14ac:dyDescent="0.3">
      <c r="A90" s="74"/>
      <c r="B90" s="32"/>
      <c r="C90" s="75"/>
      <c r="D90" s="76"/>
      <c r="E90" s="75"/>
    </row>
    <row r="91" spans="1:5" ht="14" x14ac:dyDescent="0.3">
      <c r="A91" s="74"/>
      <c r="B91" s="32"/>
      <c r="C91" s="75"/>
      <c r="D91" s="76"/>
      <c r="E91" s="75"/>
    </row>
    <row r="92" spans="1:5" ht="14" x14ac:dyDescent="0.3">
      <c r="A92" s="74"/>
      <c r="B92" s="32"/>
      <c r="C92" s="75"/>
      <c r="D92" s="76"/>
      <c r="E92" s="75"/>
    </row>
    <row r="93" spans="1:5" ht="14" x14ac:dyDescent="0.3">
      <c r="A93" s="74"/>
      <c r="B93" s="32"/>
      <c r="C93" s="75"/>
      <c r="D93" s="76"/>
      <c r="E93" s="75"/>
    </row>
    <row r="94" spans="1:5" ht="14" x14ac:dyDescent="0.3">
      <c r="A94" s="74"/>
      <c r="B94" s="32"/>
      <c r="C94" s="75"/>
      <c r="D94" s="77"/>
      <c r="E94" s="75"/>
    </row>
    <row r="95" spans="1:5" ht="14" x14ac:dyDescent="0.3">
      <c r="A95" s="74"/>
      <c r="B95" s="32"/>
      <c r="C95" s="75"/>
      <c r="D95" s="76"/>
      <c r="E95" s="75"/>
    </row>
  </sheetData>
  <phoneticPr fontId="0" type="noConversion"/>
  <pageMargins left="0.75" right="0.75" top="1" bottom="1" header="0.5" footer="0.5"/>
  <pageSetup scale="72" fitToWidth="2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C5" sqref="C5"/>
    </sheetView>
  </sheetViews>
  <sheetFormatPr defaultRowHeight="12.5" x14ac:dyDescent="0.25"/>
  <cols>
    <col min="2" max="2" width="9.54296875" bestFit="1" customWidth="1"/>
    <col min="3" max="3" width="12.453125" bestFit="1" customWidth="1"/>
    <col min="4" max="4" width="20" bestFit="1" customWidth="1"/>
  </cols>
  <sheetData>
    <row r="1" spans="1:4" ht="18" x14ac:dyDescent="0.4">
      <c r="A1" s="25" t="s">
        <v>81</v>
      </c>
    </row>
    <row r="3" spans="1:4" ht="16" thickBot="1" x14ac:dyDescent="0.4">
      <c r="B3" s="82" t="s">
        <v>82</v>
      </c>
      <c r="C3" s="82" t="s">
        <v>83</v>
      </c>
      <c r="D3" s="82" t="s">
        <v>84</v>
      </c>
    </row>
    <row r="4" spans="1:4" ht="15.5" x14ac:dyDescent="0.35">
      <c r="A4" s="82" t="s">
        <v>34</v>
      </c>
      <c r="B4" s="83">
        <v>22</v>
      </c>
      <c r="C4" s="84">
        <v>73</v>
      </c>
      <c r="D4" s="85">
        <f t="shared" ref="D4:D13" si="0">B4/C4</f>
        <v>0.30136986301369861</v>
      </c>
    </row>
    <row r="5" spans="1:4" ht="15.5" x14ac:dyDescent="0.35">
      <c r="A5" s="82" t="s">
        <v>13</v>
      </c>
      <c r="B5" s="86">
        <v>2</v>
      </c>
      <c r="C5" s="87">
        <v>7</v>
      </c>
      <c r="D5" s="88">
        <f t="shared" si="0"/>
        <v>0.2857142857142857</v>
      </c>
    </row>
    <row r="6" spans="1:4" ht="15.5" x14ac:dyDescent="0.35">
      <c r="A6" s="82" t="s">
        <v>16</v>
      </c>
      <c r="B6" s="86">
        <v>3</v>
      </c>
      <c r="C6" s="87">
        <v>14</v>
      </c>
      <c r="D6" s="88">
        <f t="shared" si="0"/>
        <v>0.21428571428571427</v>
      </c>
    </row>
    <row r="7" spans="1:4" ht="15.5" x14ac:dyDescent="0.35">
      <c r="A7" s="82" t="s">
        <v>85</v>
      </c>
      <c r="B7" s="86">
        <v>13</v>
      </c>
      <c r="C7" s="87">
        <v>88</v>
      </c>
      <c r="D7" s="88">
        <f t="shared" si="0"/>
        <v>0.14772727272727273</v>
      </c>
    </row>
    <row r="8" spans="1:4" ht="15.5" x14ac:dyDescent="0.35">
      <c r="A8" s="82" t="s">
        <v>29</v>
      </c>
      <c r="B8" s="86">
        <v>1</v>
      </c>
      <c r="C8" s="87">
        <v>11</v>
      </c>
      <c r="D8" s="88">
        <f t="shared" si="0"/>
        <v>9.0909090909090912E-2</v>
      </c>
    </row>
    <row r="9" spans="1:4" ht="15.5" x14ac:dyDescent="0.35">
      <c r="A9" s="82" t="s">
        <v>18</v>
      </c>
      <c r="B9" s="86">
        <v>0</v>
      </c>
      <c r="C9" s="87">
        <v>13</v>
      </c>
      <c r="D9" s="88">
        <f>B9/C9</f>
        <v>0</v>
      </c>
    </row>
    <row r="10" spans="1:4" ht="15.5" x14ac:dyDescent="0.35">
      <c r="A10" s="82" t="s">
        <v>86</v>
      </c>
      <c r="B10" s="86">
        <v>0</v>
      </c>
      <c r="C10" s="87">
        <v>1</v>
      </c>
      <c r="D10" s="88">
        <f t="shared" si="0"/>
        <v>0</v>
      </c>
    </row>
    <row r="11" spans="1:4" ht="15.5" x14ac:dyDescent="0.35">
      <c r="A11" s="82" t="s">
        <v>15</v>
      </c>
      <c r="B11" s="86">
        <v>0</v>
      </c>
      <c r="C11" s="87">
        <v>9</v>
      </c>
      <c r="D11" s="88">
        <f t="shared" si="0"/>
        <v>0</v>
      </c>
    </row>
    <row r="12" spans="1:4" ht="15.5" x14ac:dyDescent="0.35">
      <c r="A12" s="82" t="s">
        <v>87</v>
      </c>
      <c r="B12" s="86">
        <v>0</v>
      </c>
      <c r="C12" s="87">
        <v>8</v>
      </c>
      <c r="D12" s="88">
        <f t="shared" si="0"/>
        <v>0</v>
      </c>
    </row>
    <row r="13" spans="1:4" ht="16" thickBot="1" x14ac:dyDescent="0.4">
      <c r="A13" s="82" t="s">
        <v>88</v>
      </c>
      <c r="B13" s="89">
        <v>0</v>
      </c>
      <c r="C13" s="90">
        <v>1</v>
      </c>
      <c r="D13" s="91">
        <f t="shared" si="0"/>
        <v>0</v>
      </c>
    </row>
    <row r="16" spans="1:4" ht="15.5" x14ac:dyDescent="0.35">
      <c r="A16" s="92" t="s">
        <v>89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topLeftCell="A20" workbookViewId="0">
      <selection activeCell="A23" sqref="A23"/>
    </sheetView>
  </sheetViews>
  <sheetFormatPr defaultRowHeight="12.5" x14ac:dyDescent="0.25"/>
  <cols>
    <col min="1" max="1" width="18" style="7" customWidth="1"/>
    <col min="2" max="2" width="12.26953125" style="7" bestFit="1" customWidth="1"/>
    <col min="3" max="3" width="16.7265625" bestFit="1" customWidth="1"/>
    <col min="4" max="4" width="25.81640625" bestFit="1" customWidth="1"/>
    <col min="5" max="5" width="11.81640625" bestFit="1" customWidth="1"/>
  </cols>
  <sheetData>
    <row r="1" spans="1:4" ht="18" x14ac:dyDescent="0.4">
      <c r="A1" s="25" t="s">
        <v>51</v>
      </c>
      <c r="B1" s="5"/>
    </row>
    <row r="2" spans="1:4" ht="18" x14ac:dyDescent="0.4">
      <c r="A2" s="25"/>
      <c r="B2" s="5"/>
    </row>
    <row r="3" spans="1:4" ht="16" thickBot="1" x14ac:dyDescent="0.4">
      <c r="A3" s="104" t="s">
        <v>249</v>
      </c>
    </row>
    <row r="4" spans="1:4" ht="14.5" thickBot="1" x14ac:dyDescent="0.35">
      <c r="A4" s="79" t="s">
        <v>0</v>
      </c>
      <c r="B4" s="80" t="s">
        <v>35</v>
      </c>
      <c r="C4" s="80" t="s">
        <v>3</v>
      </c>
      <c r="D4" s="81" t="s">
        <v>37</v>
      </c>
    </row>
    <row r="5" spans="1:4" x14ac:dyDescent="0.25">
      <c r="A5" s="94" t="s">
        <v>27</v>
      </c>
      <c r="B5" s="41">
        <v>99682</v>
      </c>
      <c r="C5" s="95" t="s">
        <v>17</v>
      </c>
      <c r="D5" s="54" t="s">
        <v>17</v>
      </c>
    </row>
    <row r="6" spans="1:4" x14ac:dyDescent="0.25">
      <c r="A6" s="96" t="s">
        <v>27</v>
      </c>
      <c r="B6" s="42">
        <v>68078</v>
      </c>
      <c r="C6" s="97" t="s">
        <v>17</v>
      </c>
      <c r="D6" s="46" t="s">
        <v>17</v>
      </c>
    </row>
    <row r="7" spans="1:4" x14ac:dyDescent="0.25">
      <c r="A7" s="96" t="s">
        <v>27</v>
      </c>
      <c r="B7" s="42">
        <v>99960</v>
      </c>
      <c r="C7" s="97" t="s">
        <v>219</v>
      </c>
      <c r="D7" s="46" t="s">
        <v>38</v>
      </c>
    </row>
    <row r="8" spans="1:4" x14ac:dyDescent="0.25">
      <c r="A8" s="96" t="s">
        <v>27</v>
      </c>
      <c r="B8" s="42">
        <v>100000</v>
      </c>
      <c r="C8" s="97" t="s">
        <v>14</v>
      </c>
      <c r="D8" s="46" t="s">
        <v>38</v>
      </c>
    </row>
    <row r="9" spans="1:4" x14ac:dyDescent="0.25">
      <c r="A9" s="96" t="s">
        <v>28</v>
      </c>
      <c r="B9" s="42">
        <v>69933</v>
      </c>
      <c r="C9" s="97" t="s">
        <v>194</v>
      </c>
      <c r="D9" s="46" t="s">
        <v>38</v>
      </c>
    </row>
    <row r="10" spans="1:4" x14ac:dyDescent="0.25">
      <c r="A10" s="96" t="s">
        <v>28</v>
      </c>
      <c r="B10" s="42">
        <v>69496</v>
      </c>
      <c r="C10" s="97" t="s">
        <v>194</v>
      </c>
      <c r="D10" s="46" t="s">
        <v>38</v>
      </c>
    </row>
    <row r="11" spans="1:4" x14ac:dyDescent="0.25">
      <c r="A11" s="96" t="s">
        <v>28</v>
      </c>
      <c r="B11" s="98">
        <v>69278</v>
      </c>
      <c r="C11" s="97" t="s">
        <v>21</v>
      </c>
      <c r="D11" s="46" t="s">
        <v>38</v>
      </c>
    </row>
    <row r="12" spans="1:4" x14ac:dyDescent="0.25">
      <c r="A12" s="96" t="s">
        <v>26</v>
      </c>
      <c r="B12" s="42">
        <v>64803</v>
      </c>
      <c r="C12" s="97" t="s">
        <v>54</v>
      </c>
      <c r="D12" s="46" t="s">
        <v>38</v>
      </c>
    </row>
    <row r="13" spans="1:4" x14ac:dyDescent="0.25">
      <c r="A13" s="96" t="s">
        <v>26</v>
      </c>
      <c r="B13" s="42">
        <v>70000</v>
      </c>
      <c r="C13" s="97" t="s">
        <v>194</v>
      </c>
      <c r="D13" s="46" t="s">
        <v>38</v>
      </c>
    </row>
    <row r="14" spans="1:4" x14ac:dyDescent="0.25">
      <c r="A14" s="96" t="s">
        <v>26</v>
      </c>
      <c r="B14" s="42">
        <v>65000</v>
      </c>
      <c r="C14" s="97" t="s">
        <v>194</v>
      </c>
      <c r="D14" s="46" t="s">
        <v>38</v>
      </c>
    </row>
    <row r="15" spans="1:4" x14ac:dyDescent="0.25">
      <c r="A15" s="96" t="s">
        <v>26</v>
      </c>
      <c r="B15" s="42">
        <v>70000</v>
      </c>
      <c r="C15" s="97" t="s">
        <v>194</v>
      </c>
      <c r="D15" s="46" t="s">
        <v>38</v>
      </c>
    </row>
    <row r="16" spans="1:4" x14ac:dyDescent="0.25">
      <c r="A16" s="96" t="s">
        <v>213</v>
      </c>
      <c r="B16" s="42">
        <v>100000</v>
      </c>
      <c r="C16" s="97" t="s">
        <v>17</v>
      </c>
      <c r="D16" s="46" t="s">
        <v>17</v>
      </c>
    </row>
    <row r="17" spans="1:4" x14ac:dyDescent="0.25">
      <c r="A17" s="30" t="s">
        <v>16</v>
      </c>
      <c r="B17" s="31">
        <v>70000</v>
      </c>
      <c r="C17" s="32" t="s">
        <v>17</v>
      </c>
      <c r="D17" s="46" t="s">
        <v>17</v>
      </c>
    </row>
    <row r="18" spans="1:4" x14ac:dyDescent="0.25">
      <c r="A18" s="30" t="s">
        <v>16</v>
      </c>
      <c r="B18" s="31">
        <v>70000</v>
      </c>
      <c r="C18" s="32" t="s">
        <v>60</v>
      </c>
      <c r="D18" s="46" t="s">
        <v>17</v>
      </c>
    </row>
    <row r="19" spans="1:4" x14ac:dyDescent="0.25">
      <c r="A19" s="30" t="s">
        <v>16</v>
      </c>
      <c r="B19" s="31">
        <v>70000</v>
      </c>
      <c r="C19" s="32" t="s">
        <v>54</v>
      </c>
      <c r="D19" s="46" t="s">
        <v>38</v>
      </c>
    </row>
    <row r="20" spans="1:4" x14ac:dyDescent="0.25">
      <c r="A20" s="30" t="s">
        <v>16</v>
      </c>
      <c r="B20" s="31">
        <v>70000</v>
      </c>
      <c r="C20" s="32" t="s">
        <v>194</v>
      </c>
      <c r="D20" s="46" t="s">
        <v>38</v>
      </c>
    </row>
    <row r="21" spans="1:4" x14ac:dyDescent="0.25">
      <c r="A21" s="30" t="s">
        <v>13</v>
      </c>
      <c r="B21" s="31">
        <v>68263</v>
      </c>
      <c r="C21" s="32" t="s">
        <v>54</v>
      </c>
      <c r="D21" s="46" t="s">
        <v>38</v>
      </c>
    </row>
    <row r="22" spans="1:4" x14ac:dyDescent="0.25">
      <c r="A22" s="30" t="s">
        <v>13</v>
      </c>
      <c r="B22" s="31">
        <v>69910</v>
      </c>
      <c r="C22" s="32" t="s">
        <v>54</v>
      </c>
      <c r="D22" s="46" t="s">
        <v>38</v>
      </c>
    </row>
    <row r="23" spans="1:4" x14ac:dyDescent="0.25">
      <c r="A23" s="96" t="s">
        <v>34</v>
      </c>
      <c r="B23" s="42">
        <v>102619</v>
      </c>
      <c r="C23" s="97" t="s">
        <v>186</v>
      </c>
      <c r="D23" s="46" t="s">
        <v>17</v>
      </c>
    </row>
    <row r="24" spans="1:4" x14ac:dyDescent="0.25">
      <c r="A24" s="96" t="s">
        <v>34</v>
      </c>
      <c r="B24" s="42">
        <v>499999</v>
      </c>
      <c r="C24" s="97" t="s">
        <v>187</v>
      </c>
      <c r="D24" s="46" t="s">
        <v>41</v>
      </c>
    </row>
    <row r="25" spans="1:4" x14ac:dyDescent="0.25">
      <c r="A25" s="96" t="s">
        <v>34</v>
      </c>
      <c r="B25" s="42">
        <v>136705</v>
      </c>
      <c r="C25" s="97" t="s">
        <v>192</v>
      </c>
      <c r="D25" s="46" t="s">
        <v>39</v>
      </c>
    </row>
    <row r="26" spans="1:4" x14ac:dyDescent="0.25">
      <c r="A26" s="96" t="s">
        <v>34</v>
      </c>
      <c r="B26" s="99">
        <v>123318</v>
      </c>
      <c r="C26" s="97" t="s">
        <v>192</v>
      </c>
      <c r="D26" s="46" t="s">
        <v>39</v>
      </c>
    </row>
    <row r="27" spans="1:4" x14ac:dyDescent="0.25">
      <c r="A27" s="96" t="s">
        <v>34</v>
      </c>
      <c r="B27" s="99">
        <v>15398</v>
      </c>
      <c r="C27" s="97" t="s">
        <v>192</v>
      </c>
      <c r="D27" s="46" t="s">
        <v>39</v>
      </c>
    </row>
    <row r="28" spans="1:4" x14ac:dyDescent="0.25">
      <c r="A28" s="96" t="s">
        <v>34</v>
      </c>
      <c r="B28" s="42">
        <v>30071</v>
      </c>
      <c r="C28" s="97" t="s">
        <v>192</v>
      </c>
      <c r="D28" s="46" t="s">
        <v>39</v>
      </c>
    </row>
    <row r="29" spans="1:4" x14ac:dyDescent="0.25">
      <c r="A29" s="96" t="s">
        <v>34</v>
      </c>
      <c r="B29" s="42">
        <v>22443</v>
      </c>
      <c r="C29" s="97" t="s">
        <v>192</v>
      </c>
      <c r="D29" s="46" t="s">
        <v>39</v>
      </c>
    </row>
    <row r="30" spans="1:4" x14ac:dyDescent="0.25">
      <c r="A30" s="96" t="s">
        <v>34</v>
      </c>
      <c r="B30" s="42">
        <v>55904</v>
      </c>
      <c r="C30" s="97" t="s">
        <v>192</v>
      </c>
      <c r="D30" s="46" t="s">
        <v>39</v>
      </c>
    </row>
    <row r="31" spans="1:4" x14ac:dyDescent="0.25">
      <c r="A31" s="96" t="s">
        <v>34</v>
      </c>
      <c r="B31" s="42">
        <v>132000</v>
      </c>
      <c r="C31" s="97" t="s">
        <v>195</v>
      </c>
      <c r="D31" s="46" t="s">
        <v>39</v>
      </c>
    </row>
    <row r="32" spans="1:4" x14ac:dyDescent="0.25">
      <c r="A32" s="96" t="s">
        <v>34</v>
      </c>
      <c r="B32" s="42">
        <v>100000</v>
      </c>
      <c r="C32" s="97" t="s">
        <v>195</v>
      </c>
      <c r="D32" s="46" t="s">
        <v>39</v>
      </c>
    </row>
    <row r="33" spans="1:4" x14ac:dyDescent="0.25">
      <c r="A33" s="96" t="s">
        <v>34</v>
      </c>
      <c r="B33" s="42">
        <v>121712</v>
      </c>
      <c r="C33" s="97" t="s">
        <v>190</v>
      </c>
      <c r="D33" s="46" t="s">
        <v>38</v>
      </c>
    </row>
    <row r="34" spans="1:4" x14ac:dyDescent="0.25">
      <c r="A34" s="96" t="s">
        <v>34</v>
      </c>
      <c r="B34" s="42">
        <v>99143</v>
      </c>
      <c r="C34" s="97" t="s">
        <v>189</v>
      </c>
      <c r="D34" s="46" t="s">
        <v>38</v>
      </c>
    </row>
    <row r="35" spans="1:4" x14ac:dyDescent="0.25">
      <c r="A35" s="96" t="s">
        <v>34</v>
      </c>
      <c r="B35" s="42">
        <v>154159</v>
      </c>
      <c r="C35" s="97" t="s">
        <v>188</v>
      </c>
      <c r="D35" s="46" t="s">
        <v>38</v>
      </c>
    </row>
    <row r="36" spans="1:4" x14ac:dyDescent="0.25">
      <c r="A36" s="96" t="s">
        <v>34</v>
      </c>
      <c r="B36" s="42">
        <v>152869</v>
      </c>
      <c r="C36" s="97" t="s">
        <v>188</v>
      </c>
      <c r="D36" s="46" t="s">
        <v>38</v>
      </c>
    </row>
    <row r="37" spans="1:4" x14ac:dyDescent="0.25">
      <c r="A37" s="96" t="s">
        <v>34</v>
      </c>
      <c r="B37" s="42">
        <v>57473</v>
      </c>
      <c r="C37" s="97" t="s">
        <v>188</v>
      </c>
      <c r="D37" s="46" t="s">
        <v>38</v>
      </c>
    </row>
    <row r="38" spans="1:4" x14ac:dyDescent="0.25">
      <c r="A38" s="96" t="s">
        <v>34</v>
      </c>
      <c r="B38" s="42">
        <v>300000</v>
      </c>
      <c r="C38" s="97" t="s">
        <v>191</v>
      </c>
      <c r="D38" s="46" t="s">
        <v>38</v>
      </c>
    </row>
    <row r="39" spans="1:4" x14ac:dyDescent="0.25">
      <c r="A39" s="96" t="s">
        <v>34</v>
      </c>
      <c r="B39" s="42">
        <v>99277</v>
      </c>
      <c r="C39" s="97" t="s">
        <v>191</v>
      </c>
      <c r="D39" s="46" t="s">
        <v>38</v>
      </c>
    </row>
    <row r="40" spans="1:4" x14ac:dyDescent="0.25">
      <c r="A40" s="96" t="s">
        <v>34</v>
      </c>
      <c r="B40" s="42">
        <v>99133</v>
      </c>
      <c r="C40" s="97" t="s">
        <v>191</v>
      </c>
      <c r="D40" s="46" t="s">
        <v>38</v>
      </c>
    </row>
    <row r="41" spans="1:4" x14ac:dyDescent="0.25">
      <c r="A41" s="96" t="s">
        <v>34</v>
      </c>
      <c r="B41" s="42">
        <v>101102</v>
      </c>
      <c r="C41" s="97" t="s">
        <v>191</v>
      </c>
      <c r="D41" s="46" t="s">
        <v>38</v>
      </c>
    </row>
    <row r="42" spans="1:4" x14ac:dyDescent="0.25">
      <c r="A42" s="96" t="s">
        <v>34</v>
      </c>
      <c r="B42" s="42">
        <v>100000</v>
      </c>
      <c r="C42" s="97" t="s">
        <v>191</v>
      </c>
      <c r="D42" s="46" t="s">
        <v>38</v>
      </c>
    </row>
    <row r="43" spans="1:4" x14ac:dyDescent="0.25">
      <c r="A43" s="96" t="s">
        <v>34</v>
      </c>
      <c r="B43" s="42">
        <v>100000</v>
      </c>
      <c r="C43" s="97" t="s">
        <v>191</v>
      </c>
      <c r="D43" s="46" t="s">
        <v>38</v>
      </c>
    </row>
    <row r="44" spans="1:4" x14ac:dyDescent="0.25">
      <c r="A44" s="96" t="s">
        <v>34</v>
      </c>
      <c r="B44" s="42">
        <v>99802</v>
      </c>
      <c r="C44" s="97" t="s">
        <v>191</v>
      </c>
      <c r="D44" s="46" t="s">
        <v>38</v>
      </c>
    </row>
    <row r="45" spans="1:4" x14ac:dyDescent="0.25">
      <c r="A45" s="96" t="s">
        <v>34</v>
      </c>
      <c r="B45" s="42">
        <v>49000</v>
      </c>
      <c r="C45" s="97" t="s">
        <v>193</v>
      </c>
      <c r="D45" s="46" t="s">
        <v>38</v>
      </c>
    </row>
    <row r="46" spans="1:4" x14ac:dyDescent="0.25">
      <c r="A46" s="96" t="s">
        <v>34</v>
      </c>
      <c r="B46" s="42">
        <v>100000</v>
      </c>
      <c r="C46" s="97" t="s">
        <v>194</v>
      </c>
      <c r="D46" s="46" t="s">
        <v>38</v>
      </c>
    </row>
    <row r="47" spans="1:4" x14ac:dyDescent="0.25">
      <c r="A47" s="96" t="s">
        <v>34</v>
      </c>
      <c r="B47" s="42">
        <v>178052</v>
      </c>
      <c r="C47" s="97" t="s">
        <v>194</v>
      </c>
      <c r="D47" s="46" t="s">
        <v>38</v>
      </c>
    </row>
    <row r="48" spans="1:4" x14ac:dyDescent="0.25">
      <c r="A48" s="96" t="s">
        <v>34</v>
      </c>
      <c r="B48" s="42">
        <v>104592</v>
      </c>
      <c r="C48" s="97" t="s">
        <v>194</v>
      </c>
      <c r="D48" s="46" t="s">
        <v>38</v>
      </c>
    </row>
    <row r="49" spans="1:5" x14ac:dyDescent="0.25">
      <c r="A49" s="96" t="s">
        <v>34</v>
      </c>
      <c r="B49" s="42">
        <v>196200</v>
      </c>
      <c r="C49" s="97" t="s">
        <v>194</v>
      </c>
      <c r="D49" s="46" t="s">
        <v>38</v>
      </c>
    </row>
    <row r="50" spans="1:5" x14ac:dyDescent="0.25">
      <c r="A50" s="96" t="s">
        <v>34</v>
      </c>
      <c r="B50" s="42">
        <v>172306</v>
      </c>
      <c r="C50" s="97" t="s">
        <v>21</v>
      </c>
      <c r="D50" s="46" t="s">
        <v>38</v>
      </c>
    </row>
    <row r="51" spans="1:5" x14ac:dyDescent="0.25">
      <c r="A51" s="30" t="s">
        <v>29</v>
      </c>
      <c r="B51" s="31">
        <v>98030</v>
      </c>
      <c r="C51" s="32" t="s">
        <v>17</v>
      </c>
      <c r="D51" s="46" t="s">
        <v>17</v>
      </c>
    </row>
    <row r="52" spans="1:5" ht="13" x14ac:dyDescent="0.3">
      <c r="A52" s="51" t="s">
        <v>32</v>
      </c>
      <c r="B52" s="102" t="s">
        <v>30</v>
      </c>
      <c r="C52" s="32"/>
      <c r="D52" s="46"/>
    </row>
    <row r="53" spans="1:5" ht="13.5" thickBot="1" x14ac:dyDescent="0.35">
      <c r="A53" s="72"/>
      <c r="B53" s="59">
        <f>SUM(B5:B52)</f>
        <v>4965710</v>
      </c>
      <c r="C53" s="63"/>
      <c r="D53" s="45"/>
      <c r="E53" s="73"/>
    </row>
    <row r="54" spans="1:5" x14ac:dyDescent="0.25">
      <c r="B54" s="12"/>
    </row>
    <row r="55" spans="1:5" ht="16" thickBot="1" x14ac:dyDescent="0.4">
      <c r="A55" s="104" t="s">
        <v>248</v>
      </c>
      <c r="B55" s="12"/>
    </row>
    <row r="56" spans="1:5" ht="14.5" thickBot="1" x14ac:dyDescent="0.35">
      <c r="A56" s="79" t="s">
        <v>0</v>
      </c>
      <c r="B56" s="80" t="s">
        <v>35</v>
      </c>
      <c r="C56" s="80" t="s">
        <v>3</v>
      </c>
      <c r="D56" s="81" t="s">
        <v>37</v>
      </c>
    </row>
    <row r="57" spans="1:5" x14ac:dyDescent="0.25">
      <c r="A57" s="94" t="s">
        <v>34</v>
      </c>
      <c r="B57" s="103">
        <v>473920</v>
      </c>
      <c r="C57" s="95" t="s">
        <v>192</v>
      </c>
      <c r="D57" s="54" t="s">
        <v>39</v>
      </c>
    </row>
    <row r="58" spans="1:5" x14ac:dyDescent="0.25">
      <c r="A58" s="96" t="s">
        <v>34</v>
      </c>
      <c r="B58" s="42">
        <v>227986</v>
      </c>
      <c r="C58" s="97" t="s">
        <v>192</v>
      </c>
      <c r="D58" s="46" t="s">
        <v>39</v>
      </c>
    </row>
    <row r="59" spans="1:5" x14ac:dyDescent="0.25">
      <c r="A59" s="96" t="s">
        <v>34</v>
      </c>
      <c r="B59" s="42">
        <v>501487</v>
      </c>
      <c r="C59" s="97" t="s">
        <v>195</v>
      </c>
      <c r="D59" s="46" t="s">
        <v>39</v>
      </c>
    </row>
    <row r="60" spans="1:5" x14ac:dyDescent="0.25">
      <c r="A60" s="96" t="s">
        <v>34</v>
      </c>
      <c r="B60" s="42">
        <v>455253</v>
      </c>
      <c r="C60" s="97" t="s">
        <v>188</v>
      </c>
      <c r="D60" s="46" t="s">
        <v>38</v>
      </c>
    </row>
    <row r="61" spans="1:5" x14ac:dyDescent="0.25">
      <c r="A61" s="96" t="s">
        <v>34</v>
      </c>
      <c r="B61" s="42">
        <v>405482</v>
      </c>
      <c r="C61" s="97" t="s">
        <v>188</v>
      </c>
      <c r="D61" s="46" t="s">
        <v>38</v>
      </c>
    </row>
    <row r="62" spans="1:5" x14ac:dyDescent="0.25">
      <c r="A62" s="96" t="s">
        <v>34</v>
      </c>
      <c r="B62" s="42">
        <v>441497</v>
      </c>
      <c r="C62" s="97" t="s">
        <v>188</v>
      </c>
      <c r="D62" s="46" t="s">
        <v>38</v>
      </c>
    </row>
    <row r="63" spans="1:5" x14ac:dyDescent="0.25">
      <c r="A63" s="96" t="s">
        <v>34</v>
      </c>
      <c r="B63" s="42">
        <v>382311</v>
      </c>
      <c r="C63" s="97" t="s">
        <v>189</v>
      </c>
      <c r="D63" s="46" t="s">
        <v>38</v>
      </c>
    </row>
    <row r="64" spans="1:5" x14ac:dyDescent="0.25">
      <c r="A64" s="96" t="s">
        <v>34</v>
      </c>
      <c r="B64" s="42">
        <v>515987</v>
      </c>
      <c r="C64" s="97" t="s">
        <v>190</v>
      </c>
      <c r="D64" s="46" t="s">
        <v>38</v>
      </c>
    </row>
    <row r="65" spans="1:5" x14ac:dyDescent="0.25">
      <c r="A65" s="96" t="s">
        <v>34</v>
      </c>
      <c r="B65" s="42">
        <v>356367</v>
      </c>
      <c r="C65" s="97" t="s">
        <v>191</v>
      </c>
      <c r="D65" s="46" t="s">
        <v>38</v>
      </c>
    </row>
    <row r="66" spans="1:5" x14ac:dyDescent="0.25">
      <c r="A66" s="96" t="s">
        <v>34</v>
      </c>
      <c r="B66" s="42">
        <v>652055</v>
      </c>
      <c r="C66" s="97" t="s">
        <v>191</v>
      </c>
      <c r="D66" s="46" t="s">
        <v>38</v>
      </c>
    </row>
    <row r="67" spans="1:5" x14ac:dyDescent="0.25">
      <c r="A67" s="96" t="s">
        <v>34</v>
      </c>
      <c r="B67" s="42">
        <v>160000</v>
      </c>
      <c r="C67" s="97" t="s">
        <v>191</v>
      </c>
      <c r="D67" s="46" t="s">
        <v>38</v>
      </c>
    </row>
    <row r="68" spans="1:5" x14ac:dyDescent="0.25">
      <c r="A68" s="96" t="s">
        <v>34</v>
      </c>
      <c r="B68" s="42">
        <v>562206</v>
      </c>
      <c r="C68" s="97" t="s">
        <v>191</v>
      </c>
      <c r="D68" s="46" t="s">
        <v>38</v>
      </c>
    </row>
    <row r="69" spans="1:5" x14ac:dyDescent="0.25">
      <c r="A69" s="96" t="s">
        <v>34</v>
      </c>
      <c r="B69" s="42">
        <v>1357285</v>
      </c>
      <c r="C69" s="97" t="s">
        <v>191</v>
      </c>
      <c r="D69" s="46" t="s">
        <v>38</v>
      </c>
    </row>
    <row r="70" spans="1:5" x14ac:dyDescent="0.25">
      <c r="A70" s="96" t="s">
        <v>34</v>
      </c>
      <c r="B70" s="42">
        <v>306020</v>
      </c>
      <c r="C70" s="97" t="s">
        <v>191</v>
      </c>
      <c r="D70" s="46" t="s">
        <v>38</v>
      </c>
    </row>
    <row r="71" spans="1:5" x14ac:dyDescent="0.25">
      <c r="A71" s="96" t="s">
        <v>34</v>
      </c>
      <c r="B71" s="42">
        <v>306836</v>
      </c>
      <c r="C71" s="97" t="s">
        <v>191</v>
      </c>
      <c r="D71" s="46" t="s">
        <v>38</v>
      </c>
    </row>
    <row r="72" spans="1:5" x14ac:dyDescent="0.25">
      <c r="A72" s="96" t="s">
        <v>34</v>
      </c>
      <c r="B72" s="42">
        <v>122674</v>
      </c>
      <c r="C72" s="97" t="s">
        <v>191</v>
      </c>
      <c r="D72" s="46" t="s">
        <v>38</v>
      </c>
    </row>
    <row r="73" spans="1:5" x14ac:dyDescent="0.25">
      <c r="A73" s="96" t="s">
        <v>34</v>
      </c>
      <c r="B73" s="42">
        <v>457372</v>
      </c>
      <c r="C73" s="97" t="s">
        <v>21</v>
      </c>
      <c r="D73" s="46" t="s">
        <v>38</v>
      </c>
    </row>
    <row r="74" spans="1:5" x14ac:dyDescent="0.25">
      <c r="A74" s="30" t="s">
        <v>18</v>
      </c>
      <c r="B74" s="31">
        <v>261739</v>
      </c>
      <c r="C74" s="32" t="s">
        <v>25</v>
      </c>
      <c r="D74" s="46" t="s">
        <v>38</v>
      </c>
    </row>
    <row r="75" spans="1:5" x14ac:dyDescent="0.25">
      <c r="A75" s="30" t="s">
        <v>18</v>
      </c>
      <c r="B75" s="31">
        <v>243832</v>
      </c>
      <c r="C75" s="32" t="s">
        <v>21</v>
      </c>
      <c r="D75" s="46" t="s">
        <v>38</v>
      </c>
    </row>
    <row r="76" spans="1:5" x14ac:dyDescent="0.25">
      <c r="A76" s="96"/>
      <c r="B76" s="102" t="s">
        <v>36</v>
      </c>
      <c r="C76" s="97"/>
      <c r="D76" s="46"/>
    </row>
    <row r="77" spans="1:5" ht="13.5" thickBot="1" x14ac:dyDescent="0.35">
      <c r="A77" s="52" t="s">
        <v>33</v>
      </c>
      <c r="B77" s="71">
        <f>SUM(B57:B75)</f>
        <v>8190309</v>
      </c>
      <c r="C77" s="63"/>
      <c r="D77" s="45"/>
      <c r="E77" s="73"/>
    </row>
    <row r="78" spans="1:5" ht="13" thickBot="1" x14ac:dyDescent="0.3"/>
    <row r="79" spans="1:5" ht="13.5" thickBot="1" x14ac:dyDescent="0.35">
      <c r="A79" s="47" t="s">
        <v>49</v>
      </c>
      <c r="B79" s="62">
        <f>B53+B77</f>
        <v>13156019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topLeftCell="A36" workbookViewId="0">
      <selection activeCell="D3" sqref="D3"/>
    </sheetView>
  </sheetViews>
  <sheetFormatPr defaultRowHeight="12.5" x14ac:dyDescent="0.25"/>
  <cols>
    <col min="1" max="1" width="21.7265625" customWidth="1"/>
    <col min="2" max="2" width="12.26953125" bestFit="1" customWidth="1"/>
    <col min="3" max="3" width="16.7265625" bestFit="1" customWidth="1"/>
    <col min="4" max="4" width="25.81640625" bestFit="1" customWidth="1"/>
    <col min="7" max="7" width="16" customWidth="1"/>
    <col min="8" max="8" width="14" bestFit="1" customWidth="1"/>
  </cols>
  <sheetData>
    <row r="1" spans="1:3" ht="18" x14ac:dyDescent="0.4">
      <c r="A1" s="25" t="s">
        <v>246</v>
      </c>
    </row>
    <row r="2" spans="1:3" ht="13" thickBot="1" x14ac:dyDescent="0.3"/>
    <row r="3" spans="1:3" ht="13" x14ac:dyDescent="0.3">
      <c r="A3" s="50" t="s">
        <v>27</v>
      </c>
      <c r="B3" s="65">
        <f>B52</f>
        <v>367720</v>
      </c>
      <c r="C3" s="67">
        <f t="shared" ref="C3:C12" si="0">B3/$B$156</f>
        <v>2.7950704540636494E-2</v>
      </c>
    </row>
    <row r="4" spans="1:3" ht="13" x14ac:dyDescent="0.3">
      <c r="A4" s="51" t="s">
        <v>45</v>
      </c>
      <c r="B4" s="64">
        <f>B59</f>
        <v>208707</v>
      </c>
      <c r="C4" s="68">
        <f t="shared" si="0"/>
        <v>1.586399350745845E-2</v>
      </c>
    </row>
    <row r="5" spans="1:3" ht="13" x14ac:dyDescent="0.3">
      <c r="A5" s="51" t="s">
        <v>26</v>
      </c>
      <c r="B5" s="64">
        <f>B67</f>
        <v>269803</v>
      </c>
      <c r="C5" s="68">
        <f t="shared" si="0"/>
        <v>2.0507951531538528E-2</v>
      </c>
    </row>
    <row r="6" spans="1:3" ht="13" x14ac:dyDescent="0.3">
      <c r="A6" s="51" t="s">
        <v>213</v>
      </c>
      <c r="B6" s="64">
        <f>B72</f>
        <v>100000</v>
      </c>
      <c r="C6" s="68">
        <f t="shared" si="0"/>
        <v>7.601083580070841E-3</v>
      </c>
    </row>
    <row r="7" spans="1:3" ht="13" x14ac:dyDescent="0.3">
      <c r="A7" s="51" t="s">
        <v>15</v>
      </c>
      <c r="B7" s="64">
        <f>B78</f>
        <v>0</v>
      </c>
      <c r="C7" s="68">
        <f t="shared" si="0"/>
        <v>0</v>
      </c>
    </row>
    <row r="8" spans="1:3" ht="13" x14ac:dyDescent="0.3">
      <c r="A8" s="51" t="s">
        <v>16</v>
      </c>
      <c r="B8" s="64">
        <f>B86</f>
        <v>280000</v>
      </c>
      <c r="C8" s="68">
        <f t="shared" si="0"/>
        <v>2.1283034024198354E-2</v>
      </c>
    </row>
    <row r="9" spans="1:3" ht="13" x14ac:dyDescent="0.3">
      <c r="A9" s="51" t="s">
        <v>13</v>
      </c>
      <c r="B9" s="64">
        <f>B92</f>
        <v>138173</v>
      </c>
      <c r="C9" s="68">
        <f t="shared" si="0"/>
        <v>1.0502645215091283E-2</v>
      </c>
    </row>
    <row r="10" spans="1:3" ht="13" x14ac:dyDescent="0.3">
      <c r="A10" s="34" t="s">
        <v>34</v>
      </c>
      <c r="B10" s="64">
        <f>B141</f>
        <v>11188015</v>
      </c>
      <c r="C10" s="68">
        <f t="shared" si="0"/>
        <v>0.85041037110086271</v>
      </c>
    </row>
    <row r="11" spans="1:3" ht="13" x14ac:dyDescent="0.3">
      <c r="A11" s="51" t="s">
        <v>29</v>
      </c>
      <c r="B11" s="64">
        <f>B146</f>
        <v>98030</v>
      </c>
      <c r="C11" s="68">
        <f t="shared" si="0"/>
        <v>7.4513422335434447E-3</v>
      </c>
    </row>
    <row r="12" spans="1:3" ht="13.5" thickBot="1" x14ac:dyDescent="0.35">
      <c r="A12" s="52" t="s">
        <v>18</v>
      </c>
      <c r="B12" s="66">
        <f>B152</f>
        <v>505571</v>
      </c>
      <c r="C12" s="69">
        <f t="shared" si="0"/>
        <v>3.8428874266599952E-2</v>
      </c>
    </row>
    <row r="13" spans="1:3" x14ac:dyDescent="0.25">
      <c r="A13" s="32"/>
      <c r="B13" s="32"/>
      <c r="C13" s="32"/>
    </row>
    <row r="46" spans="1:4" ht="14.5" thickBot="1" x14ac:dyDescent="0.35">
      <c r="A46" s="6" t="s">
        <v>0</v>
      </c>
      <c r="B46" s="6" t="s">
        <v>35</v>
      </c>
      <c r="C46" s="6" t="s">
        <v>3</v>
      </c>
      <c r="D46" s="6" t="s">
        <v>37</v>
      </c>
    </row>
    <row r="47" spans="1:4" x14ac:dyDescent="0.25">
      <c r="A47" s="94" t="s">
        <v>27</v>
      </c>
      <c r="B47" s="41">
        <v>99682</v>
      </c>
      <c r="C47" s="95" t="s">
        <v>17</v>
      </c>
      <c r="D47" s="54" t="s">
        <v>17</v>
      </c>
    </row>
    <row r="48" spans="1:4" x14ac:dyDescent="0.25">
      <c r="A48" s="96" t="s">
        <v>27</v>
      </c>
      <c r="B48" s="42">
        <v>68078</v>
      </c>
      <c r="C48" s="97" t="s">
        <v>17</v>
      </c>
      <c r="D48" s="46" t="s">
        <v>17</v>
      </c>
    </row>
    <row r="49" spans="1:8" x14ac:dyDescent="0.25">
      <c r="A49" s="96" t="s">
        <v>27</v>
      </c>
      <c r="B49" s="42">
        <v>99960</v>
      </c>
      <c r="C49" s="97" t="s">
        <v>219</v>
      </c>
      <c r="D49" s="46" t="s">
        <v>38</v>
      </c>
    </row>
    <row r="50" spans="1:8" x14ac:dyDescent="0.25">
      <c r="A50" s="96" t="s">
        <v>27</v>
      </c>
      <c r="B50" s="42">
        <v>100000</v>
      </c>
      <c r="C50" s="97" t="s">
        <v>14</v>
      </c>
      <c r="D50" s="46" t="s">
        <v>38</v>
      </c>
    </row>
    <row r="51" spans="1:8" x14ac:dyDescent="0.25">
      <c r="A51" s="55"/>
      <c r="B51" s="42" t="s">
        <v>43</v>
      </c>
      <c r="C51" s="32"/>
      <c r="D51" s="46"/>
    </row>
    <row r="52" spans="1:8" s="15" customFormat="1" ht="13" x14ac:dyDescent="0.3">
      <c r="A52" s="51" t="s">
        <v>27</v>
      </c>
      <c r="B52" s="35">
        <f>SUM(B47:B51)</f>
        <v>367720</v>
      </c>
      <c r="C52" s="36" t="s">
        <v>42</v>
      </c>
      <c r="D52" s="56"/>
    </row>
    <row r="53" spans="1:8" s="15" customFormat="1" ht="13.5" thickBot="1" x14ac:dyDescent="0.35">
      <c r="A53" s="52"/>
      <c r="B53" s="38">
        <f>B52/$B$156</f>
        <v>2.7950704540636494E-2</v>
      </c>
      <c r="C53" s="39" t="s">
        <v>247</v>
      </c>
      <c r="D53" s="57"/>
      <c r="G53" s="8"/>
      <c r="H53" s="11"/>
    </row>
    <row r="54" spans="1:8" s="15" customFormat="1" ht="13.5" thickBot="1" x14ac:dyDescent="0.35">
      <c r="A54" s="8"/>
      <c r="B54" s="11"/>
      <c r="G54" s="8"/>
      <c r="H54" s="49"/>
    </row>
    <row r="55" spans="1:8" ht="13" x14ac:dyDescent="0.3">
      <c r="A55" s="94" t="s">
        <v>28</v>
      </c>
      <c r="B55" s="41">
        <v>69933</v>
      </c>
      <c r="C55" s="95" t="s">
        <v>194</v>
      </c>
      <c r="D55" s="54" t="s">
        <v>38</v>
      </c>
      <c r="G55" s="8"/>
      <c r="H55" s="49"/>
    </row>
    <row r="56" spans="1:8" ht="13" x14ac:dyDescent="0.3">
      <c r="A56" s="96" t="s">
        <v>28</v>
      </c>
      <c r="B56" s="42">
        <v>69496</v>
      </c>
      <c r="C56" s="97" t="s">
        <v>194</v>
      </c>
      <c r="D56" s="46" t="s">
        <v>38</v>
      </c>
      <c r="G56" s="8"/>
      <c r="H56" s="49"/>
    </row>
    <row r="57" spans="1:8" ht="13" x14ac:dyDescent="0.3">
      <c r="A57" s="96" t="s">
        <v>28</v>
      </c>
      <c r="B57" s="98">
        <v>69278</v>
      </c>
      <c r="C57" s="97" t="s">
        <v>21</v>
      </c>
      <c r="D57" s="46" t="s">
        <v>38</v>
      </c>
      <c r="G57" s="8"/>
      <c r="H57" s="49"/>
    </row>
    <row r="58" spans="1:8" ht="13" x14ac:dyDescent="0.3">
      <c r="A58" s="55"/>
      <c r="B58" s="42" t="s">
        <v>43</v>
      </c>
      <c r="C58" s="32"/>
      <c r="D58" s="46"/>
      <c r="G58" s="8"/>
      <c r="H58" s="49"/>
    </row>
    <row r="59" spans="1:8" s="15" customFormat="1" ht="13" x14ac:dyDescent="0.3">
      <c r="A59" s="51" t="s">
        <v>45</v>
      </c>
      <c r="B59" s="35">
        <f>SUM(B55:B58)</f>
        <v>208707</v>
      </c>
      <c r="C59" s="36" t="s">
        <v>42</v>
      </c>
      <c r="D59" s="56"/>
      <c r="G59" s="8"/>
      <c r="H59" s="49"/>
    </row>
    <row r="60" spans="1:8" s="15" customFormat="1" ht="13.5" thickBot="1" x14ac:dyDescent="0.35">
      <c r="A60" s="52"/>
      <c r="B60" s="38">
        <f>B59/$B$156</f>
        <v>1.586399350745845E-2</v>
      </c>
      <c r="C60" s="39" t="s">
        <v>247</v>
      </c>
      <c r="D60" s="57"/>
      <c r="G60" s="8"/>
      <c r="H60" s="49"/>
    </row>
    <row r="61" spans="1:8" s="15" customFormat="1" ht="13.5" thickBot="1" x14ac:dyDescent="0.35">
      <c r="A61" s="8"/>
      <c r="B61" s="11"/>
      <c r="G61" s="8"/>
      <c r="H61" s="49"/>
    </row>
    <row r="62" spans="1:8" ht="13" x14ac:dyDescent="0.3">
      <c r="A62" s="94" t="s">
        <v>26</v>
      </c>
      <c r="B62" s="41">
        <v>64803</v>
      </c>
      <c r="C62" s="95" t="s">
        <v>54</v>
      </c>
      <c r="D62" s="54" t="s">
        <v>38</v>
      </c>
      <c r="G62" s="8"/>
      <c r="H62" s="49"/>
    </row>
    <row r="63" spans="1:8" ht="13" x14ac:dyDescent="0.3">
      <c r="A63" s="96" t="s">
        <v>26</v>
      </c>
      <c r="B63" s="42">
        <v>70000</v>
      </c>
      <c r="C63" s="97" t="s">
        <v>194</v>
      </c>
      <c r="D63" s="46" t="s">
        <v>38</v>
      </c>
      <c r="G63" s="16"/>
      <c r="H63" s="49"/>
    </row>
    <row r="64" spans="1:8" ht="13" x14ac:dyDescent="0.3">
      <c r="A64" s="96" t="s">
        <v>26</v>
      </c>
      <c r="B64" s="42">
        <v>65000</v>
      </c>
      <c r="C64" s="97" t="s">
        <v>194</v>
      </c>
      <c r="D64" s="46" t="s">
        <v>38</v>
      </c>
      <c r="G64" s="8"/>
      <c r="H64" s="49"/>
    </row>
    <row r="65" spans="1:8" ht="13" x14ac:dyDescent="0.3">
      <c r="A65" s="96" t="s">
        <v>26</v>
      </c>
      <c r="B65" s="42">
        <v>70000</v>
      </c>
      <c r="C65" s="97" t="s">
        <v>194</v>
      </c>
      <c r="D65" s="46" t="s">
        <v>38</v>
      </c>
      <c r="G65" s="8"/>
      <c r="H65" s="49"/>
    </row>
    <row r="66" spans="1:8" ht="13" x14ac:dyDescent="0.3">
      <c r="A66" s="55"/>
      <c r="B66" s="42" t="s">
        <v>43</v>
      </c>
      <c r="C66" s="32"/>
      <c r="D66" s="46"/>
      <c r="G66" s="8"/>
      <c r="H66" s="49"/>
    </row>
    <row r="67" spans="1:8" s="15" customFormat="1" ht="13" x14ac:dyDescent="0.3">
      <c r="A67" s="51" t="s">
        <v>26</v>
      </c>
      <c r="B67" s="35">
        <f>SUM(B62:B66)</f>
        <v>269803</v>
      </c>
      <c r="C67" s="36" t="s">
        <v>42</v>
      </c>
      <c r="D67" s="56"/>
    </row>
    <row r="68" spans="1:8" s="15" customFormat="1" ht="13.5" thickBot="1" x14ac:dyDescent="0.35">
      <c r="A68" s="52"/>
      <c r="B68" s="38">
        <f>B67/$B$156</f>
        <v>2.0507951531538528E-2</v>
      </c>
      <c r="C68" s="39" t="s">
        <v>247</v>
      </c>
      <c r="D68" s="57"/>
    </row>
    <row r="69" spans="1:8" s="15" customFormat="1" ht="13.5" thickBot="1" x14ac:dyDescent="0.35">
      <c r="A69" s="8"/>
      <c r="B69" s="11"/>
    </row>
    <row r="70" spans="1:8" x14ac:dyDescent="0.25">
      <c r="A70" s="94" t="s">
        <v>213</v>
      </c>
      <c r="B70" s="41">
        <v>100000</v>
      </c>
      <c r="C70" s="95" t="s">
        <v>17</v>
      </c>
      <c r="D70" s="54" t="s">
        <v>17</v>
      </c>
    </row>
    <row r="71" spans="1:8" x14ac:dyDescent="0.25">
      <c r="A71" s="55"/>
      <c r="B71" s="42" t="s">
        <v>43</v>
      </c>
      <c r="C71" s="32"/>
      <c r="D71" s="46"/>
    </row>
    <row r="72" spans="1:8" s="15" customFormat="1" ht="13" x14ac:dyDescent="0.3">
      <c r="A72" s="51" t="s">
        <v>213</v>
      </c>
      <c r="B72" s="35">
        <f>SUM(B70:B71)</f>
        <v>100000</v>
      </c>
      <c r="C72" s="36" t="s">
        <v>42</v>
      </c>
      <c r="D72" s="56"/>
    </row>
    <row r="73" spans="1:8" s="15" customFormat="1" ht="13.5" thickBot="1" x14ac:dyDescent="0.35">
      <c r="A73" s="52"/>
      <c r="B73" s="38">
        <f>B72/$B$156</f>
        <v>7.601083580070841E-3</v>
      </c>
      <c r="C73" s="39" t="s">
        <v>247</v>
      </c>
      <c r="D73" s="57"/>
    </row>
    <row r="74" spans="1:8" s="15" customFormat="1" ht="13" x14ac:dyDescent="0.3">
      <c r="A74" s="8"/>
      <c r="B74" s="11"/>
    </row>
    <row r="75" spans="1:8" s="15" customFormat="1" ht="13.5" thickBot="1" x14ac:dyDescent="0.35">
      <c r="A75" s="8"/>
      <c r="B75" s="11"/>
    </row>
    <row r="76" spans="1:8" x14ac:dyDescent="0.25">
      <c r="A76" s="53" t="s">
        <v>15</v>
      </c>
      <c r="B76" s="41">
        <v>0</v>
      </c>
      <c r="C76" s="28"/>
      <c r="D76" s="54"/>
    </row>
    <row r="77" spans="1:8" x14ac:dyDescent="0.25">
      <c r="A77" s="55"/>
      <c r="B77" s="42" t="s">
        <v>43</v>
      </c>
      <c r="C77" s="32"/>
      <c r="D77" s="46"/>
    </row>
    <row r="78" spans="1:8" s="15" customFormat="1" ht="13" x14ac:dyDescent="0.3">
      <c r="A78" s="51" t="s">
        <v>15</v>
      </c>
      <c r="B78" s="35">
        <f>SUM(B76:B77)</f>
        <v>0</v>
      </c>
      <c r="C78" s="36" t="s">
        <v>42</v>
      </c>
      <c r="D78" s="56"/>
    </row>
    <row r="79" spans="1:8" s="15" customFormat="1" ht="13.5" thickBot="1" x14ac:dyDescent="0.35">
      <c r="A79" s="52"/>
      <c r="B79" s="38">
        <f>B78/$B$156</f>
        <v>0</v>
      </c>
      <c r="C79" s="39" t="s">
        <v>247</v>
      </c>
      <c r="D79" s="57"/>
    </row>
    <row r="80" spans="1:8" s="15" customFormat="1" ht="13.5" thickBot="1" x14ac:dyDescent="0.35">
      <c r="A80" s="8"/>
      <c r="B80" s="11"/>
    </row>
    <row r="81" spans="1:4" x14ac:dyDescent="0.25">
      <c r="A81" s="26" t="s">
        <v>16</v>
      </c>
      <c r="B81" s="58">
        <v>70000</v>
      </c>
      <c r="C81" s="28" t="s">
        <v>17</v>
      </c>
      <c r="D81" s="54" t="s">
        <v>17</v>
      </c>
    </row>
    <row r="82" spans="1:4" x14ac:dyDescent="0.25">
      <c r="A82" s="30" t="s">
        <v>16</v>
      </c>
      <c r="B82" s="31">
        <v>70000</v>
      </c>
      <c r="C82" s="32" t="s">
        <v>54</v>
      </c>
      <c r="D82" s="46" t="s">
        <v>38</v>
      </c>
    </row>
    <row r="83" spans="1:4" x14ac:dyDescent="0.25">
      <c r="A83" s="30" t="s">
        <v>16</v>
      </c>
      <c r="B83" s="31">
        <v>70000</v>
      </c>
      <c r="C83" s="32" t="s">
        <v>60</v>
      </c>
      <c r="D83" s="46" t="s">
        <v>17</v>
      </c>
    </row>
    <row r="84" spans="1:4" x14ac:dyDescent="0.25">
      <c r="A84" s="30" t="s">
        <v>16</v>
      </c>
      <c r="B84" s="31">
        <v>70000</v>
      </c>
      <c r="C84" s="32" t="s">
        <v>194</v>
      </c>
      <c r="D84" s="46" t="s">
        <v>38</v>
      </c>
    </row>
    <row r="85" spans="1:4" x14ac:dyDescent="0.25">
      <c r="A85" s="55"/>
      <c r="B85" s="42" t="s">
        <v>43</v>
      </c>
      <c r="C85" s="32"/>
      <c r="D85" s="46"/>
    </row>
    <row r="86" spans="1:4" s="15" customFormat="1" ht="13" x14ac:dyDescent="0.3">
      <c r="A86" s="51" t="s">
        <v>16</v>
      </c>
      <c r="B86" s="35">
        <f>SUM(B81:B85)</f>
        <v>280000</v>
      </c>
      <c r="C86" s="36" t="s">
        <v>42</v>
      </c>
      <c r="D86" s="56"/>
    </row>
    <row r="87" spans="1:4" s="15" customFormat="1" ht="13.5" thickBot="1" x14ac:dyDescent="0.35">
      <c r="A87" s="52"/>
      <c r="B87" s="38">
        <f>B86/$B$156</f>
        <v>2.1283034024198354E-2</v>
      </c>
      <c r="C87" s="39" t="s">
        <v>247</v>
      </c>
      <c r="D87" s="57"/>
    </row>
    <row r="88" spans="1:4" s="15" customFormat="1" ht="13.5" thickBot="1" x14ac:dyDescent="0.35">
      <c r="A88" s="8"/>
      <c r="B88" s="11"/>
    </row>
    <row r="89" spans="1:4" x14ac:dyDescent="0.25">
      <c r="A89" s="26" t="s">
        <v>13</v>
      </c>
      <c r="B89" s="58">
        <v>68263</v>
      </c>
      <c r="C89" s="28" t="s">
        <v>54</v>
      </c>
      <c r="D89" s="54" t="s">
        <v>38</v>
      </c>
    </row>
    <row r="90" spans="1:4" x14ac:dyDescent="0.25">
      <c r="A90" s="30" t="s">
        <v>13</v>
      </c>
      <c r="B90" s="31">
        <v>69910</v>
      </c>
      <c r="C90" s="32" t="s">
        <v>54</v>
      </c>
      <c r="D90" s="46" t="s">
        <v>38</v>
      </c>
    </row>
    <row r="91" spans="1:4" x14ac:dyDescent="0.25">
      <c r="A91" s="55"/>
      <c r="B91" s="42" t="s">
        <v>43</v>
      </c>
      <c r="C91" s="32"/>
      <c r="D91" s="46"/>
    </row>
    <row r="92" spans="1:4" s="15" customFormat="1" ht="13" x14ac:dyDescent="0.3">
      <c r="A92" s="51" t="s">
        <v>13</v>
      </c>
      <c r="B92" s="35">
        <f>SUM(B89:B91)</f>
        <v>138173</v>
      </c>
      <c r="C92" s="36" t="s">
        <v>42</v>
      </c>
      <c r="D92" s="56"/>
    </row>
    <row r="93" spans="1:4" s="15" customFormat="1" ht="13.5" thickBot="1" x14ac:dyDescent="0.35">
      <c r="A93" s="52"/>
      <c r="B93" s="38">
        <f>B92/$B$156</f>
        <v>1.0502645215091283E-2</v>
      </c>
      <c r="C93" s="39" t="s">
        <v>247</v>
      </c>
      <c r="D93" s="57"/>
    </row>
    <row r="94" spans="1:4" s="15" customFormat="1" ht="13.5" thickBot="1" x14ac:dyDescent="0.35">
      <c r="A94" s="8"/>
      <c r="B94" s="11"/>
    </row>
    <row r="95" spans="1:4" x14ac:dyDescent="0.25">
      <c r="A95" s="94" t="s">
        <v>34</v>
      </c>
      <c r="B95" s="41">
        <v>102619</v>
      </c>
      <c r="C95" s="95" t="s">
        <v>186</v>
      </c>
      <c r="D95" s="54" t="s">
        <v>17</v>
      </c>
    </row>
    <row r="96" spans="1:4" x14ac:dyDescent="0.25">
      <c r="A96" s="96" t="s">
        <v>34</v>
      </c>
      <c r="B96" s="42">
        <v>499999</v>
      </c>
      <c r="C96" s="97" t="s">
        <v>187</v>
      </c>
      <c r="D96" s="46" t="s">
        <v>41</v>
      </c>
    </row>
    <row r="97" spans="1:4" x14ac:dyDescent="0.25">
      <c r="A97" s="96" t="s">
        <v>34</v>
      </c>
      <c r="B97" s="42">
        <v>121712</v>
      </c>
      <c r="C97" s="97" t="s">
        <v>190</v>
      </c>
      <c r="D97" s="46" t="s">
        <v>38</v>
      </c>
    </row>
    <row r="98" spans="1:4" x14ac:dyDescent="0.25">
      <c r="A98" s="96" t="s">
        <v>34</v>
      </c>
      <c r="B98" s="42">
        <v>99143</v>
      </c>
      <c r="C98" s="97" t="s">
        <v>189</v>
      </c>
      <c r="D98" s="46" t="s">
        <v>38</v>
      </c>
    </row>
    <row r="99" spans="1:4" x14ac:dyDescent="0.25">
      <c r="A99" s="96" t="s">
        <v>34</v>
      </c>
      <c r="B99" s="42">
        <v>154159</v>
      </c>
      <c r="C99" s="97" t="s">
        <v>188</v>
      </c>
      <c r="D99" s="46" t="s">
        <v>38</v>
      </c>
    </row>
    <row r="100" spans="1:4" x14ac:dyDescent="0.25">
      <c r="A100" s="96" t="s">
        <v>34</v>
      </c>
      <c r="B100" s="42">
        <v>152869</v>
      </c>
      <c r="C100" s="97" t="s">
        <v>188</v>
      </c>
      <c r="D100" s="46" t="s">
        <v>38</v>
      </c>
    </row>
    <row r="101" spans="1:4" x14ac:dyDescent="0.25">
      <c r="A101" s="96" t="s">
        <v>34</v>
      </c>
      <c r="B101" s="42">
        <v>57473</v>
      </c>
      <c r="C101" s="97" t="s">
        <v>188</v>
      </c>
      <c r="D101" s="46" t="s">
        <v>38</v>
      </c>
    </row>
    <row r="102" spans="1:4" x14ac:dyDescent="0.25">
      <c r="A102" s="96" t="s">
        <v>34</v>
      </c>
      <c r="B102" s="42">
        <v>300000</v>
      </c>
      <c r="C102" s="97" t="s">
        <v>191</v>
      </c>
      <c r="D102" s="46" t="s">
        <v>38</v>
      </c>
    </row>
    <row r="103" spans="1:4" x14ac:dyDescent="0.25">
      <c r="A103" s="96" t="s">
        <v>34</v>
      </c>
      <c r="B103" s="42">
        <v>99277</v>
      </c>
      <c r="C103" s="97" t="s">
        <v>191</v>
      </c>
      <c r="D103" s="46" t="s">
        <v>38</v>
      </c>
    </row>
    <row r="104" spans="1:4" x14ac:dyDescent="0.25">
      <c r="A104" s="96" t="s">
        <v>34</v>
      </c>
      <c r="B104" s="42">
        <v>99133</v>
      </c>
      <c r="C104" s="97" t="s">
        <v>191</v>
      </c>
      <c r="D104" s="46" t="s">
        <v>38</v>
      </c>
    </row>
    <row r="105" spans="1:4" x14ac:dyDescent="0.25">
      <c r="A105" s="96" t="s">
        <v>34</v>
      </c>
      <c r="B105" s="42">
        <v>101102</v>
      </c>
      <c r="C105" s="97" t="s">
        <v>191</v>
      </c>
      <c r="D105" s="46" t="s">
        <v>38</v>
      </c>
    </row>
    <row r="106" spans="1:4" x14ac:dyDescent="0.25">
      <c r="A106" s="96" t="s">
        <v>34</v>
      </c>
      <c r="B106" s="42">
        <v>100000</v>
      </c>
      <c r="C106" s="97" t="s">
        <v>191</v>
      </c>
      <c r="D106" s="46" t="s">
        <v>38</v>
      </c>
    </row>
    <row r="107" spans="1:4" x14ac:dyDescent="0.25">
      <c r="A107" s="96" t="s">
        <v>34</v>
      </c>
      <c r="B107" s="42">
        <v>100000</v>
      </c>
      <c r="C107" s="97" t="s">
        <v>191</v>
      </c>
      <c r="D107" s="46" t="s">
        <v>38</v>
      </c>
    </row>
    <row r="108" spans="1:4" x14ac:dyDescent="0.25">
      <c r="A108" s="96" t="s">
        <v>34</v>
      </c>
      <c r="B108" s="42">
        <v>99802</v>
      </c>
      <c r="C108" s="97" t="s">
        <v>191</v>
      </c>
      <c r="D108" s="46" t="s">
        <v>38</v>
      </c>
    </row>
    <row r="109" spans="1:4" x14ac:dyDescent="0.25">
      <c r="A109" s="96" t="s">
        <v>34</v>
      </c>
      <c r="B109" s="42">
        <v>136705</v>
      </c>
      <c r="C109" s="97" t="s">
        <v>192</v>
      </c>
      <c r="D109" s="46" t="s">
        <v>39</v>
      </c>
    </row>
    <row r="110" spans="1:4" x14ac:dyDescent="0.25">
      <c r="A110" s="96" t="s">
        <v>34</v>
      </c>
      <c r="B110" s="99">
        <v>123318</v>
      </c>
      <c r="C110" s="97" t="s">
        <v>192</v>
      </c>
      <c r="D110" s="46" t="s">
        <v>39</v>
      </c>
    </row>
    <row r="111" spans="1:4" x14ac:dyDescent="0.25">
      <c r="A111" s="96" t="s">
        <v>34</v>
      </c>
      <c r="B111" s="99">
        <v>15398</v>
      </c>
      <c r="C111" s="97" t="s">
        <v>192</v>
      </c>
      <c r="D111" s="46" t="s">
        <v>39</v>
      </c>
    </row>
    <row r="112" spans="1:4" x14ac:dyDescent="0.25">
      <c r="A112" s="96" t="s">
        <v>34</v>
      </c>
      <c r="B112" s="42">
        <v>30071</v>
      </c>
      <c r="C112" s="97" t="s">
        <v>192</v>
      </c>
      <c r="D112" s="46" t="s">
        <v>39</v>
      </c>
    </row>
    <row r="113" spans="1:4" x14ac:dyDescent="0.25">
      <c r="A113" s="96" t="s">
        <v>34</v>
      </c>
      <c r="B113" s="42">
        <v>22443</v>
      </c>
      <c r="C113" s="97" t="s">
        <v>192</v>
      </c>
      <c r="D113" s="46" t="s">
        <v>39</v>
      </c>
    </row>
    <row r="114" spans="1:4" x14ac:dyDescent="0.25">
      <c r="A114" s="96" t="s">
        <v>34</v>
      </c>
      <c r="B114" s="42">
        <v>55904</v>
      </c>
      <c r="C114" s="97" t="s">
        <v>192</v>
      </c>
      <c r="D114" s="46" t="s">
        <v>39</v>
      </c>
    </row>
    <row r="115" spans="1:4" x14ac:dyDescent="0.25">
      <c r="A115" s="96" t="s">
        <v>34</v>
      </c>
      <c r="B115" s="42">
        <v>49000</v>
      </c>
      <c r="C115" s="97" t="s">
        <v>193</v>
      </c>
      <c r="D115" s="46" t="s">
        <v>38</v>
      </c>
    </row>
    <row r="116" spans="1:4" x14ac:dyDescent="0.25">
      <c r="A116" s="96" t="s">
        <v>34</v>
      </c>
      <c r="B116" s="42">
        <v>100000</v>
      </c>
      <c r="C116" s="97" t="s">
        <v>194</v>
      </c>
      <c r="D116" s="46" t="s">
        <v>38</v>
      </c>
    </row>
    <row r="117" spans="1:4" x14ac:dyDescent="0.25">
      <c r="A117" s="96" t="s">
        <v>34</v>
      </c>
      <c r="B117" s="42">
        <v>178052</v>
      </c>
      <c r="C117" s="97" t="s">
        <v>194</v>
      </c>
      <c r="D117" s="46" t="s">
        <v>38</v>
      </c>
    </row>
    <row r="118" spans="1:4" x14ac:dyDescent="0.25">
      <c r="A118" s="96" t="s">
        <v>34</v>
      </c>
      <c r="B118" s="42">
        <v>104592</v>
      </c>
      <c r="C118" s="97" t="s">
        <v>194</v>
      </c>
      <c r="D118" s="46" t="s">
        <v>38</v>
      </c>
    </row>
    <row r="119" spans="1:4" x14ac:dyDescent="0.25">
      <c r="A119" s="96" t="s">
        <v>34</v>
      </c>
      <c r="B119" s="42">
        <v>196200</v>
      </c>
      <c r="C119" s="97" t="s">
        <v>194</v>
      </c>
      <c r="D119" s="46" t="s">
        <v>38</v>
      </c>
    </row>
    <row r="120" spans="1:4" x14ac:dyDescent="0.25">
      <c r="A120" s="96" t="s">
        <v>34</v>
      </c>
      <c r="B120" s="42">
        <v>172306</v>
      </c>
      <c r="C120" s="97" t="s">
        <v>21</v>
      </c>
      <c r="D120" s="46" t="s">
        <v>38</v>
      </c>
    </row>
    <row r="121" spans="1:4" x14ac:dyDescent="0.25">
      <c r="A121" s="96" t="s">
        <v>34</v>
      </c>
      <c r="B121" s="42">
        <v>132000</v>
      </c>
      <c r="C121" s="97" t="s">
        <v>195</v>
      </c>
      <c r="D121" s="46" t="s">
        <v>39</v>
      </c>
    </row>
    <row r="122" spans="1:4" x14ac:dyDescent="0.25">
      <c r="A122" s="96" t="s">
        <v>34</v>
      </c>
      <c r="B122" s="42">
        <v>100000</v>
      </c>
      <c r="C122" s="97" t="s">
        <v>195</v>
      </c>
      <c r="D122" s="46" t="s">
        <v>39</v>
      </c>
    </row>
    <row r="123" spans="1:4" x14ac:dyDescent="0.25">
      <c r="A123" s="96" t="s">
        <v>34</v>
      </c>
      <c r="B123" s="42">
        <v>455253</v>
      </c>
      <c r="C123" s="97" t="s">
        <v>188</v>
      </c>
      <c r="D123" s="46" t="s">
        <v>38</v>
      </c>
    </row>
    <row r="124" spans="1:4" x14ac:dyDescent="0.25">
      <c r="A124" s="96" t="s">
        <v>34</v>
      </c>
      <c r="B124" s="42">
        <v>405482</v>
      </c>
      <c r="C124" s="97" t="s">
        <v>188</v>
      </c>
      <c r="D124" s="46" t="s">
        <v>38</v>
      </c>
    </row>
    <row r="125" spans="1:4" x14ac:dyDescent="0.25">
      <c r="A125" s="96" t="s">
        <v>34</v>
      </c>
      <c r="B125" s="42">
        <v>441497</v>
      </c>
      <c r="C125" s="97" t="s">
        <v>188</v>
      </c>
      <c r="D125" s="46" t="s">
        <v>38</v>
      </c>
    </row>
    <row r="126" spans="1:4" x14ac:dyDescent="0.25">
      <c r="A126" s="96" t="s">
        <v>34</v>
      </c>
      <c r="B126" s="42">
        <v>382311</v>
      </c>
      <c r="C126" s="97" t="s">
        <v>189</v>
      </c>
      <c r="D126" s="46" t="s">
        <v>38</v>
      </c>
    </row>
    <row r="127" spans="1:4" x14ac:dyDescent="0.25">
      <c r="A127" s="96" t="s">
        <v>34</v>
      </c>
      <c r="B127" s="42">
        <v>515987</v>
      </c>
      <c r="C127" s="97" t="s">
        <v>190</v>
      </c>
      <c r="D127" s="46" t="s">
        <v>38</v>
      </c>
    </row>
    <row r="128" spans="1:4" x14ac:dyDescent="0.25">
      <c r="A128" s="96" t="s">
        <v>34</v>
      </c>
      <c r="B128" s="42">
        <v>356367</v>
      </c>
      <c r="C128" s="97" t="s">
        <v>191</v>
      </c>
      <c r="D128" s="46" t="s">
        <v>38</v>
      </c>
    </row>
    <row r="129" spans="1:4" x14ac:dyDescent="0.25">
      <c r="A129" s="96" t="s">
        <v>34</v>
      </c>
      <c r="B129" s="42">
        <v>652055</v>
      </c>
      <c r="C129" s="97" t="s">
        <v>191</v>
      </c>
      <c r="D129" s="46" t="s">
        <v>38</v>
      </c>
    </row>
    <row r="130" spans="1:4" x14ac:dyDescent="0.25">
      <c r="A130" s="96" t="s">
        <v>34</v>
      </c>
      <c r="B130" s="42">
        <v>160000</v>
      </c>
      <c r="C130" s="97" t="s">
        <v>191</v>
      </c>
      <c r="D130" s="46" t="s">
        <v>38</v>
      </c>
    </row>
    <row r="131" spans="1:4" x14ac:dyDescent="0.25">
      <c r="A131" s="96" t="s">
        <v>34</v>
      </c>
      <c r="B131" s="42">
        <v>562206</v>
      </c>
      <c r="C131" s="97" t="s">
        <v>191</v>
      </c>
      <c r="D131" s="46" t="s">
        <v>38</v>
      </c>
    </row>
    <row r="132" spans="1:4" x14ac:dyDescent="0.25">
      <c r="A132" s="96" t="s">
        <v>34</v>
      </c>
      <c r="B132" s="42">
        <v>1357285</v>
      </c>
      <c r="C132" s="97" t="s">
        <v>191</v>
      </c>
      <c r="D132" s="46" t="s">
        <v>38</v>
      </c>
    </row>
    <row r="133" spans="1:4" x14ac:dyDescent="0.25">
      <c r="A133" s="96" t="s">
        <v>34</v>
      </c>
      <c r="B133" s="42">
        <v>306020</v>
      </c>
      <c r="C133" s="97" t="s">
        <v>191</v>
      </c>
      <c r="D133" s="46" t="s">
        <v>38</v>
      </c>
    </row>
    <row r="134" spans="1:4" x14ac:dyDescent="0.25">
      <c r="A134" s="96" t="s">
        <v>34</v>
      </c>
      <c r="B134" s="42">
        <v>306836</v>
      </c>
      <c r="C134" s="97" t="s">
        <v>191</v>
      </c>
      <c r="D134" s="46" t="s">
        <v>38</v>
      </c>
    </row>
    <row r="135" spans="1:4" x14ac:dyDescent="0.25">
      <c r="A135" s="96" t="s">
        <v>34</v>
      </c>
      <c r="B135" s="42">
        <v>122674</v>
      </c>
      <c r="C135" s="97" t="s">
        <v>191</v>
      </c>
      <c r="D135" s="46" t="s">
        <v>38</v>
      </c>
    </row>
    <row r="136" spans="1:4" x14ac:dyDescent="0.25">
      <c r="A136" s="96" t="s">
        <v>34</v>
      </c>
      <c r="B136" s="99">
        <v>473920</v>
      </c>
      <c r="C136" s="97" t="s">
        <v>192</v>
      </c>
      <c r="D136" s="46" t="s">
        <v>39</v>
      </c>
    </row>
    <row r="137" spans="1:4" x14ac:dyDescent="0.25">
      <c r="A137" s="96" t="s">
        <v>34</v>
      </c>
      <c r="B137" s="42">
        <v>227986</v>
      </c>
      <c r="C137" s="97" t="s">
        <v>192</v>
      </c>
      <c r="D137" s="46" t="s">
        <v>39</v>
      </c>
    </row>
    <row r="138" spans="1:4" x14ac:dyDescent="0.25">
      <c r="A138" s="96" t="s">
        <v>34</v>
      </c>
      <c r="B138" s="42">
        <v>457372</v>
      </c>
      <c r="C138" s="97" t="s">
        <v>21</v>
      </c>
      <c r="D138" s="46" t="s">
        <v>38</v>
      </c>
    </row>
    <row r="139" spans="1:4" x14ac:dyDescent="0.25">
      <c r="A139" s="96" t="s">
        <v>34</v>
      </c>
      <c r="B139" s="42">
        <v>501487</v>
      </c>
      <c r="C139" s="97" t="s">
        <v>195</v>
      </c>
      <c r="D139" s="46" t="s">
        <v>39</v>
      </c>
    </row>
    <row r="140" spans="1:4" x14ac:dyDescent="0.25">
      <c r="A140" s="60"/>
      <c r="B140" s="42" t="s">
        <v>43</v>
      </c>
      <c r="C140" s="32"/>
      <c r="D140" s="46"/>
    </row>
    <row r="141" spans="1:4" s="15" customFormat="1" ht="13" x14ac:dyDescent="0.3">
      <c r="A141" s="34" t="s">
        <v>34</v>
      </c>
      <c r="B141" s="35">
        <f>SUM(B95:B140)</f>
        <v>11188015</v>
      </c>
      <c r="C141" s="36" t="s">
        <v>42</v>
      </c>
      <c r="D141" s="56"/>
    </row>
    <row r="142" spans="1:4" s="15" customFormat="1" ht="13.5" thickBot="1" x14ac:dyDescent="0.35">
      <c r="A142" s="37"/>
      <c r="B142" s="38">
        <f>B141/$B$156</f>
        <v>0.85041037110086271</v>
      </c>
      <c r="C142" s="39" t="s">
        <v>247</v>
      </c>
      <c r="D142" s="57"/>
    </row>
    <row r="143" spans="1:4" s="15" customFormat="1" ht="13.5" thickBot="1" x14ac:dyDescent="0.35">
      <c r="A143" s="16"/>
      <c r="B143" s="17"/>
    </row>
    <row r="144" spans="1:4" x14ac:dyDescent="0.25">
      <c r="A144" s="26" t="s">
        <v>29</v>
      </c>
      <c r="B144" s="58">
        <v>98030</v>
      </c>
      <c r="C144" s="28" t="s">
        <v>17</v>
      </c>
      <c r="D144" s="54" t="s">
        <v>17</v>
      </c>
    </row>
    <row r="145" spans="1:4" x14ac:dyDescent="0.25">
      <c r="A145" s="55"/>
      <c r="B145" s="42" t="s">
        <v>43</v>
      </c>
      <c r="C145" s="32"/>
      <c r="D145" s="46"/>
    </row>
    <row r="146" spans="1:4" s="15" customFormat="1" ht="13" x14ac:dyDescent="0.3">
      <c r="A146" s="51" t="s">
        <v>29</v>
      </c>
      <c r="B146" s="35">
        <f>SUM(B144:B145)</f>
        <v>98030</v>
      </c>
      <c r="C146" s="36" t="s">
        <v>42</v>
      </c>
      <c r="D146" s="56"/>
    </row>
    <row r="147" spans="1:4" s="15" customFormat="1" ht="13.5" thickBot="1" x14ac:dyDescent="0.35">
      <c r="A147" s="52"/>
      <c r="B147" s="38">
        <f>B146/$B$156</f>
        <v>7.4513422335434447E-3</v>
      </c>
      <c r="C147" s="39" t="s">
        <v>247</v>
      </c>
      <c r="D147" s="57"/>
    </row>
    <row r="148" spans="1:4" s="15" customFormat="1" ht="13.5" thickBot="1" x14ac:dyDescent="0.35">
      <c r="A148" s="8"/>
      <c r="B148" s="11"/>
    </row>
    <row r="149" spans="1:4" x14ac:dyDescent="0.25">
      <c r="A149" s="26" t="s">
        <v>18</v>
      </c>
      <c r="B149" s="58">
        <v>261739</v>
      </c>
      <c r="C149" s="28" t="s">
        <v>25</v>
      </c>
      <c r="D149" s="54" t="s">
        <v>38</v>
      </c>
    </row>
    <row r="150" spans="1:4" x14ac:dyDescent="0.25">
      <c r="A150" s="30" t="s">
        <v>18</v>
      </c>
      <c r="B150" s="31">
        <v>243832</v>
      </c>
      <c r="C150" s="32" t="s">
        <v>21</v>
      </c>
      <c r="D150" s="46" t="s">
        <v>38</v>
      </c>
    </row>
    <row r="151" spans="1:4" x14ac:dyDescent="0.25">
      <c r="A151" s="55"/>
      <c r="B151" s="42" t="s">
        <v>43</v>
      </c>
      <c r="C151" s="32"/>
      <c r="D151" s="46"/>
    </row>
    <row r="152" spans="1:4" s="15" customFormat="1" ht="13" x14ac:dyDescent="0.3">
      <c r="A152" s="51" t="s">
        <v>18</v>
      </c>
      <c r="B152" s="35">
        <f>SUM(B149:B151)</f>
        <v>505571</v>
      </c>
      <c r="C152" s="36" t="s">
        <v>42</v>
      </c>
      <c r="D152" s="56"/>
    </row>
    <row r="153" spans="1:4" ht="13.5" thickBot="1" x14ac:dyDescent="0.35">
      <c r="A153" s="52"/>
      <c r="B153" s="38">
        <f>B152/$B$156</f>
        <v>3.8428874266599952E-2</v>
      </c>
      <c r="C153" s="39" t="s">
        <v>247</v>
      </c>
      <c r="D153" s="45"/>
    </row>
    <row r="154" spans="1:4" x14ac:dyDescent="0.25">
      <c r="A154" s="7"/>
      <c r="B154" s="7"/>
    </row>
    <row r="155" spans="1:4" ht="13.5" thickBot="1" x14ac:dyDescent="0.35">
      <c r="A155" s="7"/>
      <c r="B155" s="13"/>
    </row>
    <row r="156" spans="1:4" ht="13.5" thickBot="1" x14ac:dyDescent="0.35">
      <c r="A156" s="47" t="s">
        <v>46</v>
      </c>
      <c r="B156" s="62">
        <f>B52+B59+B67+B72+B78+B86+B92+B141+B146+B152</f>
        <v>13156019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tabSelected="1" workbookViewId="0">
      <selection activeCell="B121" sqref="B121"/>
    </sheetView>
  </sheetViews>
  <sheetFormatPr defaultRowHeight="12.5" x14ac:dyDescent="0.25"/>
  <cols>
    <col min="1" max="1" width="25.81640625" bestFit="1" customWidth="1"/>
    <col min="2" max="2" width="14.1796875" customWidth="1"/>
    <col min="3" max="3" width="16.7265625" bestFit="1" customWidth="1"/>
    <col min="4" max="4" width="13.81640625" bestFit="1" customWidth="1"/>
    <col min="7" max="7" width="9.7265625" bestFit="1" customWidth="1"/>
    <col min="8" max="8" width="15.54296875" customWidth="1"/>
  </cols>
  <sheetData>
    <row r="1" spans="1:2" ht="18" x14ac:dyDescent="0.4">
      <c r="A1" s="25" t="s">
        <v>50</v>
      </c>
    </row>
    <row r="2" spans="1:2" ht="13" thickBot="1" x14ac:dyDescent="0.3"/>
    <row r="3" spans="1:2" ht="15.5" x14ac:dyDescent="0.35">
      <c r="A3" s="19" t="s">
        <v>17</v>
      </c>
      <c r="B3" s="20">
        <f>B41</f>
        <v>4.6245676598673201E-2</v>
      </c>
    </row>
    <row r="4" spans="1:2" ht="15.5" x14ac:dyDescent="0.35">
      <c r="A4" s="21" t="s">
        <v>48</v>
      </c>
      <c r="B4" s="22">
        <f>B46</f>
        <v>3.8005341889518401E-2</v>
      </c>
    </row>
    <row r="5" spans="1:2" ht="15.5" x14ac:dyDescent="0.35">
      <c r="A5" s="21" t="s">
        <v>39</v>
      </c>
      <c r="B5" s="22">
        <f>B62</f>
        <v>0.13828134483539437</v>
      </c>
    </row>
    <row r="6" spans="1:2" ht="15.5" x14ac:dyDescent="0.35">
      <c r="A6" s="21" t="s">
        <v>38</v>
      </c>
      <c r="B6" s="22">
        <f>B113</f>
        <v>0.77746763667641405</v>
      </c>
    </row>
    <row r="7" spans="1:2" ht="16" thickBot="1" x14ac:dyDescent="0.4">
      <c r="A7" s="23" t="s">
        <v>40</v>
      </c>
      <c r="B7" s="24">
        <f>B118</f>
        <v>0</v>
      </c>
    </row>
    <row r="30" spans="1:4" ht="13" thickBot="1" x14ac:dyDescent="0.3"/>
    <row r="31" spans="1:4" ht="14.5" thickBot="1" x14ac:dyDescent="0.35">
      <c r="A31" s="79" t="s">
        <v>37</v>
      </c>
      <c r="B31" s="80" t="s">
        <v>35</v>
      </c>
      <c r="C31" s="80" t="s">
        <v>3</v>
      </c>
      <c r="D31" s="81" t="s">
        <v>0</v>
      </c>
    </row>
    <row r="32" spans="1:4" x14ac:dyDescent="0.25">
      <c r="A32" s="26" t="s">
        <v>17</v>
      </c>
      <c r="B32" s="42">
        <v>99682</v>
      </c>
      <c r="C32" s="97" t="s">
        <v>17</v>
      </c>
      <c r="D32" s="100" t="s">
        <v>27</v>
      </c>
    </row>
    <row r="33" spans="1:4" x14ac:dyDescent="0.25">
      <c r="A33" s="30" t="s">
        <v>17</v>
      </c>
      <c r="B33" s="42">
        <v>68078</v>
      </c>
      <c r="C33" s="97" t="s">
        <v>17</v>
      </c>
      <c r="D33" s="100" t="s">
        <v>27</v>
      </c>
    </row>
    <row r="34" spans="1:4" x14ac:dyDescent="0.25">
      <c r="A34" s="30" t="s">
        <v>17</v>
      </c>
      <c r="B34" s="42">
        <v>100000</v>
      </c>
      <c r="C34" s="97" t="s">
        <v>17</v>
      </c>
      <c r="D34" s="100" t="s">
        <v>213</v>
      </c>
    </row>
    <row r="35" spans="1:4" x14ac:dyDescent="0.25">
      <c r="A35" s="30" t="s">
        <v>17</v>
      </c>
      <c r="B35" s="31">
        <v>70000</v>
      </c>
      <c r="C35" s="32" t="s">
        <v>17</v>
      </c>
      <c r="D35" s="46" t="s">
        <v>16</v>
      </c>
    </row>
    <row r="36" spans="1:4" x14ac:dyDescent="0.25">
      <c r="A36" s="30" t="s">
        <v>17</v>
      </c>
      <c r="B36" s="31">
        <v>70000</v>
      </c>
      <c r="C36" s="32" t="s">
        <v>60</v>
      </c>
      <c r="D36" s="46" t="s">
        <v>16</v>
      </c>
    </row>
    <row r="37" spans="1:4" x14ac:dyDescent="0.25">
      <c r="A37" s="30" t="s">
        <v>17</v>
      </c>
      <c r="B37" s="42">
        <v>102619</v>
      </c>
      <c r="C37" s="97" t="s">
        <v>186</v>
      </c>
      <c r="D37" s="100" t="s">
        <v>34</v>
      </c>
    </row>
    <row r="38" spans="1:4" x14ac:dyDescent="0.25">
      <c r="A38" s="30" t="s">
        <v>17</v>
      </c>
      <c r="B38" s="31">
        <v>98030</v>
      </c>
      <c r="C38" s="32" t="s">
        <v>17</v>
      </c>
      <c r="D38" s="46" t="s">
        <v>29</v>
      </c>
    </row>
    <row r="39" spans="1:4" x14ac:dyDescent="0.25">
      <c r="A39" s="30"/>
      <c r="B39" s="31" t="s">
        <v>47</v>
      </c>
      <c r="C39" s="32"/>
      <c r="D39" s="33"/>
    </row>
    <row r="40" spans="1:4" ht="13" x14ac:dyDescent="0.3">
      <c r="A40" s="34" t="str">
        <f>A34</f>
        <v>Charlotte</v>
      </c>
      <c r="B40" s="35">
        <f>SUM(B32:B39)</f>
        <v>608409</v>
      </c>
      <c r="C40" s="36" t="s">
        <v>42</v>
      </c>
      <c r="D40" s="33"/>
    </row>
    <row r="41" spans="1:4" ht="13.5" thickBot="1" x14ac:dyDescent="0.35">
      <c r="A41" s="37"/>
      <c r="B41" s="38">
        <f>B40/$B$121</f>
        <v>4.6245676598673201E-2</v>
      </c>
      <c r="C41" s="39" t="s">
        <v>44</v>
      </c>
      <c r="D41" s="40"/>
    </row>
    <row r="42" spans="1:4" ht="13.5" thickBot="1" x14ac:dyDescent="0.35">
      <c r="A42" s="16"/>
      <c r="B42" s="18"/>
      <c r="C42" s="15"/>
      <c r="D42" s="7"/>
    </row>
    <row r="43" spans="1:4" x14ac:dyDescent="0.25">
      <c r="A43" s="26" t="s">
        <v>41</v>
      </c>
      <c r="B43" s="41">
        <v>499999</v>
      </c>
      <c r="C43" s="95" t="s">
        <v>187</v>
      </c>
      <c r="D43" s="101" t="s">
        <v>34</v>
      </c>
    </row>
    <row r="44" spans="1:4" x14ac:dyDescent="0.25">
      <c r="A44" s="30"/>
      <c r="B44" s="31" t="s">
        <v>47</v>
      </c>
      <c r="C44" s="32"/>
      <c r="D44" s="33"/>
    </row>
    <row r="45" spans="1:4" ht="13" x14ac:dyDescent="0.3">
      <c r="A45" s="34" t="s">
        <v>41</v>
      </c>
      <c r="B45" s="35">
        <f>SUM(B43:B44)</f>
        <v>499999</v>
      </c>
      <c r="C45" s="36" t="s">
        <v>42</v>
      </c>
      <c r="D45" s="33"/>
    </row>
    <row r="46" spans="1:4" ht="13.5" thickBot="1" x14ac:dyDescent="0.35">
      <c r="A46" s="37"/>
      <c r="B46" s="38">
        <f>B45/$B$121</f>
        <v>3.8005341889518401E-2</v>
      </c>
      <c r="C46" s="39" t="s">
        <v>44</v>
      </c>
      <c r="D46" s="40"/>
    </row>
    <row r="47" spans="1:4" x14ac:dyDescent="0.25">
      <c r="B47" s="9"/>
      <c r="D47" s="7"/>
    </row>
    <row r="48" spans="1:4" ht="13" thickBot="1" x14ac:dyDescent="0.3"/>
    <row r="49" spans="1:9" x14ac:dyDescent="0.25">
      <c r="A49" s="26" t="s">
        <v>39</v>
      </c>
      <c r="B49" s="41">
        <v>136705</v>
      </c>
      <c r="C49" s="95" t="s">
        <v>192</v>
      </c>
      <c r="D49" s="101" t="s">
        <v>34</v>
      </c>
      <c r="F49" s="93"/>
    </row>
    <row r="50" spans="1:9" x14ac:dyDescent="0.25">
      <c r="A50" s="30" t="s">
        <v>39</v>
      </c>
      <c r="B50" s="99">
        <v>123318</v>
      </c>
      <c r="C50" s="97" t="s">
        <v>192</v>
      </c>
      <c r="D50" s="100" t="s">
        <v>34</v>
      </c>
      <c r="F50" s="93"/>
    </row>
    <row r="51" spans="1:9" x14ac:dyDescent="0.25">
      <c r="A51" s="30" t="s">
        <v>39</v>
      </c>
      <c r="B51" s="99">
        <v>15398</v>
      </c>
      <c r="C51" s="97" t="s">
        <v>192</v>
      </c>
      <c r="D51" s="100" t="s">
        <v>34</v>
      </c>
      <c r="F51" s="93"/>
    </row>
    <row r="52" spans="1:9" x14ac:dyDescent="0.25">
      <c r="A52" s="30" t="s">
        <v>39</v>
      </c>
      <c r="B52" s="42">
        <v>30071</v>
      </c>
      <c r="C52" s="97" t="s">
        <v>192</v>
      </c>
      <c r="D52" s="100" t="s">
        <v>34</v>
      </c>
      <c r="F52" s="93"/>
    </row>
    <row r="53" spans="1:9" x14ac:dyDescent="0.25">
      <c r="A53" s="30" t="s">
        <v>39</v>
      </c>
      <c r="B53" s="42">
        <v>22443</v>
      </c>
      <c r="C53" s="97" t="s">
        <v>192</v>
      </c>
      <c r="D53" s="100" t="s">
        <v>34</v>
      </c>
      <c r="F53" s="93"/>
    </row>
    <row r="54" spans="1:9" x14ac:dyDescent="0.25">
      <c r="A54" s="30" t="s">
        <v>39</v>
      </c>
      <c r="B54" s="42">
        <v>55904</v>
      </c>
      <c r="C54" s="97" t="s">
        <v>192</v>
      </c>
      <c r="D54" s="100" t="s">
        <v>34</v>
      </c>
      <c r="F54" s="93"/>
    </row>
    <row r="55" spans="1:9" x14ac:dyDescent="0.25">
      <c r="A55" s="30" t="s">
        <v>39</v>
      </c>
      <c r="B55" s="42">
        <v>132000</v>
      </c>
      <c r="C55" s="97" t="s">
        <v>195</v>
      </c>
      <c r="D55" s="100" t="s">
        <v>34</v>
      </c>
      <c r="F55" s="93"/>
    </row>
    <row r="56" spans="1:9" x14ac:dyDescent="0.25">
      <c r="A56" s="30" t="s">
        <v>39</v>
      </c>
      <c r="B56" s="42">
        <v>100000</v>
      </c>
      <c r="C56" s="97" t="s">
        <v>195</v>
      </c>
      <c r="D56" s="100" t="s">
        <v>34</v>
      </c>
      <c r="F56" s="93"/>
    </row>
    <row r="57" spans="1:9" x14ac:dyDescent="0.25">
      <c r="A57" s="30" t="s">
        <v>39</v>
      </c>
      <c r="B57" s="99">
        <v>473920</v>
      </c>
      <c r="C57" s="97" t="s">
        <v>192</v>
      </c>
      <c r="D57" s="100" t="s">
        <v>34</v>
      </c>
      <c r="I57" s="32"/>
    </row>
    <row r="58" spans="1:9" x14ac:dyDescent="0.25">
      <c r="A58" s="30" t="s">
        <v>39</v>
      </c>
      <c r="B58" s="42">
        <v>227986</v>
      </c>
      <c r="C58" s="97" t="s">
        <v>192</v>
      </c>
      <c r="D58" s="100" t="s">
        <v>34</v>
      </c>
      <c r="I58" s="32"/>
    </row>
    <row r="59" spans="1:9" x14ac:dyDescent="0.25">
      <c r="A59" s="30" t="s">
        <v>39</v>
      </c>
      <c r="B59" s="42">
        <v>501487</v>
      </c>
      <c r="C59" s="97" t="s">
        <v>195</v>
      </c>
      <c r="D59" s="100" t="s">
        <v>34</v>
      </c>
      <c r="I59" s="32"/>
    </row>
    <row r="60" spans="1:9" x14ac:dyDescent="0.25">
      <c r="A60" s="30"/>
      <c r="B60" s="31" t="s">
        <v>47</v>
      </c>
      <c r="C60" s="32"/>
      <c r="D60" s="43"/>
    </row>
    <row r="61" spans="1:9" ht="13" x14ac:dyDescent="0.3">
      <c r="A61" s="34" t="s">
        <v>39</v>
      </c>
      <c r="B61" s="35">
        <f>SUM(B49:B60)</f>
        <v>1819232</v>
      </c>
      <c r="C61" s="36" t="s">
        <v>42</v>
      </c>
      <c r="D61" s="43"/>
    </row>
    <row r="62" spans="1:9" ht="13.5" thickBot="1" x14ac:dyDescent="0.35">
      <c r="A62" s="37"/>
      <c r="B62" s="38">
        <f>B61/$B$121</f>
        <v>0.13828134483539437</v>
      </c>
      <c r="C62" s="39" t="s">
        <v>44</v>
      </c>
      <c r="D62" s="44"/>
    </row>
    <row r="63" spans="1:9" ht="13" thickBot="1" x14ac:dyDescent="0.3">
      <c r="B63" s="10"/>
      <c r="D63" s="4"/>
    </row>
    <row r="64" spans="1:9" x14ac:dyDescent="0.25">
      <c r="A64" s="26" t="s">
        <v>38</v>
      </c>
      <c r="B64" s="41">
        <v>99960</v>
      </c>
      <c r="C64" s="95" t="s">
        <v>219</v>
      </c>
      <c r="D64" s="101" t="s">
        <v>27</v>
      </c>
    </row>
    <row r="65" spans="1:4" x14ac:dyDescent="0.25">
      <c r="A65" s="30" t="s">
        <v>38</v>
      </c>
      <c r="B65" s="42">
        <v>100000</v>
      </c>
      <c r="C65" s="97" t="s">
        <v>14</v>
      </c>
      <c r="D65" s="100" t="s">
        <v>27</v>
      </c>
    </row>
    <row r="66" spans="1:4" x14ac:dyDescent="0.25">
      <c r="A66" s="30" t="s">
        <v>38</v>
      </c>
      <c r="B66" s="42">
        <v>69933</v>
      </c>
      <c r="C66" s="97" t="s">
        <v>194</v>
      </c>
      <c r="D66" s="100" t="s">
        <v>28</v>
      </c>
    </row>
    <row r="67" spans="1:4" x14ac:dyDescent="0.25">
      <c r="A67" s="30" t="s">
        <v>38</v>
      </c>
      <c r="B67" s="42">
        <v>69496</v>
      </c>
      <c r="C67" s="97" t="s">
        <v>194</v>
      </c>
      <c r="D67" s="100" t="s">
        <v>28</v>
      </c>
    </row>
    <row r="68" spans="1:4" x14ac:dyDescent="0.25">
      <c r="A68" s="30" t="s">
        <v>38</v>
      </c>
      <c r="B68" s="98">
        <v>69278</v>
      </c>
      <c r="C68" s="97" t="s">
        <v>21</v>
      </c>
      <c r="D68" s="100" t="s">
        <v>28</v>
      </c>
    </row>
    <row r="69" spans="1:4" x14ac:dyDescent="0.25">
      <c r="A69" s="30" t="s">
        <v>38</v>
      </c>
      <c r="B69" s="42">
        <v>64803</v>
      </c>
      <c r="C69" s="97" t="s">
        <v>54</v>
      </c>
      <c r="D69" s="100" t="s">
        <v>26</v>
      </c>
    </row>
    <row r="70" spans="1:4" x14ac:dyDescent="0.25">
      <c r="A70" s="30" t="s">
        <v>38</v>
      </c>
      <c r="B70" s="42">
        <v>70000</v>
      </c>
      <c r="C70" s="97" t="s">
        <v>194</v>
      </c>
      <c r="D70" s="100" t="s">
        <v>26</v>
      </c>
    </row>
    <row r="71" spans="1:4" x14ac:dyDescent="0.25">
      <c r="A71" s="30" t="s">
        <v>38</v>
      </c>
      <c r="B71" s="42">
        <v>65000</v>
      </c>
      <c r="C71" s="97" t="s">
        <v>194</v>
      </c>
      <c r="D71" s="100" t="s">
        <v>26</v>
      </c>
    </row>
    <row r="72" spans="1:4" x14ac:dyDescent="0.25">
      <c r="A72" s="30" t="s">
        <v>38</v>
      </c>
      <c r="B72" s="42">
        <v>70000</v>
      </c>
      <c r="C72" s="97" t="s">
        <v>194</v>
      </c>
      <c r="D72" s="100" t="s">
        <v>26</v>
      </c>
    </row>
    <row r="73" spans="1:4" x14ac:dyDescent="0.25">
      <c r="A73" s="30" t="s">
        <v>38</v>
      </c>
      <c r="B73" s="31">
        <v>70000</v>
      </c>
      <c r="C73" s="32" t="s">
        <v>54</v>
      </c>
      <c r="D73" s="46" t="s">
        <v>16</v>
      </c>
    </row>
    <row r="74" spans="1:4" x14ac:dyDescent="0.25">
      <c r="A74" s="30" t="s">
        <v>38</v>
      </c>
      <c r="B74" s="31">
        <v>70000</v>
      </c>
      <c r="C74" s="32" t="s">
        <v>194</v>
      </c>
      <c r="D74" s="46" t="s">
        <v>16</v>
      </c>
    </row>
    <row r="75" spans="1:4" x14ac:dyDescent="0.25">
      <c r="A75" s="30" t="s">
        <v>38</v>
      </c>
      <c r="B75" s="31">
        <v>68263</v>
      </c>
      <c r="C75" s="32" t="s">
        <v>54</v>
      </c>
      <c r="D75" s="46" t="s">
        <v>13</v>
      </c>
    </row>
    <row r="76" spans="1:4" x14ac:dyDescent="0.25">
      <c r="A76" s="30" t="s">
        <v>38</v>
      </c>
      <c r="B76" s="31">
        <v>69910</v>
      </c>
      <c r="C76" s="32" t="s">
        <v>54</v>
      </c>
      <c r="D76" s="46" t="s">
        <v>13</v>
      </c>
    </row>
    <row r="77" spans="1:4" x14ac:dyDescent="0.25">
      <c r="A77" s="30" t="s">
        <v>38</v>
      </c>
      <c r="B77" s="42">
        <v>121712</v>
      </c>
      <c r="C77" s="97" t="s">
        <v>190</v>
      </c>
      <c r="D77" s="100" t="s">
        <v>34</v>
      </c>
    </row>
    <row r="78" spans="1:4" x14ac:dyDescent="0.25">
      <c r="A78" s="30" t="s">
        <v>38</v>
      </c>
      <c r="B78" s="42">
        <v>99143</v>
      </c>
      <c r="C78" s="97" t="s">
        <v>189</v>
      </c>
      <c r="D78" s="100" t="s">
        <v>34</v>
      </c>
    </row>
    <row r="79" spans="1:4" x14ac:dyDescent="0.25">
      <c r="A79" s="30" t="s">
        <v>38</v>
      </c>
      <c r="B79" s="42">
        <v>154159</v>
      </c>
      <c r="C79" s="97" t="s">
        <v>188</v>
      </c>
      <c r="D79" s="100" t="s">
        <v>34</v>
      </c>
    </row>
    <row r="80" spans="1:4" x14ac:dyDescent="0.25">
      <c r="A80" s="30" t="s">
        <v>38</v>
      </c>
      <c r="B80" s="42">
        <v>152869</v>
      </c>
      <c r="C80" s="97" t="s">
        <v>188</v>
      </c>
      <c r="D80" s="100" t="s">
        <v>34</v>
      </c>
    </row>
    <row r="81" spans="1:9" x14ac:dyDescent="0.25">
      <c r="A81" s="30" t="s">
        <v>38</v>
      </c>
      <c r="B81" s="42">
        <v>57473</v>
      </c>
      <c r="C81" s="97" t="s">
        <v>188</v>
      </c>
      <c r="D81" s="100" t="s">
        <v>34</v>
      </c>
    </row>
    <row r="82" spans="1:9" x14ac:dyDescent="0.25">
      <c r="A82" s="30" t="s">
        <v>38</v>
      </c>
      <c r="B82" s="42">
        <v>300000</v>
      </c>
      <c r="C82" s="97" t="s">
        <v>191</v>
      </c>
      <c r="D82" s="100" t="s">
        <v>34</v>
      </c>
    </row>
    <row r="83" spans="1:9" x14ac:dyDescent="0.25">
      <c r="A83" s="30" t="s">
        <v>38</v>
      </c>
      <c r="B83" s="42">
        <v>99277</v>
      </c>
      <c r="C83" s="97" t="s">
        <v>191</v>
      </c>
      <c r="D83" s="100" t="s">
        <v>34</v>
      </c>
    </row>
    <row r="84" spans="1:9" x14ac:dyDescent="0.25">
      <c r="A84" s="30" t="s">
        <v>38</v>
      </c>
      <c r="B84" s="42">
        <v>99133</v>
      </c>
      <c r="C84" s="97" t="s">
        <v>191</v>
      </c>
      <c r="D84" s="100" t="s">
        <v>34</v>
      </c>
    </row>
    <row r="85" spans="1:9" x14ac:dyDescent="0.25">
      <c r="A85" s="30" t="s">
        <v>38</v>
      </c>
      <c r="B85" s="42">
        <v>101102</v>
      </c>
      <c r="C85" s="97" t="s">
        <v>191</v>
      </c>
      <c r="D85" s="100" t="s">
        <v>34</v>
      </c>
    </row>
    <row r="86" spans="1:9" x14ac:dyDescent="0.25">
      <c r="A86" s="30" t="s">
        <v>38</v>
      </c>
      <c r="B86" s="42">
        <v>100000</v>
      </c>
      <c r="C86" s="97" t="s">
        <v>191</v>
      </c>
      <c r="D86" s="100" t="s">
        <v>34</v>
      </c>
    </row>
    <row r="87" spans="1:9" x14ac:dyDescent="0.25">
      <c r="A87" s="30" t="s">
        <v>38</v>
      </c>
      <c r="B87" s="42">
        <v>100000</v>
      </c>
      <c r="C87" s="97" t="s">
        <v>191</v>
      </c>
      <c r="D87" s="100" t="s">
        <v>34</v>
      </c>
    </row>
    <row r="88" spans="1:9" x14ac:dyDescent="0.25">
      <c r="A88" s="30" t="s">
        <v>38</v>
      </c>
      <c r="B88" s="42">
        <v>99802</v>
      </c>
      <c r="C88" s="97" t="s">
        <v>191</v>
      </c>
      <c r="D88" s="100" t="s">
        <v>34</v>
      </c>
    </row>
    <row r="89" spans="1:9" x14ac:dyDescent="0.25">
      <c r="A89" s="30" t="s">
        <v>38</v>
      </c>
      <c r="B89" s="42">
        <v>49000</v>
      </c>
      <c r="C89" s="97" t="s">
        <v>193</v>
      </c>
      <c r="D89" s="100" t="s">
        <v>34</v>
      </c>
    </row>
    <row r="90" spans="1:9" x14ac:dyDescent="0.25">
      <c r="A90" s="30" t="s">
        <v>38</v>
      </c>
      <c r="B90" s="42">
        <v>100000</v>
      </c>
      <c r="C90" s="97" t="s">
        <v>194</v>
      </c>
      <c r="D90" s="100" t="s">
        <v>34</v>
      </c>
    </row>
    <row r="91" spans="1:9" x14ac:dyDescent="0.25">
      <c r="A91" s="30" t="s">
        <v>38</v>
      </c>
      <c r="B91" s="42">
        <v>178052</v>
      </c>
      <c r="C91" s="97" t="s">
        <v>194</v>
      </c>
      <c r="D91" s="100" t="s">
        <v>34</v>
      </c>
    </row>
    <row r="92" spans="1:9" x14ac:dyDescent="0.25">
      <c r="A92" s="30" t="s">
        <v>38</v>
      </c>
      <c r="B92" s="42">
        <v>104592</v>
      </c>
      <c r="C92" s="97" t="s">
        <v>194</v>
      </c>
      <c r="D92" s="100" t="s">
        <v>34</v>
      </c>
    </row>
    <row r="93" spans="1:9" x14ac:dyDescent="0.25">
      <c r="A93" s="30" t="s">
        <v>38</v>
      </c>
      <c r="B93" s="42">
        <v>196200</v>
      </c>
      <c r="C93" s="97" t="s">
        <v>194</v>
      </c>
      <c r="D93" s="100" t="s">
        <v>34</v>
      </c>
    </row>
    <row r="94" spans="1:9" x14ac:dyDescent="0.25">
      <c r="A94" s="30" t="s">
        <v>38</v>
      </c>
      <c r="B94" s="42">
        <v>172306</v>
      </c>
      <c r="C94" s="97" t="s">
        <v>21</v>
      </c>
      <c r="D94" s="100" t="s">
        <v>34</v>
      </c>
    </row>
    <row r="95" spans="1:9" x14ac:dyDescent="0.25">
      <c r="A95" s="30" t="s">
        <v>38</v>
      </c>
      <c r="B95" s="31">
        <v>261739</v>
      </c>
      <c r="C95" s="32" t="s">
        <v>25</v>
      </c>
      <c r="D95" s="46" t="s">
        <v>18</v>
      </c>
      <c r="F95" s="32"/>
      <c r="G95" s="31"/>
      <c r="H95" s="32"/>
      <c r="I95" s="32"/>
    </row>
    <row r="96" spans="1:9" x14ac:dyDescent="0.25">
      <c r="A96" s="30" t="s">
        <v>38</v>
      </c>
      <c r="B96" s="31">
        <v>243832</v>
      </c>
      <c r="C96" s="32" t="s">
        <v>21</v>
      </c>
      <c r="D96" s="46" t="s">
        <v>18</v>
      </c>
      <c r="F96" s="32"/>
      <c r="G96" s="31"/>
      <c r="H96" s="32"/>
      <c r="I96" s="32"/>
    </row>
    <row r="97" spans="1:9" x14ac:dyDescent="0.25">
      <c r="A97" s="30" t="s">
        <v>38</v>
      </c>
      <c r="B97" s="42">
        <v>455253</v>
      </c>
      <c r="C97" s="97" t="s">
        <v>188</v>
      </c>
      <c r="D97" s="100" t="s">
        <v>34</v>
      </c>
      <c r="F97" s="97"/>
      <c r="G97" s="42"/>
      <c r="H97" s="97"/>
      <c r="I97" s="32"/>
    </row>
    <row r="98" spans="1:9" x14ac:dyDescent="0.25">
      <c r="A98" s="30" t="s">
        <v>38</v>
      </c>
      <c r="B98" s="42">
        <v>405482</v>
      </c>
      <c r="C98" s="97" t="s">
        <v>188</v>
      </c>
      <c r="D98" s="100" t="s">
        <v>34</v>
      </c>
      <c r="F98" s="97"/>
      <c r="G98" s="42"/>
      <c r="H98" s="97"/>
      <c r="I98" s="32"/>
    </row>
    <row r="99" spans="1:9" x14ac:dyDescent="0.25">
      <c r="A99" s="30" t="s">
        <v>38</v>
      </c>
      <c r="B99" s="42">
        <v>441497</v>
      </c>
      <c r="C99" s="97" t="s">
        <v>188</v>
      </c>
      <c r="D99" s="100" t="s">
        <v>34</v>
      </c>
      <c r="F99" s="97"/>
      <c r="G99" s="42"/>
      <c r="H99" s="97"/>
      <c r="I99" s="32"/>
    </row>
    <row r="100" spans="1:9" x14ac:dyDescent="0.25">
      <c r="A100" s="30" t="s">
        <v>38</v>
      </c>
      <c r="B100" s="42">
        <v>382311</v>
      </c>
      <c r="C100" s="97" t="s">
        <v>189</v>
      </c>
      <c r="D100" s="100" t="s">
        <v>34</v>
      </c>
      <c r="F100" s="97"/>
      <c r="G100" s="42"/>
      <c r="H100" s="97"/>
      <c r="I100" s="32"/>
    </row>
    <row r="101" spans="1:9" x14ac:dyDescent="0.25">
      <c r="A101" s="30" t="s">
        <v>38</v>
      </c>
      <c r="B101" s="42">
        <v>515987</v>
      </c>
      <c r="C101" s="97" t="s">
        <v>190</v>
      </c>
      <c r="D101" s="100" t="s">
        <v>34</v>
      </c>
      <c r="F101" s="97"/>
      <c r="G101" s="42"/>
      <c r="H101" s="97"/>
      <c r="I101" s="32"/>
    </row>
    <row r="102" spans="1:9" x14ac:dyDescent="0.25">
      <c r="A102" s="30" t="s">
        <v>38</v>
      </c>
      <c r="B102" s="42">
        <v>356367</v>
      </c>
      <c r="C102" s="97" t="s">
        <v>191</v>
      </c>
      <c r="D102" s="100" t="s">
        <v>34</v>
      </c>
      <c r="F102" s="97"/>
      <c r="G102" s="42"/>
      <c r="H102" s="97"/>
      <c r="I102" s="32"/>
    </row>
    <row r="103" spans="1:9" x14ac:dyDescent="0.25">
      <c r="A103" s="30" t="s">
        <v>38</v>
      </c>
      <c r="B103" s="42">
        <v>652055</v>
      </c>
      <c r="C103" s="97" t="s">
        <v>191</v>
      </c>
      <c r="D103" s="100" t="s">
        <v>34</v>
      </c>
      <c r="F103" s="97"/>
      <c r="G103" s="42"/>
      <c r="H103" s="97"/>
      <c r="I103" s="32"/>
    </row>
    <row r="104" spans="1:9" x14ac:dyDescent="0.25">
      <c r="A104" s="30" t="s">
        <v>38</v>
      </c>
      <c r="B104" s="42">
        <v>160000</v>
      </c>
      <c r="C104" s="97" t="s">
        <v>191</v>
      </c>
      <c r="D104" s="100" t="s">
        <v>34</v>
      </c>
      <c r="F104" s="97"/>
      <c r="G104" s="42"/>
      <c r="H104" s="97"/>
      <c r="I104" s="32"/>
    </row>
    <row r="105" spans="1:9" x14ac:dyDescent="0.25">
      <c r="A105" s="30" t="s">
        <v>38</v>
      </c>
      <c r="B105" s="42">
        <v>562206</v>
      </c>
      <c r="C105" s="97" t="s">
        <v>191</v>
      </c>
      <c r="D105" s="100" t="s">
        <v>34</v>
      </c>
      <c r="F105" s="97"/>
      <c r="G105" s="42"/>
      <c r="H105" s="97"/>
      <c r="I105" s="32"/>
    </row>
    <row r="106" spans="1:9" x14ac:dyDescent="0.25">
      <c r="A106" s="30" t="s">
        <v>38</v>
      </c>
      <c r="B106" s="42">
        <v>1357285</v>
      </c>
      <c r="C106" s="97" t="s">
        <v>191</v>
      </c>
      <c r="D106" s="100" t="s">
        <v>34</v>
      </c>
      <c r="F106" s="97"/>
      <c r="G106" s="42"/>
      <c r="H106" s="97"/>
      <c r="I106" s="32"/>
    </row>
    <row r="107" spans="1:9" x14ac:dyDescent="0.25">
      <c r="A107" s="30" t="s">
        <v>38</v>
      </c>
      <c r="B107" s="42">
        <v>306020</v>
      </c>
      <c r="C107" s="97" t="s">
        <v>191</v>
      </c>
      <c r="D107" s="100" t="s">
        <v>34</v>
      </c>
      <c r="F107" s="97"/>
      <c r="G107" s="42"/>
      <c r="H107" s="97"/>
      <c r="I107" s="32"/>
    </row>
    <row r="108" spans="1:9" x14ac:dyDescent="0.25">
      <c r="A108" s="30" t="s">
        <v>38</v>
      </c>
      <c r="B108" s="42">
        <v>306836</v>
      </c>
      <c r="C108" s="97" t="s">
        <v>191</v>
      </c>
      <c r="D108" s="100" t="s">
        <v>34</v>
      </c>
      <c r="F108" s="97"/>
      <c r="G108" s="42"/>
      <c r="H108" s="97"/>
      <c r="I108" s="32"/>
    </row>
    <row r="109" spans="1:9" x14ac:dyDescent="0.25">
      <c r="A109" s="30" t="s">
        <v>38</v>
      </c>
      <c r="B109" s="42">
        <v>122674</v>
      </c>
      <c r="C109" s="97" t="s">
        <v>191</v>
      </c>
      <c r="D109" s="100" t="s">
        <v>34</v>
      </c>
      <c r="F109" s="97"/>
      <c r="G109" s="42"/>
      <c r="H109" s="97"/>
      <c r="I109" s="32"/>
    </row>
    <row r="110" spans="1:9" x14ac:dyDescent="0.25">
      <c r="A110" s="30" t="s">
        <v>38</v>
      </c>
      <c r="B110" s="42">
        <v>457372</v>
      </c>
      <c r="C110" s="97" t="s">
        <v>21</v>
      </c>
      <c r="D110" s="100" t="s">
        <v>34</v>
      </c>
      <c r="F110" s="97"/>
      <c r="G110" s="42"/>
      <c r="H110" s="97"/>
      <c r="I110" s="32"/>
    </row>
    <row r="111" spans="1:9" x14ac:dyDescent="0.25">
      <c r="A111" s="30"/>
      <c r="B111" s="31" t="s">
        <v>47</v>
      </c>
      <c r="C111" s="32"/>
      <c r="D111" s="33"/>
    </row>
    <row r="112" spans="1:9" ht="13" x14ac:dyDescent="0.3">
      <c r="A112" s="34" t="s">
        <v>38</v>
      </c>
      <c r="B112" s="35">
        <f>SUM(B64:B111)</f>
        <v>10228379</v>
      </c>
      <c r="C112" s="36" t="s">
        <v>42</v>
      </c>
      <c r="D112" s="33"/>
    </row>
    <row r="113" spans="1:4" ht="13.5" thickBot="1" x14ac:dyDescent="0.35">
      <c r="A113" s="37"/>
      <c r="B113" s="38">
        <f>B112/$B$121</f>
        <v>0.77746763667641405</v>
      </c>
      <c r="C113" s="39" t="s">
        <v>44</v>
      </c>
      <c r="D113" s="45"/>
    </row>
    <row r="114" spans="1:4" ht="13" thickBot="1" x14ac:dyDescent="0.3"/>
    <row r="115" spans="1:4" x14ac:dyDescent="0.25">
      <c r="A115" s="26" t="s">
        <v>40</v>
      </c>
      <c r="B115" s="27"/>
      <c r="C115" s="28"/>
      <c r="D115" s="29"/>
    </row>
    <row r="116" spans="1:4" x14ac:dyDescent="0.25">
      <c r="A116" s="30"/>
      <c r="B116" s="31" t="s">
        <v>47</v>
      </c>
      <c r="C116" s="32"/>
      <c r="D116" s="46"/>
    </row>
    <row r="117" spans="1:4" ht="13" x14ac:dyDescent="0.3">
      <c r="A117" s="34" t="str">
        <f>A115</f>
        <v>West</v>
      </c>
      <c r="B117" s="35">
        <f>SUM(B115:B116)</f>
        <v>0</v>
      </c>
      <c r="C117" s="36" t="s">
        <v>42</v>
      </c>
      <c r="D117" s="46"/>
    </row>
    <row r="118" spans="1:4" ht="13.5" thickBot="1" x14ac:dyDescent="0.35">
      <c r="A118" s="37"/>
      <c r="B118" s="38">
        <f>B117/$B$121</f>
        <v>0</v>
      </c>
      <c r="C118" s="39" t="s">
        <v>44</v>
      </c>
      <c r="D118" s="45"/>
    </row>
    <row r="120" spans="1:4" ht="13" thickBot="1" x14ac:dyDescent="0.3"/>
    <row r="121" spans="1:4" ht="13.5" thickBot="1" x14ac:dyDescent="0.35">
      <c r="A121" s="47" t="s">
        <v>46</v>
      </c>
      <c r="B121" s="48">
        <f>B117+B112+B61+B45+B40</f>
        <v>13156019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2001 SBIR Winners List</vt:lpstr>
      <vt:lpstr>Win Loss Rates by Agency</vt:lpstr>
      <vt:lpstr>Award Distribution Data</vt:lpstr>
      <vt:lpstr>Award Distribution by Agency</vt:lpstr>
      <vt:lpstr>Award Distribution by Geography</vt:lpstr>
      <vt:lpstr>'2001 SBIR Winners List'!Print_Area</vt:lpstr>
      <vt:lpstr>'Award Distribution Data'!Print_Area</vt:lpstr>
    </vt:vector>
  </TitlesOfParts>
  <Company>uncch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</dc:creator>
  <cp:lastModifiedBy>Carina Negreanu</cp:lastModifiedBy>
  <cp:lastPrinted>2002-07-24T20:33:28Z</cp:lastPrinted>
  <dcterms:created xsi:type="dcterms:W3CDTF">2002-04-03T17:57:29Z</dcterms:created>
  <dcterms:modified xsi:type="dcterms:W3CDTF">2020-01-27T12:04:41Z</dcterms:modified>
</cp:coreProperties>
</file>