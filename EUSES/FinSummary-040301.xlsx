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89999FC-1658-40C1-ADFA-FF16BF03C10D}" xr6:coauthVersionLast="45" xr6:coauthVersionMax="45" xr10:uidLastSave="{00000000-0000-0000-0000-000000000000}"/>
  <bookViews>
    <workbookView xWindow="1900" yWindow="1900" windowWidth="28800" windowHeight="154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36" i="1" l="1"/>
  <c r="N35" i="1"/>
  <c r="N34" i="1"/>
  <c r="N32" i="1"/>
  <c r="N31" i="1"/>
  <c r="N30" i="1"/>
  <c r="N29" i="1"/>
  <c r="N28" i="1"/>
  <c r="N27" i="1"/>
  <c r="N26" i="1"/>
  <c r="N25" i="1"/>
  <c r="N24" i="1"/>
  <c r="N23" i="1"/>
  <c r="N22" i="1"/>
  <c r="N21" i="1"/>
  <c r="D18" i="1"/>
  <c r="D40" i="1" s="1"/>
  <c r="C18" i="1"/>
  <c r="C40" i="1" s="1"/>
  <c r="B18" i="1"/>
  <c r="N18" i="1" s="1"/>
  <c r="N40" i="1" s="1"/>
  <c r="E38" i="1"/>
  <c r="E40" i="1" s="1"/>
  <c r="F38" i="1"/>
  <c r="G38" i="1"/>
  <c r="G40" i="1" s="1"/>
  <c r="H38" i="1"/>
  <c r="I38" i="1"/>
  <c r="I40" i="1" s="1"/>
  <c r="N15" i="1"/>
  <c r="N38" i="1"/>
  <c r="H40" i="1"/>
  <c r="F40" i="1"/>
  <c r="M38" i="1"/>
  <c r="L38" i="1"/>
  <c r="L40" i="1" s="1"/>
  <c r="K38" i="1"/>
  <c r="J38" i="1"/>
  <c r="D38" i="1"/>
  <c r="C38" i="1"/>
  <c r="B38" i="1"/>
  <c r="N16" i="1"/>
  <c r="M18" i="1"/>
  <c r="M40" i="1" s="1"/>
  <c r="L18" i="1"/>
  <c r="K18" i="1"/>
  <c r="K40" i="1" s="1"/>
  <c r="J18" i="1"/>
  <c r="J40" i="1" s="1"/>
  <c r="E18" i="1"/>
  <c r="B40" i="1" l="1"/>
  <c r="B42" i="1"/>
  <c r="C42" i="1" s="1"/>
  <c r="D42" i="1" s="1"/>
  <c r="E42" i="1" s="1"/>
  <c r="F42" i="1" s="1"/>
  <c r="G42" i="1" s="1"/>
  <c r="H42" i="1" s="1"/>
  <c r="I42" i="1" s="1"/>
  <c r="J42" i="1" s="1"/>
  <c r="K42" i="1" s="1"/>
  <c r="L42" i="1" s="1"/>
  <c r="M42" i="1" s="1"/>
</calcChain>
</file>

<file path=xl/sharedStrings.xml><?xml version="1.0" encoding="utf-8"?>
<sst xmlns="http://schemas.openxmlformats.org/spreadsheetml/2006/main" count="44" uniqueCount="44">
  <si>
    <t>Income</t>
  </si>
  <si>
    <t>Totals</t>
  </si>
  <si>
    <t>Total Income</t>
  </si>
  <si>
    <t>Employees' Wages</t>
  </si>
  <si>
    <t>Advertising</t>
  </si>
  <si>
    <t>Marketing/Promotion</t>
  </si>
  <si>
    <t>Training &amp; Development</t>
  </si>
  <si>
    <t>General Expenditure</t>
  </si>
  <si>
    <t>Other</t>
  </si>
  <si>
    <t>Non-Operating Revenue</t>
  </si>
  <si>
    <t>Aug</t>
  </si>
  <si>
    <t>Jul</t>
  </si>
  <si>
    <t>Sep</t>
  </si>
  <si>
    <t>Oct</t>
  </si>
  <si>
    <t>Nov</t>
  </si>
  <si>
    <t>Dec</t>
  </si>
  <si>
    <t>Jan</t>
  </si>
  <si>
    <t>Feb</t>
  </si>
  <si>
    <t>Mar</t>
  </si>
  <si>
    <t>Apr</t>
  </si>
  <si>
    <t>May</t>
  </si>
  <si>
    <t>Jun</t>
  </si>
  <si>
    <t>Miscellaneous Revenue</t>
  </si>
  <si>
    <t>Instruments &amp; Equipment</t>
  </si>
  <si>
    <t>Photo &amp; Reproduction</t>
  </si>
  <si>
    <t>Postage &amp; Mailing</t>
  </si>
  <si>
    <t>Buildings &amp; Grounds</t>
  </si>
  <si>
    <t>Office Supplies</t>
  </si>
  <si>
    <t>Photographic Supplies</t>
  </si>
  <si>
    <t>Consultant/Technical Support</t>
  </si>
  <si>
    <t>Computer/Office Equipment</t>
  </si>
  <si>
    <t>Licensing/Legal Fees</t>
  </si>
  <si>
    <t xml:space="preserve"> </t>
  </si>
  <si>
    <t>Expenditures</t>
  </si>
  <si>
    <t>KNMC Radio Station Financial Summary</t>
  </si>
  <si>
    <t>Income and Expense Statement</t>
  </si>
  <si>
    <t>Student Activity Fee / Carry Over</t>
  </si>
  <si>
    <t>Monthly Balance Transactions</t>
  </si>
  <si>
    <t>Balance Available To Date</t>
  </si>
  <si>
    <t>Total Monthly Expenditures</t>
  </si>
  <si>
    <t>Period Starting: FY 2004</t>
  </si>
  <si>
    <t>Cellular / Telephone Costs</t>
  </si>
  <si>
    <t>POC:  Mike Campbell, Interim CIO/Director of Information Technology Services</t>
  </si>
  <si>
    <t>This summary provides a snapshot of financial transactions conducted during the year provided as information on Income and Expenses. Please note that this type of layout is for management purposes only, used by the campus Radio/Television Committee rather than a detailed Operations Ledger Activity provided by Banner.   For a detailed explaination or copies of income and expense operations ledger activities and transaction reports provided by Banner, contact the ITS Director.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</si>
</sst>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7" formatCode="&quot;£&quot;#,##0.00_);\(&quot;£&quot;#,##0.00\)"/>
  </numFmts>
  <fonts count="16">
    <font>
      <sz val="10"/>
      <name val="Arial"/>
    </font>
    <font>
      <sz val="8"/>
      <name val="Tahoma"/>
      <family val="2"/>
    </font>
    <font>
      <sz val="8"/>
      <name val="Verdana Ref"/>
      <family val="2"/>
    </font>
    <font>
      <b/>
      <sz val="8"/>
      <color indexed="9"/>
      <name val="Tahoma"/>
      <family val="2"/>
    </font>
    <font>
      <b/>
      <sz val="8"/>
      <color indexed="8"/>
      <name val="Tahoma"/>
      <family val="2"/>
    </font>
    <font>
      <b/>
      <u/>
      <sz val="8"/>
      <color indexed="8"/>
      <name val="Tahoma"/>
      <family val="2"/>
    </font>
    <font>
      <b/>
      <sz val="8"/>
      <color indexed="23"/>
      <name val="Verdana Ref"/>
      <family val="2"/>
    </font>
    <font>
      <b/>
      <sz val="11"/>
      <color indexed="23"/>
      <name val="Verdana Ref"/>
      <family val="2"/>
    </font>
    <font>
      <sz val="16"/>
      <color indexed="9"/>
      <name val="Tahoma"/>
      <family val="2"/>
    </font>
    <font>
      <b/>
      <sz val="8"/>
      <color indexed="63"/>
      <name val="Verdana Ref"/>
      <family val="2"/>
    </font>
    <font>
      <b/>
      <sz val="16"/>
      <color indexed="9"/>
      <name val="Tahoma"/>
      <family val="2"/>
    </font>
    <font>
      <sz val="8"/>
      <name val="Verdana"/>
      <family val="2"/>
    </font>
    <font>
      <sz val="10"/>
      <color indexed="9"/>
      <name val="Arial"/>
      <family val="2"/>
    </font>
    <font>
      <b/>
      <sz val="8"/>
      <color indexed="23"/>
      <name val="Verdana"/>
      <family val="2"/>
    </font>
    <font>
      <b/>
      <sz val="11"/>
      <color indexed="23"/>
      <name val="Verdana"/>
      <family val="2"/>
    </font>
    <font>
      <sz val="8"/>
      <name val="Arial"/>
      <family val="2"/>
    </font>
  </fonts>
  <fills count="10">
    <fill>
      <patternFill patternType="none"/>
    </fill>
    <fill>
      <patternFill patternType="gray125"/>
    </fill>
    <fill>
      <patternFill patternType="solid">
        <fgColor indexed="9"/>
        <bgColor indexed="64"/>
      </patternFill>
    </fill>
    <fill>
      <patternFill patternType="solid">
        <fgColor indexed="55"/>
        <bgColor indexed="64"/>
      </patternFill>
    </fill>
    <fill>
      <patternFill patternType="solid">
        <fgColor indexed="8"/>
        <bgColor indexed="64"/>
      </patternFill>
    </fill>
    <fill>
      <patternFill patternType="solid">
        <fgColor indexed="22"/>
        <bgColor indexed="64"/>
      </patternFill>
    </fill>
    <fill>
      <patternFill patternType="solid">
        <fgColor indexed="9"/>
        <bgColor indexed="9"/>
      </patternFill>
    </fill>
    <fill>
      <patternFill patternType="solid">
        <fgColor indexed="23"/>
        <bgColor indexed="64"/>
      </patternFill>
    </fill>
    <fill>
      <patternFill patternType="solid">
        <fgColor indexed="8"/>
        <bgColor indexed="9"/>
      </patternFill>
    </fill>
    <fill>
      <patternFill patternType="solid">
        <fgColor indexed="12"/>
        <bgColor indexed="64"/>
      </patternFill>
    </fill>
  </fills>
  <borders count="41">
    <border>
      <left/>
      <right/>
      <top/>
      <bottom/>
      <diagonal/>
    </border>
    <border>
      <left style="thin">
        <color indexed="64"/>
      </left>
      <right/>
      <top style="thin">
        <color indexed="64"/>
      </top>
      <bottom style="thin">
        <color indexed="64"/>
      </bottom>
      <diagonal/>
    </border>
    <border>
      <left style="thin">
        <color indexed="64"/>
      </left>
      <right/>
      <top/>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55"/>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55"/>
      </bottom>
      <diagonal/>
    </border>
    <border>
      <left/>
      <right/>
      <top/>
      <bottom style="thin">
        <color indexed="55"/>
      </bottom>
      <diagonal/>
    </border>
    <border>
      <left/>
      <right style="thin">
        <color indexed="64"/>
      </right>
      <top/>
      <bottom style="thin">
        <color indexed="55"/>
      </bottom>
      <diagonal/>
    </border>
    <border>
      <left style="thin">
        <color indexed="55"/>
      </left>
      <right style="thin">
        <color indexed="55"/>
      </right>
      <top/>
      <bottom/>
      <diagonal/>
    </border>
    <border>
      <left style="thin">
        <color indexed="55"/>
      </left>
      <right style="thin">
        <color indexed="64"/>
      </right>
      <top/>
      <bottom/>
      <diagonal/>
    </border>
    <border>
      <left style="thin">
        <color indexed="64"/>
      </left>
      <right style="thin">
        <color indexed="55"/>
      </right>
      <top/>
      <bottom style="medium">
        <color indexed="64"/>
      </bottom>
      <diagonal/>
    </border>
    <border>
      <left style="thin">
        <color indexed="55"/>
      </left>
      <right style="thin">
        <color indexed="55"/>
      </right>
      <top/>
      <bottom style="medium">
        <color indexed="8"/>
      </bottom>
      <diagonal/>
    </border>
    <border>
      <left style="thin">
        <color indexed="55"/>
      </left>
      <right style="thin">
        <color indexed="64"/>
      </right>
      <top/>
      <bottom style="medium">
        <color indexed="8"/>
      </bottom>
      <diagonal/>
    </border>
    <border>
      <left style="thin">
        <color indexed="64"/>
      </left>
      <right/>
      <top style="medium">
        <color indexed="64"/>
      </top>
      <bottom/>
      <diagonal/>
    </border>
    <border>
      <left style="thin">
        <color indexed="55"/>
      </left>
      <right style="thin">
        <color indexed="55"/>
      </right>
      <top style="medium">
        <color indexed="8"/>
      </top>
      <bottom/>
      <diagonal/>
    </border>
    <border>
      <left style="thin">
        <color indexed="55"/>
      </left>
      <right style="thin">
        <color indexed="64"/>
      </right>
      <top style="medium">
        <color indexed="8"/>
      </top>
      <bottom/>
      <diagonal/>
    </border>
    <border>
      <left style="thin">
        <color indexed="55"/>
      </left>
      <right style="thin">
        <color indexed="55"/>
      </right>
      <top/>
      <bottom style="thin">
        <color indexed="55"/>
      </bottom>
      <diagonal/>
    </border>
    <border>
      <left style="thin">
        <color indexed="55"/>
      </left>
      <right style="thin">
        <color indexed="64"/>
      </right>
      <top/>
      <bottom style="thin">
        <color indexed="55"/>
      </bottom>
      <diagonal/>
    </border>
    <border>
      <left style="thin">
        <color indexed="64"/>
      </left>
      <right style="thin">
        <color indexed="55"/>
      </right>
      <top style="thin">
        <color indexed="55"/>
      </top>
      <bottom style="thin">
        <color indexed="55"/>
      </bottom>
      <diagonal/>
    </border>
    <border>
      <left style="thin">
        <color indexed="64"/>
      </left>
      <right/>
      <top style="thin">
        <color indexed="55"/>
      </top>
      <bottom/>
      <diagonal/>
    </border>
    <border>
      <left style="thin">
        <color indexed="64"/>
      </left>
      <right style="thin">
        <color indexed="55"/>
      </right>
      <top style="medium">
        <color indexed="64"/>
      </top>
      <bottom style="medium">
        <color indexed="64"/>
      </bottom>
      <diagonal/>
    </border>
    <border>
      <left style="thin">
        <color indexed="64"/>
      </left>
      <right/>
      <top style="thin">
        <color indexed="55"/>
      </top>
      <bottom style="thin">
        <color indexed="55"/>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55"/>
      </left>
      <right style="thin">
        <color indexed="55"/>
      </right>
      <top style="thin">
        <color indexed="55"/>
      </top>
      <bottom style="thin">
        <color indexed="55"/>
      </bottom>
      <diagonal/>
    </border>
    <border>
      <left style="thin">
        <color indexed="55"/>
      </left>
      <right style="thin">
        <color indexed="64"/>
      </right>
      <top style="thin">
        <color indexed="55"/>
      </top>
      <bottom style="thin">
        <color indexed="55"/>
      </bottom>
      <diagonal/>
    </border>
    <border>
      <left style="thin">
        <color indexed="55"/>
      </left>
      <right style="thin">
        <color indexed="55"/>
      </right>
      <top style="medium">
        <color indexed="64"/>
      </top>
      <bottom style="medium">
        <color indexed="64"/>
      </bottom>
      <diagonal/>
    </border>
    <border>
      <left style="thin">
        <color indexed="55"/>
      </left>
      <right style="thin">
        <color indexed="64"/>
      </right>
      <top style="medium">
        <color indexed="8"/>
      </top>
      <bottom style="medium">
        <color indexed="8"/>
      </bottom>
      <diagonal/>
    </border>
    <border>
      <left style="thin">
        <color indexed="55"/>
      </left>
      <right style="thin">
        <color indexed="55"/>
      </right>
      <top style="medium">
        <color indexed="64"/>
      </top>
      <bottom/>
      <diagonal/>
    </border>
    <border>
      <left style="thin">
        <color indexed="55"/>
      </left>
      <right style="thin">
        <color indexed="55"/>
      </right>
      <top style="thin">
        <color indexed="55"/>
      </top>
      <bottom/>
      <diagonal/>
    </border>
    <border>
      <left style="thin">
        <color indexed="55"/>
      </left>
      <right style="thin">
        <color indexed="64"/>
      </right>
      <top style="medium">
        <color indexed="64"/>
      </top>
      <bottom style="medium">
        <color indexed="64"/>
      </bottom>
      <diagonal/>
    </border>
    <border>
      <left style="thin">
        <color indexed="55"/>
      </left>
      <right style="thin">
        <color indexed="64"/>
      </right>
      <top style="medium">
        <color indexed="64"/>
      </top>
      <bottom/>
      <diagonal/>
    </border>
    <border>
      <left/>
      <right/>
      <top/>
      <bottom style="thin">
        <color indexed="64"/>
      </bottom>
      <diagonal/>
    </border>
    <border>
      <left/>
      <right style="thin">
        <color indexed="64"/>
      </right>
      <top/>
      <bottom style="thin">
        <color indexed="64"/>
      </bottom>
      <diagonal/>
    </border>
    <border>
      <left/>
      <right/>
      <top style="thin">
        <color indexed="55"/>
      </top>
      <bottom/>
      <diagonal/>
    </border>
  </borders>
  <cellStyleXfs count="17">
    <xf numFmtId="0" fontId="0" fillId="0" borderId="0"/>
    <xf numFmtId="37" fontId="1" fillId="2" borderId="1" applyBorder="0" applyProtection="0">
      <alignment vertical="center"/>
    </xf>
    <xf numFmtId="0" fontId="2" fillId="3" borderId="0" applyBorder="0">
      <alignment horizontal="left" vertical="center" indent="1"/>
    </xf>
    <xf numFmtId="37" fontId="3" fillId="4" borderId="2" applyBorder="0">
      <alignment horizontal="left" vertical="center" indent="1"/>
    </xf>
    <xf numFmtId="37" fontId="4" fillId="5" borderId="3" applyFill="0">
      <alignment vertical="center"/>
    </xf>
    <xf numFmtId="0" fontId="4" fillId="6" borderId="4" applyNumberFormat="0">
      <alignment horizontal="left" vertical="top" indent="1"/>
    </xf>
    <xf numFmtId="0" fontId="4" fillId="2" borderId="0" applyBorder="0">
      <alignment horizontal="left" vertical="center" indent="1"/>
    </xf>
    <xf numFmtId="0" fontId="4" fillId="0" borderId="4" applyNumberFormat="0" applyFill="0">
      <alignment horizontal="centerContinuous" vertical="top"/>
    </xf>
    <xf numFmtId="0" fontId="5" fillId="2" borderId="5" applyNumberFormat="0" applyBorder="0">
      <alignment horizontal="left" vertical="center" indent="1"/>
    </xf>
    <xf numFmtId="0" fontId="2" fillId="5" borderId="0">
      <alignment horizontal="right"/>
    </xf>
    <xf numFmtId="0" fontId="6" fillId="5" borderId="0">
      <alignment horizontal="left" indent="1"/>
    </xf>
    <xf numFmtId="0" fontId="7" fillId="5" borderId="0">
      <alignment horizontal="left" wrapText="1" indent="1"/>
    </xf>
    <xf numFmtId="0" fontId="2" fillId="5" borderId="0">
      <alignment horizontal="left" wrapText="1" indent="1"/>
    </xf>
    <xf numFmtId="37" fontId="1" fillId="2" borderId="6" applyBorder="0">
      <alignment horizontal="left" vertical="center" indent="2"/>
    </xf>
    <xf numFmtId="0" fontId="8" fillId="3" borderId="0">
      <alignment horizontal="left" indent="1"/>
    </xf>
    <xf numFmtId="0" fontId="9" fillId="3" borderId="0" applyBorder="0">
      <alignment horizontal="left" vertical="center" indent="1"/>
    </xf>
    <xf numFmtId="0" fontId="10" fillId="7" borderId="0" applyBorder="0">
      <alignment horizontal="left" vertical="center" indent="1"/>
    </xf>
  </cellStyleXfs>
  <cellXfs count="77">
    <xf numFmtId="0" fontId="0" fillId="0" borderId="0" xfId="0"/>
    <xf numFmtId="0" fontId="11" fillId="3" borderId="7" xfId="0" applyFont="1" applyFill="1" applyBorder="1"/>
    <xf numFmtId="0" fontId="0" fillId="3" borderId="8" xfId="0" applyFill="1" applyBorder="1"/>
    <xf numFmtId="0" fontId="0" fillId="3" borderId="9" xfId="0" applyFill="1" applyBorder="1"/>
    <xf numFmtId="0" fontId="8" fillId="3" borderId="2" xfId="14" applyFont="1" applyBorder="1">
      <alignment horizontal="left" indent="1"/>
    </xf>
    <xf numFmtId="0" fontId="12" fillId="3" borderId="0" xfId="0" applyFont="1" applyFill="1" applyBorder="1"/>
    <xf numFmtId="0" fontId="0" fillId="3" borderId="0" xfId="0" applyFill="1" applyBorder="1"/>
    <xf numFmtId="0" fontId="0" fillId="3" borderId="10" xfId="0" applyFill="1" applyBorder="1"/>
    <xf numFmtId="0" fontId="6" fillId="5" borderId="2" xfId="10" applyBorder="1">
      <alignment horizontal="left" indent="1"/>
    </xf>
    <xf numFmtId="0" fontId="0" fillId="5" borderId="0" xfId="0" applyFill="1" applyBorder="1"/>
    <xf numFmtId="0" fontId="0" fillId="5" borderId="10" xfId="0" applyFill="1" applyBorder="1"/>
    <xf numFmtId="0" fontId="13" fillId="5" borderId="2" xfId="10" applyFont="1" applyBorder="1">
      <alignment horizontal="left" indent="1"/>
    </xf>
    <xf numFmtId="0" fontId="0" fillId="5" borderId="11" xfId="0" applyFill="1" applyBorder="1"/>
    <xf numFmtId="0" fontId="0" fillId="5" borderId="12" xfId="0" applyFill="1" applyBorder="1"/>
    <xf numFmtId="0" fontId="0" fillId="5" borderId="13" xfId="0" applyFill="1" applyBorder="1"/>
    <xf numFmtId="0" fontId="14" fillId="5" borderId="2" xfId="11" applyFont="1" applyBorder="1" applyAlignment="1">
      <alignment horizontal="left" wrapText="1" indent="1"/>
    </xf>
    <xf numFmtId="0" fontId="0" fillId="5" borderId="0" xfId="0" applyFill="1" applyBorder="1" applyAlignment="1">
      <alignment horizontal="left" wrapText="1" indent="1"/>
    </xf>
    <xf numFmtId="37" fontId="3" fillId="4" borderId="2" xfId="3" applyBorder="1">
      <alignment horizontal="left" vertical="center" indent="1"/>
    </xf>
    <xf numFmtId="0" fontId="0" fillId="4" borderId="0" xfId="0" applyFill="1" applyBorder="1"/>
    <xf numFmtId="0" fontId="11" fillId="4" borderId="0" xfId="12" applyFont="1" applyFill="1" applyBorder="1" applyAlignment="1">
      <alignment horizontal="left" wrapText="1" indent="1"/>
    </xf>
    <xf numFmtId="0" fontId="0" fillId="4" borderId="10" xfId="0" applyFill="1" applyBorder="1"/>
    <xf numFmtId="37" fontId="3" fillId="4" borderId="2" xfId="3" applyFont="1" applyBorder="1">
      <alignment horizontal="left" vertical="center" indent="1"/>
    </xf>
    <xf numFmtId="37" fontId="3" fillId="4" borderId="0" xfId="3" applyBorder="1">
      <alignment horizontal="left" vertical="center" indent="1"/>
    </xf>
    <xf numFmtId="37" fontId="3" fillId="4" borderId="0" xfId="3" applyFill="1" applyBorder="1">
      <alignment horizontal="left" vertical="center" indent="1"/>
    </xf>
    <xf numFmtId="37" fontId="3" fillId="4" borderId="10" xfId="3" applyFill="1" applyBorder="1">
      <alignment horizontal="left" vertical="center" indent="1"/>
    </xf>
    <xf numFmtId="0" fontId="0" fillId="2" borderId="2" xfId="0" applyFill="1" applyBorder="1" applyAlignment="1">
      <alignment horizontal="left"/>
    </xf>
    <xf numFmtId="0" fontId="0" fillId="2" borderId="14" xfId="0" applyFill="1" applyBorder="1"/>
    <xf numFmtId="0" fontId="0" fillId="2" borderId="15" xfId="0" applyFill="1" applyBorder="1"/>
    <xf numFmtId="7" fontId="4" fillId="6" borderId="16" xfId="5" applyNumberFormat="1" applyFont="1" applyBorder="1">
      <alignment horizontal="left" vertical="top" indent="1"/>
    </xf>
    <xf numFmtId="16" fontId="4" fillId="6" borderId="17" xfId="7" applyNumberFormat="1" applyFont="1" applyFill="1" applyBorder="1">
      <alignment horizontal="centerContinuous" vertical="top"/>
    </xf>
    <xf numFmtId="0" fontId="4" fillId="6" borderId="17" xfId="7" applyFont="1" applyFill="1" applyBorder="1">
      <alignment horizontal="centerContinuous" vertical="top"/>
    </xf>
    <xf numFmtId="0" fontId="4" fillId="6" borderId="18" xfId="7" applyFill="1" applyBorder="1">
      <alignment horizontal="centerContinuous" vertical="top"/>
    </xf>
    <xf numFmtId="0" fontId="4" fillId="6" borderId="19" xfId="5" applyBorder="1">
      <alignment horizontal="left" vertical="top" indent="1"/>
    </xf>
    <xf numFmtId="0" fontId="4" fillId="2" borderId="20" xfId="7" applyFill="1" applyBorder="1">
      <alignment horizontal="centerContinuous" vertical="top"/>
    </xf>
    <xf numFmtId="0" fontId="4" fillId="2" borderId="21" xfId="7" applyFill="1" applyBorder="1">
      <alignment horizontal="centerContinuous" vertical="top"/>
    </xf>
    <xf numFmtId="0" fontId="4" fillId="6" borderId="11" xfId="5" applyBorder="1">
      <alignment horizontal="left" vertical="top" indent="1"/>
    </xf>
    <xf numFmtId="0" fontId="0" fillId="2" borderId="22" xfId="0" applyFill="1" applyBorder="1"/>
    <xf numFmtId="0" fontId="0" fillId="2" borderId="23" xfId="0" applyFill="1" applyBorder="1"/>
    <xf numFmtId="37" fontId="1" fillId="2" borderId="24" xfId="13" applyFont="1" applyBorder="1">
      <alignment horizontal="left" vertical="center" indent="2"/>
    </xf>
    <xf numFmtId="37" fontId="1" fillId="2" borderId="25" xfId="13" applyFont="1" applyBorder="1">
      <alignment horizontal="left" vertical="center" indent="2"/>
    </xf>
    <xf numFmtId="37" fontId="4" fillId="6" borderId="26" xfId="5" applyNumberFormat="1" applyBorder="1">
      <alignment horizontal="left" vertical="top" indent="1"/>
    </xf>
    <xf numFmtId="37" fontId="4" fillId="2" borderId="2" xfId="4" applyFill="1" applyBorder="1">
      <alignment vertical="center"/>
    </xf>
    <xf numFmtId="0" fontId="4" fillId="2" borderId="2" xfId="6" applyFont="1" applyBorder="1">
      <alignment horizontal="left" vertical="center" indent="1"/>
    </xf>
    <xf numFmtId="37" fontId="1" fillId="2" borderId="24" xfId="13" applyBorder="1">
      <alignment horizontal="left" vertical="center" indent="2"/>
    </xf>
    <xf numFmtId="37" fontId="1" fillId="2" borderId="27" xfId="13" applyFont="1" applyBorder="1">
      <alignment horizontal="left" vertical="center" indent="2"/>
    </xf>
    <xf numFmtId="37" fontId="1" fillId="2" borderId="25" xfId="13" applyBorder="1">
      <alignment horizontal="left" vertical="center" indent="2"/>
    </xf>
    <xf numFmtId="37" fontId="1" fillId="2" borderId="27" xfId="13" applyBorder="1">
      <alignment horizontal="left" vertical="center" indent="2"/>
    </xf>
    <xf numFmtId="37" fontId="1" fillId="2" borderId="2" xfId="13" applyFont="1" applyBorder="1">
      <alignment horizontal="left" vertical="center" indent="2"/>
    </xf>
    <xf numFmtId="37" fontId="4" fillId="6" borderId="28" xfId="5" applyNumberFormat="1" applyFont="1" applyBorder="1">
      <alignment horizontal="left" vertical="top" indent="1"/>
    </xf>
    <xf numFmtId="37" fontId="4" fillId="6" borderId="19" xfId="5" applyNumberFormat="1" applyBorder="1">
      <alignment horizontal="left" vertical="top" indent="1"/>
    </xf>
    <xf numFmtId="0" fontId="3" fillId="8" borderId="29" xfId="5" applyFont="1" applyFill="1" applyBorder="1">
      <alignment horizontal="left" vertical="top" indent="1"/>
    </xf>
    <xf numFmtId="0" fontId="3" fillId="0" borderId="29" xfId="5" applyFont="1" applyFill="1" applyBorder="1">
      <alignment horizontal="left" vertical="top" indent="1"/>
    </xf>
    <xf numFmtId="0" fontId="3" fillId="9" borderId="29" xfId="5" applyFont="1" applyFill="1" applyBorder="1">
      <alignment horizontal="left" vertical="top" indent="1"/>
    </xf>
    <xf numFmtId="0" fontId="11" fillId="5" borderId="2" xfId="12" applyFont="1" applyBorder="1" applyAlignment="1">
      <alignment wrapText="1"/>
    </xf>
    <xf numFmtId="0" fontId="11" fillId="5" borderId="0" xfId="12" applyFont="1" applyBorder="1" applyAlignment="1">
      <alignment wrapText="1"/>
    </xf>
    <xf numFmtId="39" fontId="1" fillId="2" borderId="30" xfId="1" applyNumberFormat="1" applyBorder="1">
      <alignment vertical="center"/>
    </xf>
    <xf numFmtId="39" fontId="1" fillId="2" borderId="30" xfId="1" applyNumberFormat="1" applyFont="1" applyBorder="1">
      <alignment vertical="center"/>
    </xf>
    <xf numFmtId="39" fontId="4" fillId="0" borderId="31" xfId="4" applyNumberFormat="1" applyFont="1" applyFill="1" applyBorder="1">
      <alignment vertical="center"/>
    </xf>
    <xf numFmtId="39" fontId="4" fillId="0" borderId="31" xfId="4" applyNumberFormat="1" applyFill="1" applyBorder="1">
      <alignment vertical="center"/>
    </xf>
    <xf numFmtId="39" fontId="4" fillId="2" borderId="32" xfId="4" applyNumberFormat="1" applyFill="1" applyBorder="1">
      <alignment vertical="center"/>
    </xf>
    <xf numFmtId="39" fontId="4" fillId="2" borderId="33" xfId="4" applyNumberFormat="1" applyFill="1" applyBorder="1" applyAlignment="1">
      <alignment vertical="center"/>
    </xf>
    <xf numFmtId="39" fontId="1" fillId="2" borderId="34" xfId="1" applyNumberFormat="1" applyBorder="1">
      <alignment vertical="center"/>
    </xf>
    <xf numFmtId="39" fontId="1" fillId="2" borderId="14" xfId="1" applyNumberFormat="1" applyBorder="1">
      <alignment vertical="center"/>
    </xf>
    <xf numFmtId="39" fontId="1" fillId="2" borderId="15" xfId="1" applyNumberFormat="1" applyBorder="1">
      <alignment vertical="center"/>
    </xf>
    <xf numFmtId="39" fontId="1" fillId="2" borderId="22" xfId="1" applyNumberFormat="1" applyBorder="1">
      <alignment vertical="center"/>
    </xf>
    <xf numFmtId="39" fontId="1" fillId="2" borderId="23" xfId="1" applyNumberFormat="1" applyBorder="1">
      <alignment vertical="center"/>
    </xf>
    <xf numFmtId="39" fontId="1" fillId="2" borderId="35" xfId="1" applyNumberFormat="1" applyBorder="1">
      <alignment vertical="center"/>
    </xf>
    <xf numFmtId="39" fontId="4" fillId="2" borderId="36" xfId="4" applyNumberFormat="1" applyFill="1" applyBorder="1">
      <alignment vertical="center"/>
    </xf>
    <xf numFmtId="39" fontId="4" fillId="2" borderId="34" xfId="4" applyNumberFormat="1" applyFill="1" applyBorder="1">
      <alignment vertical="center"/>
    </xf>
    <xf numFmtId="39" fontId="4" fillId="2" borderId="37" xfId="4" applyNumberFormat="1" applyFill="1" applyBorder="1">
      <alignment vertical="center"/>
    </xf>
    <xf numFmtId="39" fontId="3" fillId="4" borderId="38" xfId="4" applyNumberFormat="1" applyFont="1" applyFill="1" applyBorder="1">
      <alignment vertical="center"/>
    </xf>
    <xf numFmtId="39" fontId="3" fillId="0" borderId="38" xfId="4" applyNumberFormat="1" applyFont="1" applyFill="1" applyBorder="1">
      <alignment vertical="center"/>
    </xf>
    <xf numFmtId="39" fontId="3" fillId="0" borderId="39" xfId="4" applyNumberFormat="1" applyFont="1" applyFill="1" applyBorder="1">
      <alignment vertical="center"/>
    </xf>
    <xf numFmtId="39" fontId="3" fillId="9" borderId="38" xfId="4" applyNumberFormat="1" applyFont="1" applyFill="1" applyBorder="1">
      <alignment vertical="center"/>
    </xf>
    <xf numFmtId="39" fontId="3" fillId="9" borderId="39" xfId="4" applyNumberFormat="1" applyFont="1" applyFill="1" applyBorder="1">
      <alignment vertical="center"/>
    </xf>
    <xf numFmtId="0" fontId="0" fillId="5" borderId="25" xfId="0" applyNumberFormat="1" applyFill="1" applyBorder="1" applyAlignment="1">
      <alignment horizontal="left" wrapText="1"/>
    </xf>
    <xf numFmtId="0" fontId="0" fillId="5" borderId="40" xfId="0" applyNumberFormat="1" applyFill="1" applyBorder="1" applyAlignment="1">
      <alignment horizontal="left" wrapText="1"/>
    </xf>
  </cellXfs>
  <cellStyles count="17">
    <cellStyle name="amount" xfId="1"/>
    <cellStyle name="Body text" xfId="2"/>
    <cellStyle name="header" xfId="3"/>
    <cellStyle name="Header Total" xfId="4"/>
    <cellStyle name="Header1" xfId="5"/>
    <cellStyle name="Header2" xfId="6"/>
    <cellStyle name="Header3" xfId="7"/>
    <cellStyle name="Header4" xfId="8"/>
    <cellStyle name="NonPrint_copyright" xfId="9"/>
    <cellStyle name="NonPrint_Heading" xfId="10"/>
    <cellStyle name="NonPrint_TemTitle" xfId="11"/>
    <cellStyle name="NonPrint_Text" xfId="12"/>
    <cellStyle name="Normal" xfId="0" builtinId="0"/>
    <cellStyle name="Normal 2" xfId="13"/>
    <cellStyle name="Product Title" xfId="14"/>
    <cellStyle name="Text" xfId="15"/>
    <cellStyle name="Title" xfId="16" builtinId="1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2"/>
  <sheetViews>
    <sheetView tabSelected="1" workbookViewId="0">
      <selection activeCell="K7" sqref="K7"/>
    </sheetView>
  </sheetViews>
  <sheetFormatPr defaultRowHeight="12.5"/>
  <cols>
    <col min="1" max="1" width="28.453125" customWidth="1"/>
    <col min="2" max="3" width="9.54296875" bestFit="1" customWidth="1"/>
    <col min="4" max="13" width="9.26953125" bestFit="1" customWidth="1"/>
    <col min="14" max="14" width="9.54296875" bestFit="1" customWidth="1"/>
  </cols>
  <sheetData>
    <row r="1" spans="1:14">
      <c r="A1" s="1"/>
      <c r="B1" s="2"/>
      <c r="C1" s="2"/>
      <c r="D1" s="2"/>
      <c r="E1" s="2"/>
      <c r="F1" s="2"/>
      <c r="G1" s="2"/>
      <c r="H1" s="2"/>
      <c r="I1" s="2"/>
      <c r="J1" s="2"/>
      <c r="K1" s="2"/>
      <c r="L1" s="2"/>
      <c r="M1" s="2"/>
      <c r="N1" s="3"/>
    </row>
    <row r="2" spans="1:14" ht="20">
      <c r="A2" s="4" t="s">
        <v>34</v>
      </c>
      <c r="B2" s="5"/>
      <c r="C2" s="5"/>
      <c r="D2" s="5"/>
      <c r="E2" s="5"/>
      <c r="F2" s="6"/>
      <c r="G2" s="6"/>
      <c r="H2" s="6"/>
      <c r="I2" s="6"/>
      <c r="J2" s="6"/>
      <c r="K2" s="6"/>
      <c r="L2" s="6"/>
      <c r="M2" s="6"/>
      <c r="N2" s="7"/>
    </row>
    <row r="3" spans="1:14">
      <c r="A3" s="8"/>
      <c r="B3" s="9"/>
      <c r="C3" s="9"/>
      <c r="D3" s="9"/>
      <c r="E3" s="9"/>
      <c r="F3" s="9"/>
      <c r="G3" s="9"/>
      <c r="H3" s="9"/>
      <c r="I3" s="9"/>
      <c r="J3" s="9"/>
      <c r="K3" s="9"/>
      <c r="L3" s="9"/>
      <c r="M3" s="9"/>
      <c r="N3" s="10"/>
    </row>
    <row r="4" spans="1:14">
      <c r="A4" s="11" t="s">
        <v>42</v>
      </c>
      <c r="B4" s="9"/>
      <c r="C4" s="9"/>
      <c r="D4" s="9"/>
      <c r="E4" s="9"/>
      <c r="F4" s="9"/>
      <c r="G4" s="9"/>
      <c r="H4" s="9"/>
      <c r="I4" s="9"/>
      <c r="J4" s="9"/>
      <c r="K4" s="9"/>
      <c r="L4" s="9"/>
      <c r="M4" s="9"/>
      <c r="N4" s="10"/>
    </row>
    <row r="5" spans="1:14" ht="8.25" customHeight="1">
      <c r="A5" s="12"/>
      <c r="B5" s="13"/>
      <c r="C5" s="13"/>
      <c r="D5" s="13"/>
      <c r="E5" s="13"/>
      <c r="F5" s="13"/>
      <c r="G5" s="13"/>
      <c r="H5" s="13"/>
      <c r="I5" s="13"/>
      <c r="J5" s="13"/>
      <c r="K5" s="13"/>
      <c r="L5" s="13"/>
      <c r="M5" s="13"/>
      <c r="N5" s="14"/>
    </row>
    <row r="6" spans="1:14" ht="53.25" customHeight="1">
      <c r="A6" s="75" t="s">
        <v>43</v>
      </c>
      <c r="B6" s="76"/>
      <c r="C6" s="76"/>
      <c r="D6" s="76"/>
      <c r="E6" s="76"/>
      <c r="F6" s="76"/>
      <c r="G6" s="76"/>
      <c r="H6" s="76"/>
      <c r="I6" s="76"/>
      <c r="J6" s="76"/>
      <c r="K6" s="9"/>
      <c r="L6" s="9"/>
      <c r="M6" s="9"/>
      <c r="N6" s="10"/>
    </row>
    <row r="7" spans="1:14" ht="13.5">
      <c r="A7" s="15"/>
      <c r="B7" s="16"/>
      <c r="C7" s="16"/>
      <c r="D7" s="16"/>
      <c r="E7" s="16"/>
      <c r="F7" s="16"/>
      <c r="G7" s="16"/>
      <c r="H7" s="9"/>
      <c r="I7" s="9"/>
      <c r="J7" s="9"/>
      <c r="K7" s="9"/>
      <c r="L7" s="9"/>
      <c r="M7" s="9"/>
      <c r="N7" s="10"/>
    </row>
    <row r="8" spans="1:14" ht="3" customHeight="1">
      <c r="A8" s="53"/>
      <c r="B8" s="54"/>
      <c r="C8" s="54"/>
      <c r="D8" s="54"/>
      <c r="E8" s="54"/>
      <c r="F8" s="54"/>
      <c r="G8" s="54"/>
      <c r="H8" s="9"/>
      <c r="I8" s="9"/>
      <c r="J8" s="9"/>
      <c r="K8" s="9"/>
      <c r="L8" s="9"/>
      <c r="M8" s="9"/>
      <c r="N8" s="10"/>
    </row>
    <row r="9" spans="1:14">
      <c r="A9" s="17"/>
      <c r="B9" s="18"/>
      <c r="C9" s="18"/>
      <c r="D9" s="18"/>
      <c r="E9" s="18"/>
      <c r="F9" s="19"/>
      <c r="G9" s="19"/>
      <c r="H9" s="18"/>
      <c r="I9" s="18"/>
      <c r="J9" s="18"/>
      <c r="K9" s="20"/>
      <c r="L9" s="20"/>
      <c r="M9" s="20"/>
      <c r="N9" s="20"/>
    </row>
    <row r="10" spans="1:14">
      <c r="A10" s="21" t="s">
        <v>35</v>
      </c>
      <c r="B10" s="22"/>
      <c r="C10" s="23"/>
      <c r="D10" s="23"/>
      <c r="E10" s="23"/>
      <c r="F10" s="23"/>
      <c r="G10" s="23"/>
      <c r="H10" s="23"/>
      <c r="I10" s="23"/>
      <c r="J10" s="23"/>
      <c r="K10" s="24"/>
      <c r="L10" s="24"/>
      <c r="M10" s="24"/>
      <c r="N10" s="24"/>
    </row>
    <row r="11" spans="1:14">
      <c r="A11" s="25"/>
      <c r="B11" s="26"/>
      <c r="C11" s="26"/>
      <c r="D11" s="26"/>
      <c r="E11" s="26"/>
      <c r="F11" s="26"/>
      <c r="G11" s="26"/>
      <c r="H11" s="26"/>
      <c r="I11" s="26"/>
      <c r="J11" s="26"/>
      <c r="K11" s="26"/>
      <c r="L11" s="26"/>
      <c r="M11" s="26"/>
      <c r="N11" s="27"/>
    </row>
    <row r="12" spans="1:14" ht="13" thickBot="1">
      <c r="A12" s="28" t="s">
        <v>40</v>
      </c>
      <c r="B12" s="29" t="s">
        <v>11</v>
      </c>
      <c r="C12" s="30" t="s">
        <v>10</v>
      </c>
      <c r="D12" s="30" t="s">
        <v>12</v>
      </c>
      <c r="E12" s="30" t="s">
        <v>13</v>
      </c>
      <c r="F12" s="30" t="s">
        <v>14</v>
      </c>
      <c r="G12" s="30" t="s">
        <v>15</v>
      </c>
      <c r="H12" s="30" t="s">
        <v>16</v>
      </c>
      <c r="I12" s="30" t="s">
        <v>17</v>
      </c>
      <c r="J12" s="30" t="s">
        <v>18</v>
      </c>
      <c r="K12" s="30" t="s">
        <v>19</v>
      </c>
      <c r="L12" s="30" t="s">
        <v>20</v>
      </c>
      <c r="M12" s="30" t="s">
        <v>21</v>
      </c>
      <c r="N12" s="31" t="s">
        <v>1</v>
      </c>
    </row>
    <row r="13" spans="1:14">
      <c r="A13" s="32"/>
      <c r="B13" s="33"/>
      <c r="C13" s="33"/>
      <c r="D13" s="33"/>
      <c r="E13" s="33"/>
      <c r="F13" s="33"/>
      <c r="G13" s="33"/>
      <c r="H13" s="33"/>
      <c r="I13" s="33"/>
      <c r="J13" s="33"/>
      <c r="K13" s="33"/>
      <c r="L13" s="33"/>
      <c r="M13" s="33"/>
      <c r="N13" s="34"/>
    </row>
    <row r="14" spans="1:14">
      <c r="A14" s="35" t="s">
        <v>0</v>
      </c>
      <c r="B14" s="36"/>
      <c r="C14" s="36"/>
      <c r="D14" s="36"/>
      <c r="E14" s="36"/>
      <c r="F14" s="36"/>
      <c r="G14" s="36"/>
      <c r="H14" s="36"/>
      <c r="I14" s="36"/>
      <c r="J14" s="36"/>
      <c r="K14" s="36"/>
      <c r="L14" s="36"/>
      <c r="M14" s="36"/>
      <c r="N14" s="37"/>
    </row>
    <row r="15" spans="1:14">
      <c r="A15" s="38" t="s">
        <v>36</v>
      </c>
      <c r="B15" s="55">
        <v>28498.959999999999</v>
      </c>
      <c r="C15" s="55">
        <v>9200</v>
      </c>
      <c r="D15" s="55">
        <v>692</v>
      </c>
      <c r="E15" s="55">
        <v>1009</v>
      </c>
      <c r="F15" s="56">
        <v>-20</v>
      </c>
      <c r="G15" s="55">
        <v>6910</v>
      </c>
      <c r="H15" s="55">
        <v>2101.5</v>
      </c>
      <c r="I15" s="55">
        <v>-155</v>
      </c>
      <c r="J15" s="55">
        <v>0</v>
      </c>
      <c r="K15" s="55">
        <v>0</v>
      </c>
      <c r="L15" s="55">
        <v>0</v>
      </c>
      <c r="M15" s="55">
        <v>0</v>
      </c>
      <c r="N15" s="57">
        <f>SUM(B15:M15)</f>
        <v>48236.46</v>
      </c>
    </row>
    <row r="16" spans="1:14">
      <c r="A16" s="38" t="s">
        <v>22</v>
      </c>
      <c r="B16" s="55">
        <v>0</v>
      </c>
      <c r="C16" s="55">
        <v>0</v>
      </c>
      <c r="D16" s="55">
        <v>0</v>
      </c>
      <c r="E16" s="55">
        <v>0</v>
      </c>
      <c r="F16" s="55">
        <v>0</v>
      </c>
      <c r="G16" s="55">
        <v>0</v>
      </c>
      <c r="H16" s="55">
        <v>0</v>
      </c>
      <c r="I16" s="55">
        <v>0</v>
      </c>
      <c r="J16" s="55">
        <v>0</v>
      </c>
      <c r="K16" s="55">
        <v>0</v>
      </c>
      <c r="L16" s="55">
        <v>0</v>
      </c>
      <c r="M16" s="55">
        <v>0</v>
      </c>
      <c r="N16" s="58">
        <f>SUM(B16:M16)</f>
        <v>0</v>
      </c>
    </row>
    <row r="17" spans="1:14" ht="13" thickBot="1">
      <c r="A17" s="39" t="s">
        <v>9</v>
      </c>
      <c r="B17" s="55">
        <v>0</v>
      </c>
      <c r="C17" s="55">
        <v>0</v>
      </c>
      <c r="D17" s="55">
        <v>0</v>
      </c>
      <c r="E17" s="55">
        <v>0</v>
      </c>
      <c r="F17" s="55">
        <v>0</v>
      </c>
      <c r="G17" s="55">
        <v>0</v>
      </c>
      <c r="H17" s="55">
        <v>0</v>
      </c>
      <c r="I17" s="55">
        <v>0</v>
      </c>
      <c r="J17" s="55">
        <v>0</v>
      </c>
      <c r="K17" s="55">
        <v>0</v>
      </c>
      <c r="L17" s="55">
        <v>0</v>
      </c>
      <c r="M17" s="55">
        <v>0</v>
      </c>
      <c r="N17" s="58">
        <v>0</v>
      </c>
    </row>
    <row r="18" spans="1:14" ht="13" thickBot="1">
      <c r="A18" s="40" t="s">
        <v>2</v>
      </c>
      <c r="B18" s="59">
        <f>SUM(B15:B17)</f>
        <v>28498.959999999999</v>
      </c>
      <c r="C18" s="59">
        <f>SUM(C15:C17)</f>
        <v>9200</v>
      </c>
      <c r="D18" s="59">
        <f>SUM(D15:D17)</f>
        <v>692</v>
      </c>
      <c r="E18" s="59">
        <f>SUM(E15:E17)</f>
        <v>1009</v>
      </c>
      <c r="F18" s="59">
        <v>-20</v>
      </c>
      <c r="G18" s="59">
        <v>6910</v>
      </c>
      <c r="H18" s="59">
        <v>2101.5</v>
      </c>
      <c r="I18" s="59">
        <v>-155</v>
      </c>
      <c r="J18" s="59">
        <f>SUM(J15:J17)</f>
        <v>0</v>
      </c>
      <c r="K18" s="59">
        <f>SUM(K15:K17)</f>
        <v>0</v>
      </c>
      <c r="L18" s="59">
        <f>SUM(L15:L17)</f>
        <v>0</v>
      </c>
      <c r="M18" s="59">
        <f>SUM(M15:M17)</f>
        <v>0</v>
      </c>
      <c r="N18" s="60">
        <f>SUM(B18:M18)</f>
        <v>48236.46</v>
      </c>
    </row>
    <row r="19" spans="1:14">
      <c r="A19" s="41"/>
      <c r="B19" s="61"/>
      <c r="C19" s="62"/>
      <c r="D19" s="62"/>
      <c r="E19" s="62"/>
      <c r="F19" s="62"/>
      <c r="G19" s="62"/>
      <c r="H19" s="62"/>
      <c r="I19" s="62"/>
      <c r="J19" s="62"/>
      <c r="K19" s="62"/>
      <c r="L19" s="62"/>
      <c r="M19" s="62"/>
      <c r="N19" s="63"/>
    </row>
    <row r="20" spans="1:14">
      <c r="A20" s="42" t="s">
        <v>33</v>
      </c>
      <c r="B20" s="64"/>
      <c r="C20" s="64"/>
      <c r="D20" s="64"/>
      <c r="E20" s="64"/>
      <c r="F20" s="64"/>
      <c r="G20" s="64"/>
      <c r="H20" s="64"/>
      <c r="I20" s="64"/>
      <c r="J20" s="64"/>
      <c r="K20" s="64"/>
      <c r="L20" s="64"/>
      <c r="M20" s="64"/>
      <c r="N20" s="65"/>
    </row>
    <row r="21" spans="1:14">
      <c r="A21" s="43" t="s">
        <v>3</v>
      </c>
      <c r="B21" s="55">
        <v>0</v>
      </c>
      <c r="C21" s="55">
        <v>277.64</v>
      </c>
      <c r="D21" s="55">
        <v>277.63</v>
      </c>
      <c r="E21" s="55">
        <v>277.54000000000002</v>
      </c>
      <c r="F21" s="55">
        <v>277.63</v>
      </c>
      <c r="G21" s="55">
        <v>277.64</v>
      </c>
      <c r="H21" s="55">
        <v>277.64</v>
      </c>
      <c r="I21" s="55">
        <v>277.63</v>
      </c>
      <c r="J21" s="55">
        <v>0</v>
      </c>
      <c r="K21" s="55">
        <v>0</v>
      </c>
      <c r="L21" s="55">
        <v>0</v>
      </c>
      <c r="M21" s="55">
        <v>0</v>
      </c>
      <c r="N21" s="58">
        <f t="shared" ref="N21:N32" si="0">SUM(B21:M21)</f>
        <v>1943.35</v>
      </c>
    </row>
    <row r="22" spans="1:14">
      <c r="A22" s="38" t="s">
        <v>23</v>
      </c>
      <c r="B22" s="55">
        <v>0</v>
      </c>
      <c r="C22" s="56">
        <v>810.17</v>
      </c>
      <c r="D22" s="55">
        <v>54.57</v>
      </c>
      <c r="E22" s="55">
        <v>0</v>
      </c>
      <c r="F22" s="55">
        <v>0</v>
      </c>
      <c r="G22" s="55">
        <v>0</v>
      </c>
      <c r="H22" s="55">
        <v>672.16</v>
      </c>
      <c r="I22" s="55">
        <v>0</v>
      </c>
      <c r="J22" s="55">
        <v>0</v>
      </c>
      <c r="K22" s="55">
        <v>0</v>
      </c>
      <c r="L22" s="55">
        <v>0</v>
      </c>
      <c r="M22" s="55">
        <v>0</v>
      </c>
      <c r="N22" s="58">
        <f t="shared" si="0"/>
        <v>1536.9</v>
      </c>
    </row>
    <row r="23" spans="1:14">
      <c r="A23" s="38" t="s">
        <v>24</v>
      </c>
      <c r="B23" s="55">
        <v>0</v>
      </c>
      <c r="C23" s="55">
        <v>0</v>
      </c>
      <c r="D23" s="55">
        <v>0</v>
      </c>
      <c r="E23" s="55">
        <v>0</v>
      </c>
      <c r="F23" s="55">
        <v>2.75</v>
      </c>
      <c r="G23" s="55">
        <v>1.5</v>
      </c>
      <c r="H23" s="55">
        <v>2.58</v>
      </c>
      <c r="I23" s="55">
        <v>0</v>
      </c>
      <c r="J23" s="55">
        <v>0</v>
      </c>
      <c r="K23" s="55">
        <v>0</v>
      </c>
      <c r="L23" s="55">
        <v>0</v>
      </c>
      <c r="M23" s="55">
        <v>0</v>
      </c>
      <c r="N23" s="58">
        <f t="shared" si="0"/>
        <v>6.83</v>
      </c>
    </row>
    <row r="24" spans="1:14">
      <c r="A24" s="38" t="s">
        <v>25</v>
      </c>
      <c r="B24" s="55">
        <v>0</v>
      </c>
      <c r="C24" s="55">
        <v>0</v>
      </c>
      <c r="D24" s="55">
        <v>0</v>
      </c>
      <c r="E24" s="55">
        <v>0</v>
      </c>
      <c r="F24" s="55">
        <v>0</v>
      </c>
      <c r="G24" s="55">
        <v>0</v>
      </c>
      <c r="H24" s="55">
        <v>0</v>
      </c>
      <c r="I24" s="55">
        <v>0</v>
      </c>
      <c r="J24" s="55">
        <v>0</v>
      </c>
      <c r="K24" s="55">
        <v>0</v>
      </c>
      <c r="L24" s="55">
        <v>0</v>
      </c>
      <c r="M24" s="55">
        <v>0</v>
      </c>
      <c r="N24" s="58">
        <f t="shared" si="0"/>
        <v>0</v>
      </c>
    </row>
    <row r="25" spans="1:14">
      <c r="A25" s="44" t="s">
        <v>26</v>
      </c>
      <c r="B25" s="64">
        <v>220</v>
      </c>
      <c r="C25" s="64">
        <v>0</v>
      </c>
      <c r="D25" s="64">
        <v>0</v>
      </c>
      <c r="E25" s="64">
        <v>0</v>
      </c>
      <c r="F25" s="64">
        <v>527.79</v>
      </c>
      <c r="G25" s="64">
        <v>0</v>
      </c>
      <c r="H25" s="64">
        <v>3174.34</v>
      </c>
      <c r="I25" s="64">
        <v>0</v>
      </c>
      <c r="J25" s="64">
        <v>0</v>
      </c>
      <c r="K25" s="64">
        <v>0</v>
      </c>
      <c r="L25" s="64">
        <v>0</v>
      </c>
      <c r="M25" s="64">
        <v>0</v>
      </c>
      <c r="N25" s="58">
        <f t="shared" si="0"/>
        <v>3922.13</v>
      </c>
    </row>
    <row r="26" spans="1:14">
      <c r="A26" s="44" t="s">
        <v>27</v>
      </c>
      <c r="B26" s="55">
        <v>0</v>
      </c>
      <c r="C26" s="55">
        <v>0</v>
      </c>
      <c r="D26" s="55">
        <v>0</v>
      </c>
      <c r="E26" s="55">
        <v>0</v>
      </c>
      <c r="F26" s="55">
        <v>0</v>
      </c>
      <c r="G26" s="55">
        <v>0</v>
      </c>
      <c r="H26" s="55">
        <v>0</v>
      </c>
      <c r="I26" s="55">
        <v>0</v>
      </c>
      <c r="J26" s="55">
        <v>0</v>
      </c>
      <c r="K26" s="55">
        <v>0</v>
      </c>
      <c r="L26" s="55">
        <v>0</v>
      </c>
      <c r="M26" s="55">
        <v>0</v>
      </c>
      <c r="N26" s="58">
        <f t="shared" si="0"/>
        <v>0</v>
      </c>
    </row>
    <row r="27" spans="1:14">
      <c r="A27" s="44" t="s">
        <v>30</v>
      </c>
      <c r="B27" s="55">
        <v>66.95</v>
      </c>
      <c r="C27" s="55">
        <v>0</v>
      </c>
      <c r="D27" s="55">
        <v>0</v>
      </c>
      <c r="E27" s="55">
        <v>0</v>
      </c>
      <c r="F27" s="55">
        <v>0</v>
      </c>
      <c r="G27" s="55">
        <v>8.06</v>
      </c>
      <c r="H27" s="55">
        <v>1749.98</v>
      </c>
      <c r="I27" s="55">
        <v>55.9</v>
      </c>
      <c r="J27" s="55">
        <v>0</v>
      </c>
      <c r="K27" s="55">
        <v>0</v>
      </c>
      <c r="L27" s="55">
        <v>0</v>
      </c>
      <c r="M27" s="55">
        <v>0</v>
      </c>
      <c r="N27" s="58">
        <f t="shared" si="0"/>
        <v>1880.89</v>
      </c>
    </row>
    <row r="28" spans="1:14">
      <c r="A28" s="44" t="s">
        <v>28</v>
      </c>
      <c r="B28" s="55">
        <v>0</v>
      </c>
      <c r="C28" s="55">
        <v>0</v>
      </c>
      <c r="D28" s="55">
        <v>0</v>
      </c>
      <c r="E28" s="55">
        <v>0</v>
      </c>
      <c r="F28" s="55">
        <v>0</v>
      </c>
      <c r="G28" s="55">
        <v>0</v>
      </c>
      <c r="H28" s="55">
        <v>0</v>
      </c>
      <c r="I28" s="55">
        <v>0</v>
      </c>
      <c r="J28" s="55">
        <v>0</v>
      </c>
      <c r="K28" s="55">
        <v>0</v>
      </c>
      <c r="L28" s="55">
        <v>0</v>
      </c>
      <c r="M28" s="55">
        <v>0</v>
      </c>
      <c r="N28" s="58">
        <f t="shared" si="0"/>
        <v>0</v>
      </c>
    </row>
    <row r="29" spans="1:14">
      <c r="A29" s="44" t="s">
        <v>29</v>
      </c>
      <c r="B29" s="55">
        <v>0</v>
      </c>
      <c r="C29" s="55">
        <v>0</v>
      </c>
      <c r="D29" s="55">
        <v>0</v>
      </c>
      <c r="E29" s="55">
        <v>0</v>
      </c>
      <c r="F29" s="55">
        <v>0</v>
      </c>
      <c r="G29" s="55">
        <v>0</v>
      </c>
      <c r="H29" s="55">
        <v>0</v>
      </c>
      <c r="I29" s="55">
        <v>302</v>
      </c>
      <c r="J29" s="55">
        <v>0</v>
      </c>
      <c r="K29" s="55">
        <v>0</v>
      </c>
      <c r="L29" s="55">
        <v>0</v>
      </c>
      <c r="M29" s="55">
        <v>0</v>
      </c>
      <c r="N29" s="58">
        <f t="shared" si="0"/>
        <v>302</v>
      </c>
    </row>
    <row r="30" spans="1:14">
      <c r="A30" s="45" t="s">
        <v>4</v>
      </c>
      <c r="B30" s="66">
        <v>0</v>
      </c>
      <c r="C30" s="66">
        <v>0</v>
      </c>
      <c r="D30" s="66">
        <v>0</v>
      </c>
      <c r="E30" s="66">
        <v>0</v>
      </c>
      <c r="F30" s="66">
        <v>0</v>
      </c>
      <c r="G30" s="66">
        <v>0</v>
      </c>
      <c r="H30" s="66">
        <v>0</v>
      </c>
      <c r="I30" s="66">
        <v>0</v>
      </c>
      <c r="J30" s="66">
        <v>0</v>
      </c>
      <c r="K30" s="66">
        <v>0</v>
      </c>
      <c r="L30" s="66">
        <v>0</v>
      </c>
      <c r="M30" s="66">
        <v>0</v>
      </c>
      <c r="N30" s="58">
        <f t="shared" si="0"/>
        <v>0</v>
      </c>
    </row>
    <row r="31" spans="1:14">
      <c r="A31" s="43" t="s">
        <v>5</v>
      </c>
      <c r="B31" s="55">
        <v>0</v>
      </c>
      <c r="C31" s="55">
        <v>0</v>
      </c>
      <c r="D31" s="55">
        <v>0</v>
      </c>
      <c r="E31" s="55">
        <v>0</v>
      </c>
      <c r="F31" s="55">
        <v>0</v>
      </c>
      <c r="G31" s="55">
        <v>0</v>
      </c>
      <c r="H31" s="55">
        <v>0</v>
      </c>
      <c r="I31" s="55">
        <v>0</v>
      </c>
      <c r="J31" s="55">
        <v>0</v>
      </c>
      <c r="K31" s="55">
        <v>0</v>
      </c>
      <c r="L31" s="55">
        <v>0</v>
      </c>
      <c r="M31" s="55">
        <v>0</v>
      </c>
      <c r="N31" s="58">
        <f t="shared" si="0"/>
        <v>0</v>
      </c>
    </row>
    <row r="32" spans="1:14">
      <c r="A32" s="38" t="s">
        <v>31</v>
      </c>
      <c r="B32" s="55">
        <v>0</v>
      </c>
      <c r="C32" s="55">
        <v>233.31</v>
      </c>
      <c r="D32" s="55">
        <v>0</v>
      </c>
      <c r="E32" s="55">
        <v>0</v>
      </c>
      <c r="F32" s="55">
        <v>0</v>
      </c>
      <c r="G32" s="55">
        <v>0</v>
      </c>
      <c r="H32" s="55">
        <v>968</v>
      </c>
      <c r="I32" s="55">
        <v>635.91</v>
      </c>
      <c r="J32" s="55">
        <v>0</v>
      </c>
      <c r="K32" s="55">
        <v>0</v>
      </c>
      <c r="L32" s="55">
        <v>0</v>
      </c>
      <c r="M32" s="55">
        <v>0</v>
      </c>
      <c r="N32" s="58">
        <f t="shared" si="0"/>
        <v>1837.2199999999998</v>
      </c>
    </row>
    <row r="33" spans="1:14">
      <c r="A33" s="43" t="s">
        <v>6</v>
      </c>
      <c r="B33" s="55">
        <v>0</v>
      </c>
      <c r="C33" s="55">
        <v>0</v>
      </c>
      <c r="D33" s="55">
        <v>0</v>
      </c>
      <c r="E33" s="55">
        <v>0</v>
      </c>
      <c r="F33" s="55">
        <v>0</v>
      </c>
      <c r="G33" s="55">
        <v>0</v>
      </c>
      <c r="H33" s="55">
        <v>0</v>
      </c>
      <c r="I33" s="55">
        <v>0</v>
      </c>
      <c r="J33" s="55">
        <v>0</v>
      </c>
      <c r="K33" s="55">
        <v>0</v>
      </c>
      <c r="L33" s="55">
        <v>0</v>
      </c>
      <c r="M33" s="55">
        <v>0</v>
      </c>
      <c r="N33" s="58">
        <v>0</v>
      </c>
    </row>
    <row r="34" spans="1:14">
      <c r="A34" s="46" t="s">
        <v>7</v>
      </c>
      <c r="B34" s="55">
        <v>13989.15</v>
      </c>
      <c r="C34" s="55">
        <v>13989.15</v>
      </c>
      <c r="D34" s="55">
        <v>0</v>
      </c>
      <c r="E34" s="55">
        <v>0</v>
      </c>
      <c r="F34" s="55">
        <v>274.81</v>
      </c>
      <c r="G34" s="55">
        <v>0</v>
      </c>
      <c r="H34" s="55">
        <v>0</v>
      </c>
      <c r="I34" s="55">
        <v>197.99</v>
      </c>
      <c r="J34" s="55">
        <v>0</v>
      </c>
      <c r="K34" s="55">
        <v>0</v>
      </c>
      <c r="L34" s="55">
        <v>0</v>
      </c>
      <c r="M34" s="55">
        <v>0</v>
      </c>
      <c r="N34" s="58">
        <f>SUM(B34:M34)</f>
        <v>28451.100000000002</v>
      </c>
    </row>
    <row r="35" spans="1:14">
      <c r="A35" s="47" t="s">
        <v>41</v>
      </c>
      <c r="B35" s="55">
        <v>0</v>
      </c>
      <c r="C35" s="55">
        <v>0</v>
      </c>
      <c r="D35" s="55">
        <v>203.79</v>
      </c>
      <c r="E35" s="55">
        <v>-7.41</v>
      </c>
      <c r="F35" s="55">
        <v>20.81</v>
      </c>
      <c r="G35" s="55">
        <v>291.27</v>
      </c>
      <c r="H35" s="55">
        <v>92.6</v>
      </c>
      <c r="I35" s="55">
        <v>85.1</v>
      </c>
      <c r="J35" s="55">
        <v>0</v>
      </c>
      <c r="K35" s="55">
        <v>0</v>
      </c>
      <c r="L35" s="55">
        <v>0</v>
      </c>
      <c r="M35" s="55">
        <v>0</v>
      </c>
      <c r="N35" s="58">
        <f>SUM(B35:M35)</f>
        <v>686.16</v>
      </c>
    </row>
    <row r="36" spans="1:14">
      <c r="A36" s="38" t="s">
        <v>8</v>
      </c>
      <c r="B36" s="55">
        <v>0</v>
      </c>
      <c r="C36" s="55">
        <v>0</v>
      </c>
      <c r="D36" s="55">
        <v>0</v>
      </c>
      <c r="E36" s="55">
        <v>0</v>
      </c>
      <c r="F36" s="55">
        <v>0</v>
      </c>
      <c r="G36" s="55">
        <v>0</v>
      </c>
      <c r="H36" s="55">
        <v>0</v>
      </c>
      <c r="I36" s="55">
        <v>0</v>
      </c>
      <c r="J36" s="55">
        <v>0</v>
      </c>
      <c r="K36" s="55">
        <v>0</v>
      </c>
      <c r="L36" s="55">
        <v>0</v>
      </c>
      <c r="M36" s="55">
        <v>0</v>
      </c>
      <c r="N36" s="58">
        <f>SUM(B36:M36)</f>
        <v>0</v>
      </c>
    </row>
    <row r="37" spans="1:14" ht="13" thickBot="1">
      <c r="A37" s="38" t="s">
        <v>32</v>
      </c>
      <c r="B37" s="66"/>
      <c r="C37" s="66"/>
      <c r="D37" s="66"/>
      <c r="E37" s="66"/>
      <c r="F37" s="66"/>
      <c r="G37" s="66"/>
      <c r="H37" s="66"/>
      <c r="I37" s="66"/>
      <c r="J37" s="66"/>
      <c r="K37" s="66"/>
      <c r="L37" s="66"/>
      <c r="M37" s="66"/>
      <c r="N37" s="58">
        <v>0</v>
      </c>
    </row>
    <row r="38" spans="1:14" ht="13" thickBot="1">
      <c r="A38" s="48" t="s">
        <v>39</v>
      </c>
      <c r="B38" s="59">
        <f>SUM(B21:B37)</f>
        <v>14276.1</v>
      </c>
      <c r="C38" s="59">
        <f>SUM(C21:C37)</f>
        <v>15310.27</v>
      </c>
      <c r="D38" s="59">
        <f t="shared" ref="D38:M38" si="1">SUM(D21:D36)</f>
        <v>535.99</v>
      </c>
      <c r="E38" s="59">
        <f t="shared" si="1"/>
        <v>270.13</v>
      </c>
      <c r="F38" s="59">
        <f t="shared" si="1"/>
        <v>1103.79</v>
      </c>
      <c r="G38" s="59">
        <f t="shared" si="1"/>
        <v>578.47</v>
      </c>
      <c r="H38" s="59">
        <f t="shared" si="1"/>
        <v>6937.3000000000011</v>
      </c>
      <c r="I38" s="59">
        <f t="shared" si="1"/>
        <v>1554.53</v>
      </c>
      <c r="J38" s="59">
        <f t="shared" si="1"/>
        <v>0</v>
      </c>
      <c r="K38" s="59">
        <f t="shared" si="1"/>
        <v>0</v>
      </c>
      <c r="L38" s="59">
        <f t="shared" si="1"/>
        <v>0</v>
      </c>
      <c r="M38" s="59">
        <f t="shared" si="1"/>
        <v>0</v>
      </c>
      <c r="N38" s="67">
        <f>SUM(N21:N37)</f>
        <v>40566.58</v>
      </c>
    </row>
    <row r="39" spans="1:14">
      <c r="A39" s="49"/>
      <c r="B39" s="68"/>
      <c r="C39" s="68"/>
      <c r="D39" s="68"/>
      <c r="E39" s="68"/>
      <c r="F39" s="68"/>
      <c r="G39" s="68"/>
      <c r="H39" s="68"/>
      <c r="I39" s="68"/>
      <c r="J39" s="68"/>
      <c r="K39" s="68"/>
      <c r="L39" s="68"/>
      <c r="M39" s="68"/>
      <c r="N39" s="69"/>
    </row>
    <row r="40" spans="1:14">
      <c r="A40" s="50" t="s">
        <v>37</v>
      </c>
      <c r="B40" s="70">
        <f>B18-B38</f>
        <v>14222.859999999999</v>
      </c>
      <c r="C40" s="70">
        <f>C18-C38</f>
        <v>-6110.27</v>
      </c>
      <c r="D40" s="70">
        <f>D18-D38</f>
        <v>156.01</v>
      </c>
      <c r="E40" s="70">
        <f>E18-E38</f>
        <v>738.87</v>
      </c>
      <c r="F40" s="70">
        <f t="shared" ref="F40:N40" si="2">F18-F38</f>
        <v>-1123.79</v>
      </c>
      <c r="G40" s="70">
        <f t="shared" si="2"/>
        <v>6331.53</v>
      </c>
      <c r="H40" s="70">
        <f t="shared" si="2"/>
        <v>-4835.8000000000011</v>
      </c>
      <c r="I40" s="70">
        <f t="shared" si="2"/>
        <v>-1709.53</v>
      </c>
      <c r="J40" s="70">
        <f t="shared" si="2"/>
        <v>0</v>
      </c>
      <c r="K40" s="70">
        <f t="shared" si="2"/>
        <v>0</v>
      </c>
      <c r="L40" s="70">
        <f t="shared" si="2"/>
        <v>0</v>
      </c>
      <c r="M40" s="70">
        <f t="shared" si="2"/>
        <v>0</v>
      </c>
      <c r="N40" s="70">
        <f t="shared" si="2"/>
        <v>7669.8799999999974</v>
      </c>
    </row>
    <row r="41" spans="1:14">
      <c r="A41" s="51"/>
      <c r="B41" s="71"/>
      <c r="C41" s="71"/>
      <c r="D41" s="71"/>
      <c r="E41" s="71"/>
      <c r="F41" s="71"/>
      <c r="G41" s="71"/>
      <c r="H41" s="71"/>
      <c r="I41" s="71"/>
      <c r="J41" s="71"/>
      <c r="K41" s="71"/>
      <c r="L41" s="71"/>
      <c r="M41" s="71"/>
      <c r="N41" s="72"/>
    </row>
    <row r="42" spans="1:14">
      <c r="A42" s="52" t="s">
        <v>38</v>
      </c>
      <c r="B42" s="73">
        <f>B18-B38</f>
        <v>14222.859999999999</v>
      </c>
      <c r="C42" s="73">
        <f>B42+C18-C38</f>
        <v>8112.59</v>
      </c>
      <c r="D42" s="73">
        <f>C42+D18-D38</f>
        <v>8268.6</v>
      </c>
      <c r="E42" s="73">
        <f>D42+E18-E38</f>
        <v>9007.4700000000012</v>
      </c>
      <c r="F42" s="73">
        <f t="shared" ref="F42:M42" si="3">E42+F18-F38</f>
        <v>7883.6800000000012</v>
      </c>
      <c r="G42" s="73">
        <f t="shared" si="3"/>
        <v>14215.210000000001</v>
      </c>
      <c r="H42" s="73">
        <f t="shared" si="3"/>
        <v>9379.41</v>
      </c>
      <c r="I42" s="73">
        <f t="shared" si="3"/>
        <v>7669.88</v>
      </c>
      <c r="J42" s="73">
        <f t="shared" si="3"/>
        <v>7669.88</v>
      </c>
      <c r="K42" s="73">
        <f t="shared" si="3"/>
        <v>7669.88</v>
      </c>
      <c r="L42" s="73">
        <f t="shared" si="3"/>
        <v>7669.88</v>
      </c>
      <c r="M42" s="73">
        <f t="shared" si="3"/>
        <v>7669.88</v>
      </c>
      <c r="N42" s="74"/>
    </row>
  </sheetData>
  <mergeCells count="1">
    <mergeCell ref="A6:J6"/>
  </mergeCells>
  <phoneticPr fontId="15"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15"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15"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MSU-Northern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campbellm</dc:creator>
  <cp:lastModifiedBy>Carina Negreanu</cp:lastModifiedBy>
  <dcterms:created xsi:type="dcterms:W3CDTF">2004-03-12T14:46:30Z</dcterms:created>
  <dcterms:modified xsi:type="dcterms:W3CDTF">2020-01-27T11:36:08Z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-193597560</vt:i4>
  </property>
  <property fmtid="{D5CDD505-2E9C-101B-9397-08002B2CF9AE}" pid="3" name="_EmailSubject">
    <vt:lpwstr>knmc report</vt:lpwstr>
  </property>
  <property fmtid="{D5CDD505-2E9C-101B-9397-08002B2CF9AE}" pid="4" name="_AuthorEmail">
    <vt:lpwstr>campbellm@msun.edu</vt:lpwstr>
  </property>
  <property fmtid="{D5CDD505-2E9C-101B-9397-08002B2CF9AE}" pid="5" name="_AuthorEmailDisplayName">
    <vt:lpwstr>Mike Campbell</vt:lpwstr>
  </property>
  <property fmtid="{D5CDD505-2E9C-101B-9397-08002B2CF9AE}" pid="6" name="_ReviewingToolsShownOnce">
    <vt:lpwstr/>
  </property>
</Properties>
</file>