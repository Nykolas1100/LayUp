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Objects="placeholder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81AB15-83DC-49A0-B420-9502A9007D67}" xr6:coauthVersionLast="45" xr6:coauthVersionMax="45" xr10:uidLastSave="{00000000-0000-0000-0000-000000000000}"/>
  <bookViews>
    <workbookView xWindow="3420" yWindow="3420" windowWidth="28800" windowHeight="15460" tabRatio="209"/>
  </bookViews>
  <sheets>
    <sheet name="student" sheetId="2" r:id="rId1"/>
    <sheet name="Spring2004" sheetId="1" r:id="rId2"/>
  </sheets>
  <definedNames>
    <definedName name="_xlnm._FilterDatabase" localSheetId="1" hidden="1">Spring2004!$A$24:$AF$51</definedName>
    <definedName name="_Key1" localSheetId="1" hidden="1">Spring2004!#REF!</definedName>
    <definedName name="_Order1" localSheetId="1" hidden="1">255</definedName>
    <definedName name="_Regression_Int" localSheetId="1" hidden="1">1</definedName>
    <definedName name="_Sort" localSheetId="1" hidden="1">Spring2004!#REF!</definedName>
    <definedName name="Print_Area_MI">Spring2004!#REF!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W25" i="1"/>
  <c r="X25" i="1"/>
  <c r="V25" i="1" s="1"/>
  <c r="W26" i="1"/>
  <c r="V26" i="1" s="1"/>
  <c r="X26" i="1"/>
  <c r="W27" i="1"/>
  <c r="V27" i="1" s="1"/>
  <c r="X27" i="1"/>
  <c r="W28" i="1"/>
  <c r="V28" i="1" s="1"/>
  <c r="X28" i="1"/>
  <c r="W29" i="1"/>
  <c r="V29" i="1" s="1"/>
  <c r="X29" i="1"/>
  <c r="W30" i="1"/>
  <c r="V30" i="1" s="1"/>
  <c r="X30" i="1"/>
  <c r="W31" i="1"/>
  <c r="V31" i="1" s="1"/>
  <c r="X31" i="1"/>
  <c r="W32" i="1"/>
  <c r="V32" i="1" s="1"/>
  <c r="X32" i="1"/>
  <c r="W33" i="1"/>
  <c r="V33" i="1" s="1"/>
  <c r="X33" i="1"/>
  <c r="W34" i="1"/>
  <c r="V34" i="1" s="1"/>
  <c r="X34" i="1"/>
  <c r="W35" i="1"/>
  <c r="V35" i="1" s="1"/>
  <c r="X35" i="1"/>
  <c r="W36" i="1"/>
  <c r="V36" i="1" s="1"/>
  <c r="X36" i="1"/>
  <c r="W37" i="1"/>
  <c r="V37" i="1" s="1"/>
  <c r="X37" i="1"/>
  <c r="W38" i="1"/>
  <c r="V38" i="1" s="1"/>
  <c r="X38" i="1"/>
  <c r="W39" i="1"/>
  <c r="V39" i="1" s="1"/>
  <c r="X39" i="1"/>
  <c r="W40" i="1"/>
  <c r="V40" i="1" s="1"/>
  <c r="X40" i="1"/>
  <c r="W41" i="1"/>
  <c r="V41" i="1" s="1"/>
  <c r="X41" i="1"/>
  <c r="V42" i="1"/>
  <c r="W42" i="1"/>
  <c r="X42" i="1"/>
  <c r="W43" i="1"/>
  <c r="V43" i="1" s="1"/>
  <c r="X43" i="1"/>
  <c r="W44" i="1"/>
  <c r="V44" i="1" s="1"/>
  <c r="X44" i="1"/>
  <c r="W45" i="1"/>
  <c r="V45" i="1" s="1"/>
  <c r="X45" i="1"/>
  <c r="W46" i="1"/>
  <c r="V46" i="1" s="1"/>
  <c r="X46" i="1"/>
  <c r="W47" i="1"/>
  <c r="V47" i="1" s="1"/>
  <c r="X47" i="1"/>
  <c r="W48" i="1"/>
  <c r="V48" i="1" s="1"/>
  <c r="X48" i="1"/>
  <c r="W49" i="1"/>
  <c r="X49" i="1"/>
  <c r="V49" i="1" s="1"/>
  <c r="W50" i="1"/>
  <c r="V50" i="1" s="1"/>
  <c r="X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Y51" i="1"/>
  <c r="E10" i="2" s="1"/>
  <c r="Z51" i="1"/>
  <c r="F10" i="2" s="1"/>
  <c r="AA51" i="1"/>
  <c r="E11" i="2" s="1"/>
  <c r="AB51" i="1"/>
  <c r="F11" i="2" s="1"/>
  <c r="AC51" i="1"/>
  <c r="E12" i="2" s="1"/>
  <c r="AD51" i="1"/>
  <c r="F12" i="2" s="1"/>
  <c r="AE51" i="1"/>
  <c r="AF51" i="1"/>
  <c r="AG51" i="1"/>
  <c r="B6" i="2"/>
  <c r="B7" i="2" s="1"/>
  <c r="B8" i="2"/>
  <c r="B10" i="2"/>
  <c r="C10" i="2"/>
  <c r="B11" i="2"/>
  <c r="C11" i="2"/>
  <c r="B12" i="2"/>
  <c r="C12" i="2"/>
  <c r="B13" i="2"/>
  <c r="C13" i="2"/>
  <c r="E13" i="2"/>
  <c r="F13" i="2"/>
  <c r="B15" i="2"/>
  <c r="B16" i="2"/>
  <c r="X51" i="1" l="1"/>
  <c r="E15" i="2" s="1"/>
  <c r="W51" i="1"/>
  <c r="E16" i="2" l="1"/>
  <c r="V51" i="1"/>
  <c r="E6" i="2" s="1"/>
  <c r="E7" i="2" s="1"/>
</calcChain>
</file>

<file path=xl/sharedStrings.xml><?xml version="1.0" encoding="utf-8"?>
<sst xmlns="http://schemas.openxmlformats.org/spreadsheetml/2006/main" count="79" uniqueCount="49">
  <si>
    <t>10</t>
  </si>
  <si>
    <t>Final</t>
  </si>
  <si>
    <t>Student ID</t>
  </si>
  <si>
    <t>Homework</t>
  </si>
  <si>
    <t xml:space="preserve">Total </t>
  </si>
  <si>
    <t>Class Average</t>
  </si>
  <si>
    <t>Current grade</t>
  </si>
  <si>
    <t>Exam #2</t>
  </si>
  <si>
    <t>Exam #1</t>
  </si>
  <si>
    <t xml:space="preserve">      F</t>
  </si>
  <si>
    <t xml:space="preserve">      D</t>
  </si>
  <si>
    <t xml:space="preserve">      C</t>
  </si>
  <si>
    <t xml:space="preserve">      C+</t>
  </si>
  <si>
    <t xml:space="preserve">      B-</t>
  </si>
  <si>
    <t xml:space="preserve">      B</t>
  </si>
  <si>
    <t xml:space="preserve">      B+</t>
  </si>
  <si>
    <t xml:space="preserve">      A-</t>
  </si>
  <si>
    <t xml:space="preserve">      A</t>
  </si>
  <si>
    <t>GRADE CALCULATOR</t>
  </si>
  <si>
    <t xml:space="preserve">  Your Grade  </t>
  </si>
  <si>
    <t>Multiple Choice</t>
  </si>
  <si>
    <t>Essay</t>
  </si>
  <si>
    <t>Exam 1</t>
  </si>
  <si>
    <t>Exam 2</t>
  </si>
  <si>
    <t>Input Your</t>
  </si>
  <si>
    <t>Student ID # ----------&gt;</t>
  </si>
  <si>
    <t>&lt;----then hit enter to calculate your grade.</t>
  </si>
  <si>
    <t>Your Rank in Class</t>
  </si>
  <si>
    <t>In-Class Tasks</t>
  </si>
  <si>
    <t xml:space="preserve">In-Class Tasks and Pop-quizzes </t>
  </si>
  <si>
    <t>Total</t>
  </si>
  <si>
    <t>Homeworks</t>
  </si>
  <si>
    <t>Rank</t>
  </si>
  <si>
    <t>Your</t>
  </si>
  <si>
    <t>Current points</t>
  </si>
  <si>
    <t>Points</t>
  </si>
  <si>
    <t>Multiple</t>
  </si>
  <si>
    <t>Exam 3</t>
  </si>
  <si>
    <t>Exam #3</t>
  </si>
  <si>
    <t xml:space="preserve">Final Exam </t>
  </si>
  <si>
    <t>* Note - If you would like to protect the privacy of your grade please submit a new ID of your choosing to the Instructor.</t>
  </si>
  <si>
    <t>a</t>
  </si>
  <si>
    <t>a-</t>
  </si>
  <si>
    <t>b+</t>
  </si>
  <si>
    <t>b</t>
  </si>
  <si>
    <t>b-</t>
  </si>
  <si>
    <t>c+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</si>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</sst>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General_)"/>
  </numFmts>
  <fonts count="20" x14ac:knownFonts="1">
    <font>
      <sz val="12"/>
      <name val="Helv"/>
    </font>
    <font>
      <b/>
      <sz val="12"/>
      <name val="Helv"/>
    </font>
    <font>
      <b/>
      <u/>
      <sz val="12"/>
      <name val="Helv"/>
    </font>
    <font>
      <sz val="12"/>
      <name val="Helv"/>
    </font>
    <font>
      <sz val="8"/>
      <name val="Helv"/>
    </font>
    <font>
      <sz val="12"/>
      <color indexed="39"/>
      <name val="Helv"/>
    </font>
    <font>
      <b/>
      <sz val="12"/>
      <color indexed="39"/>
      <name val="Helv"/>
    </font>
    <font>
      <sz val="10"/>
      <name val="Helv"/>
    </font>
    <font>
      <b/>
      <u/>
      <sz val="18"/>
      <color indexed="39"/>
      <name val="Helv"/>
    </font>
    <font>
      <b/>
      <u/>
      <sz val="12"/>
      <color indexed="48"/>
      <name val="Helv"/>
    </font>
    <font>
      <sz val="12"/>
      <color indexed="12"/>
      <name val="Helv"/>
    </font>
    <font>
      <b/>
      <sz val="12"/>
      <color indexed="12"/>
      <name val="Helv"/>
    </font>
    <font>
      <sz val="12"/>
      <color indexed="21"/>
      <name val="Helv"/>
    </font>
    <font>
      <b/>
      <sz val="12"/>
      <color indexed="21"/>
      <name val="Helv"/>
    </font>
    <font>
      <b/>
      <sz val="12"/>
      <name val="Arial"/>
    </font>
    <font>
      <b/>
      <sz val="12"/>
      <color indexed="8"/>
      <name val="Helv"/>
    </font>
    <font>
      <b/>
      <sz val="12"/>
      <color indexed="9"/>
      <name val="Helv"/>
    </font>
    <font>
      <sz val="12"/>
      <color indexed="9"/>
      <name val="Helv"/>
    </font>
    <font>
      <b/>
      <sz val="10"/>
      <color indexed="10"/>
      <name val="Helv"/>
    </font>
    <font>
      <b/>
      <sz val="12"/>
      <color indexed="10"/>
      <name val="Helv"/>
    </font>
  </fonts>
  <fills count="9">
    <fill>
      <patternFill patternType="none"/>
    </fill>
    <fill>
      <patternFill patternType="gray125"/>
    </fill>
    <fill>
      <patternFill patternType="solid">
        <fgColor indexed="15"/>
        <bgColor indexed="9"/>
      </patternFill>
    </fill>
    <fill>
      <patternFill patternType="solid">
        <fgColor indexed="14"/>
        <b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6"/>
        <bgColor indexed="9"/>
      </patternFill>
    </fill>
    <fill>
      <patternFill patternType="solid">
        <fgColor indexed="1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172" fontId="0" fillId="0" borderId="0"/>
  </cellStyleXfs>
  <cellXfs count="58">
    <xf numFmtId="172" fontId="0" fillId="0" borderId="0" xfId="0"/>
    <xf numFmtId="172" fontId="0" fillId="0" borderId="0" xfId="0" applyBorder="1"/>
    <xf numFmtId="172" fontId="7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 applyProtection="1">
      <protection locked="0"/>
    </xf>
    <xf numFmtId="0" fontId="1" fillId="0" borderId="0" xfId="0" applyNumberFormat="1" applyFont="1" applyFill="1" applyBorder="1" applyAlignment="1" applyProtection="1">
      <protection locked="0"/>
    </xf>
    <xf numFmtId="0" fontId="1" fillId="2" borderId="1" xfId="0" applyNumberFormat="1" applyFont="1" applyFill="1" applyBorder="1" applyAlignment="1" applyProtection="1">
      <alignment horizontal="center"/>
      <protection locked="0"/>
    </xf>
    <xf numFmtId="0" fontId="3" fillId="2" borderId="1" xfId="0" applyNumberFormat="1" applyFont="1" applyFill="1" applyBorder="1" applyAlignment="1" applyProtection="1">
      <protection locked="0"/>
    </xf>
    <xf numFmtId="0" fontId="1" fillId="2" borderId="1" xfId="0" applyNumberFormat="1" applyFont="1" applyFill="1" applyBorder="1" applyAlignment="1" applyProtection="1">
      <protection locked="0"/>
    </xf>
    <xf numFmtId="0" fontId="14" fillId="2" borderId="1" xfId="0" applyNumberFormat="1" applyFont="1" applyFill="1" applyBorder="1" applyAlignment="1" applyProtection="1">
      <alignment horizontal="center"/>
      <protection locked="0"/>
    </xf>
    <xf numFmtId="0" fontId="13" fillId="3" borderId="2" xfId="0" applyNumberFormat="1" applyFont="1" applyFill="1" applyBorder="1" applyAlignment="1" applyProtection="1">
      <protection locked="0"/>
    </xf>
    <xf numFmtId="0" fontId="1" fillId="2" borderId="1" xfId="0" applyNumberFormat="1" applyFont="1" applyFill="1" applyBorder="1" applyAlignment="1" applyProtection="1">
      <alignment horizontal="right"/>
      <protection locked="0"/>
    </xf>
    <xf numFmtId="1" fontId="1" fillId="2" borderId="1" xfId="0" applyNumberFormat="1" applyFont="1" applyFill="1" applyBorder="1" applyAlignment="1" applyProtection="1">
      <alignment horizontal="right"/>
      <protection locked="0"/>
    </xf>
    <xf numFmtId="0" fontId="12" fillId="3" borderId="3" xfId="0" applyNumberFormat="1" applyFont="1" applyFill="1" applyBorder="1" applyAlignment="1" applyProtection="1">
      <protection locked="0"/>
    </xf>
    <xf numFmtId="0" fontId="3" fillId="0" borderId="4" xfId="0" applyNumberFormat="1" applyFont="1" applyFill="1" applyBorder="1" applyAlignment="1" applyProtection="1">
      <protection locked="0"/>
    </xf>
    <xf numFmtId="172" fontId="0" fillId="4" borderId="0" xfId="0" applyFill="1"/>
    <xf numFmtId="172" fontId="4" fillId="4" borderId="0" xfId="0" applyFont="1" applyFill="1"/>
    <xf numFmtId="172" fontId="2" fillId="4" borderId="0" xfId="0" applyFont="1" applyFill="1" applyAlignment="1">
      <alignment horizontal="center"/>
    </xf>
    <xf numFmtId="172" fontId="0" fillId="4" borderId="0" xfId="0" applyFill="1" applyBorder="1"/>
    <xf numFmtId="172" fontId="6" fillId="5" borderId="5" xfId="0" applyFont="1" applyFill="1" applyBorder="1"/>
    <xf numFmtId="172" fontId="8" fillId="5" borderId="5" xfId="0" applyFont="1" applyFill="1" applyBorder="1" applyAlignment="1">
      <alignment horizontal="center"/>
    </xf>
    <xf numFmtId="172" fontId="5" fillId="5" borderId="6" xfId="0" applyFont="1" applyFill="1" applyBorder="1"/>
    <xf numFmtId="172" fontId="9" fillId="5" borderId="0" xfId="0" applyFont="1" applyFill="1" applyAlignment="1">
      <alignment horizontal="left"/>
    </xf>
    <xf numFmtId="172" fontId="9" fillId="5" borderId="0" xfId="0" applyFont="1" applyFill="1"/>
    <xf numFmtId="172" fontId="16" fillId="4" borderId="0" xfId="0" applyFont="1" applyFill="1"/>
    <xf numFmtId="172" fontId="16" fillId="4" borderId="0" xfId="0" quotePrefix="1" applyFont="1" applyFill="1"/>
    <xf numFmtId="172" fontId="17" fillId="4" borderId="0" xfId="0" applyFont="1" applyFill="1"/>
    <xf numFmtId="172" fontId="16" fillId="4" borderId="0" xfId="0" applyFont="1" applyFill="1" applyAlignment="1">
      <alignment horizontal="right"/>
    </xf>
    <xf numFmtId="172" fontId="16" fillId="4" borderId="5" xfId="0" applyFont="1" applyFill="1" applyBorder="1" applyAlignment="1">
      <alignment horizontal="center"/>
    </xf>
    <xf numFmtId="172" fontId="16" fillId="4" borderId="0" xfId="0" applyFont="1" applyFill="1" applyBorder="1" applyAlignment="1">
      <alignment horizontal="center"/>
    </xf>
    <xf numFmtId="172" fontId="16" fillId="4" borderId="4" xfId="0" applyFont="1" applyFill="1" applyBorder="1" applyAlignment="1">
      <alignment horizontal="center"/>
    </xf>
    <xf numFmtId="0" fontId="10" fillId="0" borderId="0" xfId="0" applyNumberFormat="1" applyFont="1" applyFill="1" applyBorder="1" applyAlignment="1" applyProtection="1">
      <protection locked="0"/>
    </xf>
    <xf numFmtId="0" fontId="10" fillId="0" borderId="1" xfId="0" applyNumberFormat="1" applyFont="1" applyBorder="1" applyAlignment="1">
      <alignment horizontal="center"/>
    </xf>
    <xf numFmtId="172" fontId="10" fillId="0" borderId="1" xfId="0" applyFont="1" applyBorder="1" applyAlignment="1">
      <alignment horizontal="center"/>
    </xf>
    <xf numFmtId="172" fontId="10" fillId="0" borderId="7" xfId="0" applyFont="1" applyBorder="1" applyAlignment="1">
      <alignment horizontal="center"/>
    </xf>
    <xf numFmtId="2" fontId="10" fillId="0" borderId="1" xfId="0" applyNumberFormat="1" applyFont="1" applyBorder="1" applyAlignment="1" applyProtection="1">
      <alignment horizontal="center"/>
      <protection locked="0"/>
    </xf>
    <xf numFmtId="2" fontId="10" fillId="0" borderId="1" xfId="0" applyNumberFormat="1" applyFont="1" applyBorder="1" applyAlignment="1">
      <alignment horizontal="center"/>
    </xf>
    <xf numFmtId="0" fontId="10" fillId="6" borderId="3" xfId="0" applyNumberFormat="1" applyFont="1" applyFill="1" applyBorder="1" applyAlignment="1" applyProtection="1">
      <protection locked="0"/>
    </xf>
    <xf numFmtId="0" fontId="11" fillId="6" borderId="3" xfId="0" applyNumberFormat="1" applyFont="1" applyFill="1" applyBorder="1" applyAlignment="1" applyProtection="1">
      <protection locked="0"/>
    </xf>
    <xf numFmtId="0" fontId="10" fillId="6" borderId="8" xfId="0" applyNumberFormat="1" applyFont="1" applyFill="1" applyBorder="1" applyAlignment="1" applyProtection="1">
      <protection locked="0"/>
    </xf>
    <xf numFmtId="0" fontId="11" fillId="6" borderId="4" xfId="0" applyNumberFormat="1" applyFont="1" applyFill="1" applyBorder="1" applyAlignment="1" applyProtection="1">
      <alignment horizontal="right"/>
      <protection locked="0"/>
    </xf>
    <xf numFmtId="0" fontId="11" fillId="6" borderId="9" xfId="0" applyNumberFormat="1" applyFont="1" applyFill="1" applyBorder="1" applyAlignment="1" applyProtection="1">
      <alignment horizontal="right"/>
      <protection locked="0"/>
    </xf>
    <xf numFmtId="0" fontId="3" fillId="7" borderId="10" xfId="0" applyNumberFormat="1" applyFont="1" applyFill="1" applyBorder="1" applyAlignment="1" applyProtection="1">
      <protection locked="0"/>
    </xf>
    <xf numFmtId="0" fontId="3" fillId="7" borderId="3" xfId="0" applyNumberFormat="1" applyFont="1" applyFill="1" applyBorder="1" applyAlignment="1" applyProtection="1">
      <protection locked="0"/>
    </xf>
    <xf numFmtId="0" fontId="1" fillId="7" borderId="3" xfId="0" applyNumberFormat="1" applyFont="1" applyFill="1" applyBorder="1" applyAlignment="1" applyProtection="1">
      <alignment horizontal="right"/>
      <protection locked="0"/>
    </xf>
    <xf numFmtId="0" fontId="1" fillId="7" borderId="2" xfId="0" applyNumberFormat="1" applyFont="1" applyFill="1" applyBorder="1" applyAlignment="1" applyProtection="1">
      <alignment horizontal="right"/>
      <protection locked="0"/>
    </xf>
    <xf numFmtId="0" fontId="1" fillId="7" borderId="4" xfId="0" applyNumberFormat="1" applyFont="1" applyFill="1" applyBorder="1" applyAlignment="1" applyProtection="1">
      <alignment horizontal="right"/>
      <protection locked="0"/>
    </xf>
    <xf numFmtId="0" fontId="1" fillId="2" borderId="9" xfId="0" applyNumberFormat="1" applyFont="1" applyFill="1" applyBorder="1" applyAlignment="1" applyProtection="1">
      <alignment horizontal="center"/>
      <protection locked="0"/>
    </xf>
    <xf numFmtId="0" fontId="15" fillId="2" borderId="7" xfId="0" applyNumberFormat="1" applyFont="1" applyFill="1" applyBorder="1" applyAlignment="1" applyProtection="1">
      <alignment horizontal="center"/>
      <protection locked="0"/>
    </xf>
    <xf numFmtId="0" fontId="1" fillId="8" borderId="1" xfId="0" applyNumberFormat="1" applyFont="1" applyFill="1" applyBorder="1" applyAlignment="1" applyProtection="1">
      <protection locked="0"/>
    </xf>
    <xf numFmtId="172" fontId="18" fillId="0" borderId="0" xfId="0" applyFont="1"/>
    <xf numFmtId="172" fontId="19" fillId="0" borderId="0" xfId="0" applyFont="1"/>
    <xf numFmtId="2" fontId="10" fillId="0" borderId="11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172" fontId="0" fillId="0" borderId="0" xfId="0" applyFill="1"/>
    <xf numFmtId="2" fontId="10" fillId="4" borderId="0" xfId="0" applyNumberFormat="1" applyFont="1" applyFill="1" applyBorder="1" applyAlignment="1">
      <alignment horizontal="center"/>
    </xf>
    <xf numFmtId="0" fontId="3" fillId="2" borderId="12" xfId="0" applyNumberFormat="1" applyFont="1" applyFill="1" applyBorder="1" applyAlignment="1" applyProtection="1">
      <protection locked="0"/>
    </xf>
    <xf numFmtId="0" fontId="1" fillId="2" borderId="11" xfId="0" applyNumberFormat="1" applyFont="1" applyFill="1" applyBorder="1" applyAlignment="1" applyProtection="1">
      <alignment horizontal="center"/>
      <protection locked="0"/>
    </xf>
    <xf numFmtId="172" fontId="0" fillId="0" borderId="6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B3" sqref="B3"/>
    </sheetView>
  </sheetViews>
  <sheetFormatPr defaultRowHeight="15.5" x14ac:dyDescent="0.35"/>
  <cols>
    <col min="1" max="1" width="21" customWidth="1"/>
    <col min="2" max="2" width="14" customWidth="1"/>
    <col min="3" max="3" width="13.07421875" customWidth="1"/>
    <col min="4" max="4" width="4.4609375" customWidth="1"/>
    <col min="5" max="5" width="13.07421875" customWidth="1"/>
    <col min="6" max="6" width="12.4609375" customWidth="1"/>
    <col min="7" max="7" width="11.84375" customWidth="1"/>
    <col min="8" max="8" width="8.84375" style="53" customWidth="1"/>
  </cols>
  <sheetData>
    <row r="1" spans="1:7" ht="27" customHeight="1" x14ac:dyDescent="0.65">
      <c r="A1" s="14"/>
      <c r="B1" s="18"/>
      <c r="C1" s="19" t="s">
        <v>18</v>
      </c>
      <c r="D1" s="19"/>
      <c r="E1" s="20"/>
      <c r="F1" s="14"/>
      <c r="G1" s="14"/>
    </row>
    <row r="2" spans="1:7" x14ac:dyDescent="0.35">
      <c r="A2" s="23" t="s">
        <v>24</v>
      </c>
      <c r="B2" s="14"/>
      <c r="C2" s="14"/>
      <c r="D2" s="14"/>
      <c r="E2" s="14"/>
      <c r="F2" s="14"/>
      <c r="G2" s="14"/>
    </row>
    <row r="3" spans="1:7" x14ac:dyDescent="0.35">
      <c r="A3" s="23" t="s">
        <v>25</v>
      </c>
      <c r="B3" s="30"/>
      <c r="C3" s="24" t="s">
        <v>26</v>
      </c>
      <c r="D3" s="24"/>
      <c r="E3" s="25"/>
      <c r="F3" s="25"/>
      <c r="G3" s="14"/>
    </row>
    <row r="4" spans="1:7" x14ac:dyDescent="0.35">
      <c r="A4" s="15"/>
      <c r="B4" s="14"/>
      <c r="C4" s="14"/>
      <c r="D4" s="14"/>
      <c r="E4" s="14"/>
      <c r="F4" s="14"/>
      <c r="G4" s="14"/>
    </row>
    <row r="5" spans="1:7" x14ac:dyDescent="0.35">
      <c r="A5" s="14"/>
      <c r="B5" s="21" t="s">
        <v>19</v>
      </c>
      <c r="C5" s="16"/>
      <c r="D5" s="14"/>
      <c r="E5" s="22" t="s">
        <v>5</v>
      </c>
      <c r="F5" s="14"/>
      <c r="G5" s="14"/>
    </row>
    <row r="6" spans="1:7" x14ac:dyDescent="0.35">
      <c r="A6" s="26" t="s">
        <v>34</v>
      </c>
      <c r="B6" s="31" t="e">
        <f>VLOOKUP($B$3,Spring2004!$U$25:'Spring2004'!$V$54,2,FALSE)</f>
        <v>#N/A</v>
      </c>
      <c r="C6" s="14"/>
      <c r="D6" s="14"/>
      <c r="E6" s="35">
        <f>Spring2004!V51</f>
        <v>191.02307692307693</v>
      </c>
      <c r="F6" s="14"/>
      <c r="G6" s="14"/>
    </row>
    <row r="7" spans="1:7" x14ac:dyDescent="0.35">
      <c r="A7" s="26" t="s">
        <v>6</v>
      </c>
      <c r="B7" s="32" t="e">
        <f>VLOOKUP(B6,Spring2004!$U$1:'Spring2004'!$V$9, 2)</f>
        <v>#N/A</v>
      </c>
      <c r="C7" s="14"/>
      <c r="D7" s="14"/>
      <c r="E7" s="33" t="str">
        <f>VLOOKUP(E6,Spring2004!$U$1:'Spring2004'!$V$9, 2)</f>
        <v xml:space="preserve">      B</v>
      </c>
      <c r="F7" s="14"/>
      <c r="G7" s="14"/>
    </row>
    <row r="8" spans="1:7" x14ac:dyDescent="0.35">
      <c r="A8" s="26" t="s">
        <v>27</v>
      </c>
      <c r="B8" s="32" t="e">
        <f>VLOOKUP($B$3,Spring2004!$U$25:'Spring2004'!$AG$53,13, FALSE)</f>
        <v>#N/A</v>
      </c>
      <c r="C8" s="14"/>
      <c r="D8" s="14"/>
      <c r="E8" s="17"/>
      <c r="F8" s="14"/>
      <c r="G8" s="14"/>
    </row>
    <row r="9" spans="1:7" x14ac:dyDescent="0.35">
      <c r="A9" s="26"/>
      <c r="B9" s="27" t="s">
        <v>20</v>
      </c>
      <c r="C9" s="28" t="s">
        <v>21</v>
      </c>
      <c r="D9" s="25"/>
      <c r="E9" s="29" t="s">
        <v>20</v>
      </c>
      <c r="F9" s="28" t="s">
        <v>21</v>
      </c>
      <c r="G9" s="14"/>
    </row>
    <row r="10" spans="1:7" x14ac:dyDescent="0.35">
      <c r="A10" s="26" t="s">
        <v>8</v>
      </c>
      <c r="B10" s="31" t="e">
        <f>VLOOKUP(B3,Spring2004!$U$25:'Spring2004'!$Y$53,5, FALSE)</f>
        <v>#N/A</v>
      </c>
      <c r="C10" s="31" t="e">
        <f>VLOOKUP($B$3,Spring2004!$U$25:'Spring2004'!$Z$53,6, FALSE)</f>
        <v>#N/A</v>
      </c>
      <c r="D10" s="14"/>
      <c r="E10" s="34">
        <f>Spring2004!$Y51</f>
        <v>50.46153846153846</v>
      </c>
      <c r="F10" s="35">
        <f>Spring2004!$Z51</f>
        <v>31.53846153846154</v>
      </c>
      <c r="G10" s="14"/>
    </row>
    <row r="11" spans="1:7" x14ac:dyDescent="0.35">
      <c r="A11" s="26" t="s">
        <v>7</v>
      </c>
      <c r="B11" s="31" t="e">
        <f>VLOOKUP(B3,Spring2004!$U$25:'Spring2004'!$AA$53,7, FALSE)</f>
        <v>#N/A</v>
      </c>
      <c r="C11" s="31" t="e">
        <f>VLOOKUP($B$3,Spring2004!$U$25:'Spring2004'!$AB$53,8, FALSE)</f>
        <v>#N/A</v>
      </c>
      <c r="D11" s="14"/>
      <c r="E11" s="35">
        <f>Spring2004!$AA51</f>
        <v>41</v>
      </c>
      <c r="F11" s="35">
        <f>Spring2004!$AB51</f>
        <v>27.46153846153846</v>
      </c>
      <c r="G11" s="14"/>
    </row>
    <row r="12" spans="1:7" x14ac:dyDescent="0.35">
      <c r="A12" s="26" t="s">
        <v>38</v>
      </c>
      <c r="B12" s="31" t="e">
        <f>VLOOKUP(B3,Spring2004!$U$25:'Spring2004'!$AC$64,9, FALSE)</f>
        <v>#N/A</v>
      </c>
      <c r="C12" s="31" t="e">
        <f>VLOOKUP($B$3,Spring2004!$U$25:'Spring2004'!$AD$64,10, FALSE)</f>
        <v>#N/A</v>
      </c>
      <c r="D12" s="14"/>
      <c r="E12" s="52">
        <f>Spring2004!$AC51</f>
        <v>0</v>
      </c>
      <c r="F12" s="52">
        <f>Spring2004!$AD51</f>
        <v>0</v>
      </c>
      <c r="G12" s="14"/>
    </row>
    <row r="13" spans="1:7" x14ac:dyDescent="0.35">
      <c r="A13" s="26" t="s">
        <v>39</v>
      </c>
      <c r="B13" s="31" t="e">
        <f>VLOOKUP(B3,Spring2004!$U$25:'Spring2004'!$AE$64,11, FALSE)</f>
        <v>#N/A</v>
      </c>
      <c r="C13" s="31" t="e">
        <f>VLOOKUP($B$3,Spring2004!$U$25:'Spring2004'!$AI$54,12, FALSE)</f>
        <v>#N/A</v>
      </c>
      <c r="D13" s="14"/>
      <c r="E13" s="35">
        <f>Spring2004!$AF51</f>
        <v>0</v>
      </c>
      <c r="F13" s="35">
        <f>Spring2004!$AD52</f>
        <v>0</v>
      </c>
      <c r="G13" s="14"/>
    </row>
    <row r="14" spans="1:7" x14ac:dyDescent="0.35">
      <c r="A14" s="26"/>
      <c r="B14" s="14"/>
      <c r="C14" s="14"/>
      <c r="D14" s="14"/>
      <c r="E14" s="14"/>
      <c r="F14" s="54"/>
      <c r="G14" s="14"/>
    </row>
    <row r="15" spans="1:7" x14ac:dyDescent="0.35">
      <c r="A15" s="26" t="s">
        <v>3</v>
      </c>
      <c r="B15" s="31" t="e">
        <f>VLOOKUP(B3,Spring2004!U24:'Spring2004'!Y53,4,FALSE)</f>
        <v>#N/A</v>
      </c>
      <c r="C15" s="14"/>
      <c r="D15" s="14"/>
      <c r="E15" s="51">
        <f>Spring2004!$X51</f>
        <v>21.26923076923077</v>
      </c>
      <c r="F15" s="54"/>
      <c r="G15" s="14"/>
    </row>
    <row r="16" spans="1:7" x14ac:dyDescent="0.35">
      <c r="A16" s="26" t="s">
        <v>28</v>
      </c>
      <c r="B16" s="31" t="e">
        <f>VLOOKUP(B3,Spring2004!U25:'Spring2004'!Y54,3,FALSE)</f>
        <v>#N/A</v>
      </c>
      <c r="C16" s="14"/>
      <c r="D16" s="14"/>
      <c r="E16" s="51">
        <f>Spring2004!$W51</f>
        <v>19.292307692307695</v>
      </c>
      <c r="F16" s="54"/>
      <c r="G16" s="14"/>
    </row>
    <row r="17" spans="1:7" x14ac:dyDescent="0.35">
      <c r="A17" s="14"/>
      <c r="B17" s="14"/>
      <c r="C17" s="14"/>
      <c r="D17" s="14"/>
      <c r="E17" s="14"/>
      <c r="F17" s="14"/>
      <c r="G17" s="14"/>
    </row>
    <row r="18" spans="1:7" x14ac:dyDescent="0.35">
      <c r="A18" s="49" t="s">
        <v>40</v>
      </c>
      <c r="B18" s="50"/>
      <c r="C18" s="50"/>
      <c r="D18" s="50"/>
      <c r="E18" s="50"/>
      <c r="F18" s="50"/>
    </row>
    <row r="19" spans="1:7" x14ac:dyDescent="0.35">
      <c r="A19" s="2"/>
    </row>
  </sheetData>
  <phoneticPr fontId="4" type="noConversion"/>
  <pageMargins left="0.75" right="0.75" top="1" bottom="1" header="0.5" footer="0.5"/>
  <pageSetup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8" transitionEvaluation="1" codeName="Sheet1">
    <pageSetUpPr fitToPage="1"/>
  </sheetPr>
  <dimension ref="A1:AK52"/>
  <sheetViews>
    <sheetView topLeftCell="A65536" zoomScaleNormal="100" workbookViewId="0">
      <selection activeCell="A18" sqref="A1:IV65536"/>
    </sheetView>
  </sheetViews>
  <sheetFormatPr defaultColWidth="8.765625" defaultRowHeight="14.15" customHeight="1" zeroHeight="1" x14ac:dyDescent="0.35"/>
  <cols>
    <col min="1" max="1" width="3.07421875" style="1" customWidth="1"/>
    <col min="2" max="2" width="2.4609375" style="1" customWidth="1"/>
    <col min="3" max="4" width="2.69140625" style="1" customWidth="1"/>
    <col min="5" max="5" width="2.23046875" style="1" customWidth="1"/>
    <col min="6" max="6" width="3.07421875" style="1" customWidth="1"/>
    <col min="7" max="8" width="3.3046875" style="1" customWidth="1"/>
    <col min="9" max="9" width="3.53515625" style="1" customWidth="1"/>
    <col min="10" max="10" width="4" style="1" customWidth="1"/>
    <col min="11" max="11" width="4.53515625" style="1" customWidth="1"/>
    <col min="12" max="12" width="3.23046875" style="1" customWidth="1"/>
    <col min="13" max="13" width="3.4609375" style="1" customWidth="1"/>
    <col min="14" max="14" width="4.69140625" style="1" customWidth="1"/>
    <col min="15" max="15" width="5.07421875" style="1" customWidth="1"/>
    <col min="16" max="16" width="4.4609375" style="1" customWidth="1"/>
    <col min="17" max="17" width="2.84375" style="1" customWidth="1"/>
    <col min="18" max="18" width="9.765625" style="1" customWidth="1"/>
    <col min="19" max="19" width="11.765625" style="1" customWidth="1"/>
    <col min="20" max="20" width="8.84375" style="1" customWidth="1"/>
    <col min="21" max="21" width="10.3046875" style="1" customWidth="1"/>
    <col min="22" max="22" width="11.07421875" style="1" customWidth="1"/>
    <col min="23" max="23" width="13.765625" style="1" customWidth="1"/>
    <col min="24" max="24" width="8.53515625" style="1" customWidth="1"/>
    <col min="25" max="26" width="8.84375" style="1" customWidth="1"/>
    <col min="27" max="28" width="8.765625" style="1"/>
    <col min="29" max="31" width="8.69140625" style="1" customWidth="1"/>
    <col min="32" max="32" width="8.53515625" style="1" customWidth="1"/>
    <col min="33" max="33" width="8.3046875" style="1" customWidth="1"/>
    <col min="34" max="34" width="8.765625" style="1"/>
    <col min="35" max="35" width="11.23046875" style="1" customWidth="1"/>
    <col min="36" max="36" width="8.765625" style="1"/>
    <col min="37" max="37" width="4.3046875" style="1" customWidth="1"/>
    <col min="38" max="38" width="20.07421875" style="1" customWidth="1"/>
    <col min="39" max="16384" width="8.765625" style="1"/>
  </cols>
  <sheetData>
    <row r="1" spans="1:33" ht="14.15" hidden="1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>
        <v>0</v>
      </c>
      <c r="V1" s="3" t="s">
        <v>9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4.15" hidden="1" customHeight="1" x14ac:dyDescent="0.35">
      <c r="A2" s="3"/>
      <c r="B2" s="4"/>
      <c r="C2" s="4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f>0.25*AC3</f>
        <v>62.5</v>
      </c>
      <c r="V2" s="3" t="s">
        <v>10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4.15" hidden="1" customHeight="1" x14ac:dyDescent="0.35">
      <c r="A3" s="3"/>
      <c r="B3" s="4"/>
      <c r="C3" s="4"/>
      <c r="D3" s="4"/>
      <c r="E3" s="4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f>0.55*AC3</f>
        <v>137.5</v>
      </c>
      <c r="V3" s="3" t="s">
        <v>11</v>
      </c>
      <c r="W3" s="3"/>
      <c r="X3" s="3"/>
      <c r="Y3" s="3"/>
      <c r="Z3" s="3"/>
      <c r="AA3" s="3"/>
      <c r="AB3" s="3"/>
      <c r="AC3" s="3">
        <v>250</v>
      </c>
      <c r="AD3" s="3"/>
      <c r="AE3" s="3"/>
      <c r="AF3" s="3"/>
      <c r="AG3" s="3"/>
    </row>
    <row r="4" spans="1:33" ht="14.25" hidden="1" customHeigh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f>0.65*AC3</f>
        <v>162.5</v>
      </c>
      <c r="V4" s="3" t="s">
        <v>12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" hidden="1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f>0.7*AC3</f>
        <v>175</v>
      </c>
      <c r="V5" s="3" t="s">
        <v>13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4.15" hidden="1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f>0.76*AC3</f>
        <v>190</v>
      </c>
      <c r="V6" s="3" t="s">
        <v>14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4.15" hidden="1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f>0.86*AC3</f>
        <v>215</v>
      </c>
      <c r="V7" s="3" t="s">
        <v>15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4.15" hidden="1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f>0.89*AC3</f>
        <v>222.5</v>
      </c>
      <c r="V8" s="3" t="s">
        <v>16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4.15" hidden="1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f>0.93*AC3</f>
        <v>232.5</v>
      </c>
      <c r="V9" s="3" t="s">
        <v>17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4.25" hidden="1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4.25" hidden="1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4.25" hidden="1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4.25" hidden="1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4.25" hidden="1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4.25" hidden="1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4.25" hidden="1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7" ht="15" hidden="1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7" ht="14.25" hidden="1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7" ht="14.25" hidden="1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7" ht="14.25" hidden="1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7" ht="15.5" hidden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7" ht="14.15" hidden="1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13"/>
    </row>
    <row r="23" spans="1:37" ht="13.5" hidden="1" customHeight="1" x14ac:dyDescent="0.35">
      <c r="A23" s="36"/>
      <c r="B23" s="36"/>
      <c r="C23" s="37" t="s">
        <v>29</v>
      </c>
      <c r="D23" s="36"/>
      <c r="E23" s="36"/>
      <c r="F23" s="36"/>
      <c r="G23" s="36"/>
      <c r="H23" s="36"/>
      <c r="I23" s="36"/>
      <c r="J23" s="38"/>
      <c r="K23" s="41"/>
      <c r="L23" s="42"/>
      <c r="M23" s="43" t="s">
        <v>3</v>
      </c>
      <c r="N23" s="43"/>
      <c r="O23" s="43"/>
      <c r="P23" s="43"/>
      <c r="Q23" s="43"/>
      <c r="R23" s="43"/>
      <c r="S23" s="43"/>
      <c r="T23" s="42"/>
      <c r="U23" s="12"/>
      <c r="V23" s="5" t="s">
        <v>30</v>
      </c>
      <c r="W23" s="5" t="s">
        <v>4</v>
      </c>
      <c r="X23" s="5" t="s">
        <v>30</v>
      </c>
      <c r="Y23" s="56" t="s">
        <v>22</v>
      </c>
      <c r="Z23" s="57"/>
      <c r="AA23" s="56" t="s">
        <v>23</v>
      </c>
      <c r="AB23" s="57"/>
      <c r="AC23" s="56" t="s">
        <v>37</v>
      </c>
      <c r="AD23" s="57"/>
      <c r="AE23" s="56" t="s">
        <v>1</v>
      </c>
      <c r="AF23" s="57"/>
      <c r="AG23" s="47" t="s">
        <v>33</v>
      </c>
    </row>
    <row r="24" spans="1:37" ht="14.15" hidden="1" customHeight="1" x14ac:dyDescent="0.35">
      <c r="A24" s="39">
        <v>1</v>
      </c>
      <c r="B24" s="39">
        <v>2</v>
      </c>
      <c r="C24" s="39">
        <v>3</v>
      </c>
      <c r="D24" s="39">
        <v>4</v>
      </c>
      <c r="E24" s="39">
        <v>5</v>
      </c>
      <c r="F24" s="39">
        <v>6</v>
      </c>
      <c r="G24" s="39">
        <v>7</v>
      </c>
      <c r="H24" s="39">
        <v>8</v>
      </c>
      <c r="I24" s="39">
        <v>9</v>
      </c>
      <c r="J24" s="40" t="s">
        <v>0</v>
      </c>
      <c r="K24" s="44">
        <v>1</v>
      </c>
      <c r="L24" s="45">
        <v>2</v>
      </c>
      <c r="M24" s="45">
        <v>3</v>
      </c>
      <c r="N24" s="45">
        <v>4</v>
      </c>
      <c r="O24" s="45">
        <v>5</v>
      </c>
      <c r="P24" s="45">
        <v>6</v>
      </c>
      <c r="Q24" s="45">
        <v>7</v>
      </c>
      <c r="R24" s="45">
        <v>8</v>
      </c>
      <c r="S24" s="45">
        <v>9</v>
      </c>
      <c r="T24" s="45">
        <v>10</v>
      </c>
      <c r="U24" s="9" t="s">
        <v>2</v>
      </c>
      <c r="V24" s="5" t="s">
        <v>35</v>
      </c>
      <c r="W24" s="5" t="s">
        <v>28</v>
      </c>
      <c r="X24" s="5" t="s">
        <v>31</v>
      </c>
      <c r="Y24" s="10" t="s">
        <v>36</v>
      </c>
      <c r="Z24" s="5" t="s">
        <v>21</v>
      </c>
      <c r="AA24" s="11" t="s">
        <v>36</v>
      </c>
      <c r="AB24" s="5" t="s">
        <v>21</v>
      </c>
      <c r="AC24" s="10" t="s">
        <v>36</v>
      </c>
      <c r="AD24" s="5" t="s">
        <v>21</v>
      </c>
      <c r="AE24" s="5" t="s">
        <v>36</v>
      </c>
      <c r="AF24" s="8" t="s">
        <v>21</v>
      </c>
      <c r="AG24" s="46" t="s">
        <v>32</v>
      </c>
    </row>
    <row r="25" spans="1:37" ht="14.15" hidden="1" customHeight="1" x14ac:dyDescent="0.35">
      <c r="A25" s="3">
        <v>5</v>
      </c>
      <c r="B25" s="3">
        <v>3.75</v>
      </c>
      <c r="C25" s="3">
        <v>4.5</v>
      </c>
      <c r="D25" s="3">
        <v>5</v>
      </c>
      <c r="E25" s="3">
        <v>0</v>
      </c>
      <c r="F25" s="3">
        <v>2.25</v>
      </c>
      <c r="G25" s="3">
        <v>0</v>
      </c>
      <c r="H25" s="3">
        <v>0</v>
      </c>
      <c r="I25" s="3">
        <v>0</v>
      </c>
      <c r="J25" s="3">
        <v>0</v>
      </c>
      <c r="K25" s="3">
        <v>5</v>
      </c>
      <c r="L25" s="3">
        <v>5</v>
      </c>
      <c r="M25" s="3">
        <v>5</v>
      </c>
      <c r="N25" s="3">
        <v>5</v>
      </c>
      <c r="O25" s="3">
        <v>5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>
        <v>201626197</v>
      </c>
      <c r="V25" s="6">
        <f>SUM(W25:AF25)</f>
        <v>233.5</v>
      </c>
      <c r="W25" s="6">
        <f t="shared" ref="W25:W50" si="0">SUM(A25:J25)</f>
        <v>20.5</v>
      </c>
      <c r="X25" s="6">
        <f>SUM(K25:T25)</f>
        <v>25</v>
      </c>
      <c r="Y25" s="6">
        <v>54</v>
      </c>
      <c r="Z25" s="6">
        <v>40</v>
      </c>
      <c r="AA25" s="6">
        <v>54</v>
      </c>
      <c r="AB25" s="6">
        <v>40</v>
      </c>
      <c r="AC25" s="6">
        <v>0</v>
      </c>
      <c r="AD25" s="6">
        <v>0</v>
      </c>
      <c r="AE25" s="6">
        <v>0</v>
      </c>
      <c r="AF25" s="6">
        <v>0</v>
      </c>
      <c r="AG25" s="6">
        <v>1</v>
      </c>
      <c r="AH25" s="6">
        <v>233.5</v>
      </c>
      <c r="AI25" s="1">
        <v>69</v>
      </c>
      <c r="AJ25" s="55">
        <v>26</v>
      </c>
      <c r="AK25" s="1" t="s">
        <v>48</v>
      </c>
    </row>
    <row r="26" spans="1:37" ht="14.15" hidden="1" customHeight="1" x14ac:dyDescent="0.35">
      <c r="A26" s="3">
        <v>5</v>
      </c>
      <c r="B26" s="3">
        <v>4</v>
      </c>
      <c r="C26" s="3">
        <v>4.5</v>
      </c>
      <c r="D26" s="3">
        <v>5</v>
      </c>
      <c r="E26" s="3">
        <v>0</v>
      </c>
      <c r="F26" s="3">
        <v>4</v>
      </c>
      <c r="G26" s="3">
        <v>0</v>
      </c>
      <c r="H26" s="3">
        <v>0</v>
      </c>
      <c r="I26" s="3">
        <v>0</v>
      </c>
      <c r="J26" s="3">
        <v>0</v>
      </c>
      <c r="K26" s="3">
        <v>5</v>
      </c>
      <c r="L26" s="3">
        <v>5</v>
      </c>
      <c r="M26" s="3">
        <v>5</v>
      </c>
      <c r="N26" s="3">
        <v>5</v>
      </c>
      <c r="O26" s="3">
        <v>5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>
        <v>146905573</v>
      </c>
      <c r="V26" s="6">
        <f t="shared" ref="V26:V50" si="1">SUM(W26:AF26)</f>
        <v>222.5</v>
      </c>
      <c r="W26" s="6">
        <f t="shared" si="0"/>
        <v>22.5</v>
      </c>
      <c r="X26" s="6">
        <f t="shared" ref="X26:X50" si="2">SUM(K26:T26)</f>
        <v>25</v>
      </c>
      <c r="Y26" s="6">
        <v>54</v>
      </c>
      <c r="Z26" s="6">
        <v>40</v>
      </c>
      <c r="AA26" s="6">
        <v>46</v>
      </c>
      <c r="AB26" s="6">
        <v>35</v>
      </c>
      <c r="AC26" s="6">
        <v>0</v>
      </c>
      <c r="AD26" s="6">
        <v>0</v>
      </c>
      <c r="AE26" s="6">
        <v>0</v>
      </c>
      <c r="AF26" s="6">
        <v>0</v>
      </c>
      <c r="AG26" s="6">
        <v>5</v>
      </c>
      <c r="AH26" s="6">
        <v>222.5</v>
      </c>
      <c r="AI26" s="1">
        <v>107.75</v>
      </c>
      <c r="AJ26" s="55">
        <v>25</v>
      </c>
      <c r="AK26" s="1" t="s">
        <v>48</v>
      </c>
    </row>
    <row r="27" spans="1:37" ht="14.15" hidden="1" customHeight="1" x14ac:dyDescent="0.35">
      <c r="A27" s="3">
        <v>5</v>
      </c>
      <c r="B27" s="3">
        <v>4.25</v>
      </c>
      <c r="C27" s="3">
        <v>3.5</v>
      </c>
      <c r="D27" s="3">
        <v>5</v>
      </c>
      <c r="E27" s="3">
        <v>0</v>
      </c>
      <c r="F27" s="3">
        <v>2.5</v>
      </c>
      <c r="G27" s="3">
        <v>0</v>
      </c>
      <c r="H27" s="3">
        <v>0</v>
      </c>
      <c r="I27" s="3">
        <v>0</v>
      </c>
      <c r="J27" s="3">
        <v>0</v>
      </c>
      <c r="K27" s="3">
        <v>4.5</v>
      </c>
      <c r="L27" s="3">
        <v>5</v>
      </c>
      <c r="M27" s="3">
        <v>5</v>
      </c>
      <c r="N27" s="3">
        <v>2</v>
      </c>
      <c r="O27" s="3">
        <v>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>
        <v>205628483</v>
      </c>
      <c r="V27" s="6">
        <f t="shared" si="1"/>
        <v>139.75</v>
      </c>
      <c r="W27" s="6">
        <f t="shared" si="0"/>
        <v>20.25</v>
      </c>
      <c r="X27" s="6">
        <f t="shared" si="2"/>
        <v>21.5</v>
      </c>
      <c r="Y27" s="6">
        <v>48</v>
      </c>
      <c r="Z27" s="6">
        <v>10</v>
      </c>
      <c r="AA27" s="6">
        <v>30</v>
      </c>
      <c r="AB27" s="6">
        <v>10</v>
      </c>
      <c r="AC27" s="6">
        <v>0</v>
      </c>
      <c r="AD27" s="6">
        <v>0</v>
      </c>
      <c r="AE27" s="6">
        <v>0</v>
      </c>
      <c r="AF27" s="6">
        <v>0</v>
      </c>
      <c r="AG27" s="6">
        <v>24</v>
      </c>
      <c r="AH27" s="6">
        <v>139.75</v>
      </c>
      <c r="AI27" s="1">
        <v>139.75</v>
      </c>
      <c r="AJ27" s="55">
        <v>24</v>
      </c>
      <c r="AK27" s="1" t="s">
        <v>47</v>
      </c>
    </row>
    <row r="28" spans="1:37" ht="14.15" hidden="1" customHeight="1" x14ac:dyDescent="0.35">
      <c r="A28" s="3">
        <v>5</v>
      </c>
      <c r="B28" s="3">
        <v>0</v>
      </c>
      <c r="C28" s="3">
        <v>4.25</v>
      </c>
      <c r="D28" s="3">
        <v>5</v>
      </c>
      <c r="E28" s="3">
        <v>0</v>
      </c>
      <c r="F28" s="3">
        <v>2.25</v>
      </c>
      <c r="G28" s="3">
        <v>0</v>
      </c>
      <c r="H28" s="3">
        <v>0</v>
      </c>
      <c r="I28" s="3">
        <v>0</v>
      </c>
      <c r="J28" s="3">
        <v>0</v>
      </c>
      <c r="K28" s="3">
        <v>4.5</v>
      </c>
      <c r="L28" s="3">
        <v>5</v>
      </c>
      <c r="M28" s="3">
        <v>5</v>
      </c>
      <c r="N28" s="3">
        <v>5</v>
      </c>
      <c r="O28" s="3">
        <v>2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>
        <v>142804315</v>
      </c>
      <c r="V28" s="6">
        <f t="shared" si="1"/>
        <v>171</v>
      </c>
      <c r="W28" s="6">
        <f t="shared" si="0"/>
        <v>16.5</v>
      </c>
      <c r="X28" s="6">
        <f t="shared" si="2"/>
        <v>21.5</v>
      </c>
      <c r="Y28" s="6">
        <v>48</v>
      </c>
      <c r="Z28" s="6">
        <v>20</v>
      </c>
      <c r="AA28" s="6">
        <v>40</v>
      </c>
      <c r="AB28" s="6">
        <v>25</v>
      </c>
      <c r="AC28" s="6">
        <v>0</v>
      </c>
      <c r="AD28" s="6">
        <v>0</v>
      </c>
      <c r="AE28" s="6">
        <v>0</v>
      </c>
      <c r="AF28" s="6">
        <v>0</v>
      </c>
      <c r="AG28" s="6">
        <v>19</v>
      </c>
      <c r="AH28" s="6">
        <v>171</v>
      </c>
      <c r="AI28" s="1">
        <v>148.25</v>
      </c>
      <c r="AJ28" s="55">
        <v>23</v>
      </c>
      <c r="AK28" s="1" t="s">
        <v>47</v>
      </c>
    </row>
    <row r="29" spans="1:37" ht="14.15" hidden="1" customHeight="1" x14ac:dyDescent="0.35">
      <c r="A29" s="3">
        <v>5</v>
      </c>
      <c r="B29" s="3">
        <v>3.75</v>
      </c>
      <c r="C29" s="3">
        <v>5</v>
      </c>
      <c r="D29" s="3">
        <v>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5</v>
      </c>
      <c r="L29" s="3">
        <v>5</v>
      </c>
      <c r="M29" s="3">
        <v>3</v>
      </c>
      <c r="N29" s="3">
        <v>5</v>
      </c>
      <c r="O29" s="3">
        <v>5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>
        <v>216190049</v>
      </c>
      <c r="V29" s="6">
        <f t="shared" si="1"/>
        <v>189.75</v>
      </c>
      <c r="W29" s="6">
        <f t="shared" si="0"/>
        <v>18.75</v>
      </c>
      <c r="X29" s="6">
        <f t="shared" si="2"/>
        <v>23</v>
      </c>
      <c r="Y29" s="6">
        <v>52</v>
      </c>
      <c r="Z29" s="6">
        <v>25</v>
      </c>
      <c r="AA29" s="6">
        <v>46</v>
      </c>
      <c r="AB29" s="6">
        <v>25</v>
      </c>
      <c r="AC29" s="6">
        <v>0</v>
      </c>
      <c r="AD29" s="6">
        <v>0</v>
      </c>
      <c r="AE29" s="6">
        <v>0</v>
      </c>
      <c r="AF29" s="6">
        <v>0</v>
      </c>
      <c r="AG29" s="6">
        <v>17</v>
      </c>
      <c r="AH29" s="6">
        <v>189.75</v>
      </c>
      <c r="AI29" s="1">
        <v>164.75</v>
      </c>
      <c r="AJ29" s="55">
        <v>22</v>
      </c>
      <c r="AK29" s="1" t="s">
        <v>46</v>
      </c>
    </row>
    <row r="30" spans="1:37" ht="14.15" hidden="1" customHeight="1" x14ac:dyDescent="0.35">
      <c r="A30" s="3">
        <v>5</v>
      </c>
      <c r="B30" s="3">
        <v>3.75</v>
      </c>
      <c r="C30" s="3">
        <v>4.25</v>
      </c>
      <c r="D30" s="3">
        <v>5</v>
      </c>
      <c r="E30" s="3">
        <v>0</v>
      </c>
      <c r="F30" s="3">
        <v>3</v>
      </c>
      <c r="G30" s="3">
        <v>0</v>
      </c>
      <c r="H30" s="3">
        <v>0</v>
      </c>
      <c r="I30" s="3">
        <v>0</v>
      </c>
      <c r="J30" s="3">
        <v>0</v>
      </c>
      <c r="K30" s="3">
        <v>4.5</v>
      </c>
      <c r="L30" s="3">
        <v>5</v>
      </c>
      <c r="M30" s="3">
        <v>5</v>
      </c>
      <c r="N30" s="3">
        <v>5</v>
      </c>
      <c r="O30" s="3">
        <v>5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>
        <v>194683102</v>
      </c>
      <c r="V30" s="6">
        <f t="shared" si="1"/>
        <v>197.5</v>
      </c>
      <c r="W30" s="6">
        <f t="shared" si="0"/>
        <v>21</v>
      </c>
      <c r="X30" s="6">
        <f t="shared" si="2"/>
        <v>24.5</v>
      </c>
      <c r="Y30" s="6">
        <v>48</v>
      </c>
      <c r="Z30" s="6">
        <v>30</v>
      </c>
      <c r="AA30" s="6">
        <v>34</v>
      </c>
      <c r="AB30" s="6">
        <v>40</v>
      </c>
      <c r="AC30" s="6">
        <v>0</v>
      </c>
      <c r="AD30" s="6">
        <v>0</v>
      </c>
      <c r="AE30" s="6">
        <v>0</v>
      </c>
      <c r="AF30" s="6">
        <v>0</v>
      </c>
      <c r="AG30" s="6">
        <v>16</v>
      </c>
      <c r="AH30" s="6">
        <v>197.5</v>
      </c>
      <c r="AI30" s="1">
        <v>167.75</v>
      </c>
      <c r="AJ30" s="55">
        <v>21</v>
      </c>
      <c r="AK30" s="1" t="s">
        <v>46</v>
      </c>
    </row>
    <row r="31" spans="1:37" ht="14.15" hidden="1" customHeight="1" x14ac:dyDescent="0.35">
      <c r="A31" s="3">
        <v>5</v>
      </c>
      <c r="B31" s="3">
        <v>4.5</v>
      </c>
      <c r="C31" s="3">
        <v>4.5</v>
      </c>
      <c r="D31" s="3">
        <v>5</v>
      </c>
      <c r="E31" s="3">
        <v>0</v>
      </c>
      <c r="F31" s="3">
        <v>2.25</v>
      </c>
      <c r="G31" s="3">
        <v>0</v>
      </c>
      <c r="H31" s="3">
        <v>0</v>
      </c>
      <c r="I31" s="3">
        <v>0</v>
      </c>
      <c r="J31" s="3">
        <v>0</v>
      </c>
      <c r="K31" s="3">
        <v>5</v>
      </c>
      <c r="L31" s="3">
        <v>5</v>
      </c>
      <c r="M31" s="3">
        <v>5</v>
      </c>
      <c r="N31" s="3">
        <v>5</v>
      </c>
      <c r="O31" s="3">
        <v>5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>
        <v>169664178</v>
      </c>
      <c r="V31" s="6">
        <f t="shared" si="1"/>
        <v>217.25</v>
      </c>
      <c r="W31" s="6">
        <f t="shared" si="0"/>
        <v>21.25</v>
      </c>
      <c r="X31" s="6">
        <f t="shared" si="2"/>
        <v>25</v>
      </c>
      <c r="Y31" s="6">
        <v>54</v>
      </c>
      <c r="Z31" s="6">
        <v>40</v>
      </c>
      <c r="AA31" s="6">
        <v>50</v>
      </c>
      <c r="AB31" s="6">
        <v>27</v>
      </c>
      <c r="AC31" s="6">
        <v>0</v>
      </c>
      <c r="AD31" s="6">
        <v>0</v>
      </c>
      <c r="AE31" s="6">
        <v>0</v>
      </c>
      <c r="AF31" s="6">
        <v>0</v>
      </c>
      <c r="AG31" s="6">
        <v>9</v>
      </c>
      <c r="AH31" s="6">
        <v>217.25</v>
      </c>
      <c r="AI31" s="1">
        <v>170</v>
      </c>
      <c r="AJ31" s="55">
        <v>20</v>
      </c>
      <c r="AK31" s="1" t="s">
        <v>46</v>
      </c>
    </row>
    <row r="32" spans="1:37" ht="14.15" hidden="1" customHeight="1" x14ac:dyDescent="0.35">
      <c r="A32" s="3">
        <v>5</v>
      </c>
      <c r="B32" s="3">
        <v>4.25</v>
      </c>
      <c r="C32" s="3">
        <v>4.5</v>
      </c>
      <c r="D32" s="3">
        <v>5</v>
      </c>
      <c r="E32" s="3">
        <v>0</v>
      </c>
      <c r="F32" s="3">
        <v>4</v>
      </c>
      <c r="G32" s="3">
        <v>0</v>
      </c>
      <c r="H32" s="3">
        <v>0</v>
      </c>
      <c r="I32" s="3">
        <v>0</v>
      </c>
      <c r="J32" s="3">
        <v>0</v>
      </c>
      <c r="K32" s="3">
        <v>3.5</v>
      </c>
      <c r="L32" s="3">
        <v>4.5</v>
      </c>
      <c r="M32" s="3">
        <v>5</v>
      </c>
      <c r="N32" s="3">
        <v>2</v>
      </c>
      <c r="O32" s="3">
        <v>3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>
        <v>314929651</v>
      </c>
      <c r="V32" s="6">
        <f t="shared" si="1"/>
        <v>167.75</v>
      </c>
      <c r="W32" s="6">
        <f t="shared" si="0"/>
        <v>22.75</v>
      </c>
      <c r="X32" s="6">
        <f t="shared" si="2"/>
        <v>18</v>
      </c>
      <c r="Y32" s="6">
        <v>42</v>
      </c>
      <c r="Z32" s="6">
        <v>25</v>
      </c>
      <c r="AA32" s="6">
        <v>40</v>
      </c>
      <c r="AB32" s="6">
        <v>20</v>
      </c>
      <c r="AC32" s="6">
        <v>0</v>
      </c>
      <c r="AD32" s="6">
        <v>0</v>
      </c>
      <c r="AE32" s="6">
        <v>0</v>
      </c>
      <c r="AF32" s="6">
        <v>0</v>
      </c>
      <c r="AG32" s="6">
        <v>21</v>
      </c>
      <c r="AH32" s="6">
        <v>167.75</v>
      </c>
      <c r="AI32" s="1">
        <v>171</v>
      </c>
      <c r="AJ32" s="55">
        <v>19</v>
      </c>
      <c r="AK32" s="1" t="s">
        <v>46</v>
      </c>
    </row>
    <row r="33" spans="1:37" ht="14.15" hidden="1" customHeight="1" x14ac:dyDescent="0.35">
      <c r="A33" s="3">
        <v>5</v>
      </c>
      <c r="B33" s="3">
        <v>3.5</v>
      </c>
      <c r="C33" s="3">
        <v>4.25</v>
      </c>
      <c r="D33" s="3">
        <v>5</v>
      </c>
      <c r="E33" s="3">
        <v>0</v>
      </c>
      <c r="F33" s="3">
        <v>2.25</v>
      </c>
      <c r="G33" s="3">
        <v>0</v>
      </c>
      <c r="H33" s="3">
        <v>0</v>
      </c>
      <c r="I33" s="3">
        <v>0</v>
      </c>
      <c r="J33" s="3">
        <v>0</v>
      </c>
      <c r="K33" s="3">
        <v>5</v>
      </c>
      <c r="L33" s="3">
        <v>5</v>
      </c>
      <c r="M33" s="3">
        <v>0</v>
      </c>
      <c r="N33" s="3">
        <v>5</v>
      </c>
      <c r="O33" s="3">
        <v>5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>
        <v>145942820</v>
      </c>
      <c r="V33" s="6">
        <f t="shared" si="1"/>
        <v>170</v>
      </c>
      <c r="W33" s="6">
        <f t="shared" si="0"/>
        <v>20</v>
      </c>
      <c r="X33" s="6">
        <f t="shared" si="2"/>
        <v>20</v>
      </c>
      <c r="Y33" s="6">
        <v>56</v>
      </c>
      <c r="Z33" s="6">
        <v>20</v>
      </c>
      <c r="AA33" s="6">
        <v>32</v>
      </c>
      <c r="AB33" s="6">
        <v>22</v>
      </c>
      <c r="AC33" s="6">
        <v>0</v>
      </c>
      <c r="AD33" s="6">
        <v>0</v>
      </c>
      <c r="AE33" s="6">
        <v>0</v>
      </c>
      <c r="AF33" s="6">
        <v>0</v>
      </c>
      <c r="AG33" s="6">
        <v>20</v>
      </c>
      <c r="AH33" s="6">
        <v>170</v>
      </c>
      <c r="AI33" s="1">
        <v>171.25</v>
      </c>
      <c r="AJ33" s="55">
        <v>18</v>
      </c>
      <c r="AK33" s="1" t="s">
        <v>46</v>
      </c>
    </row>
    <row r="34" spans="1:37" ht="14.15" hidden="1" customHeight="1" x14ac:dyDescent="0.35">
      <c r="A34" s="3">
        <v>5</v>
      </c>
      <c r="B34" s="3">
        <v>4.25</v>
      </c>
      <c r="C34" s="3">
        <v>4.5</v>
      </c>
      <c r="D34" s="3">
        <v>5</v>
      </c>
      <c r="E34" s="3">
        <v>0</v>
      </c>
      <c r="F34" s="3">
        <v>2.5</v>
      </c>
      <c r="G34" s="3">
        <v>0</v>
      </c>
      <c r="H34" s="3">
        <v>0</v>
      </c>
      <c r="I34" s="3">
        <v>0</v>
      </c>
      <c r="J34" s="3">
        <v>0</v>
      </c>
      <c r="K34" s="3">
        <v>5</v>
      </c>
      <c r="L34" s="3">
        <v>5</v>
      </c>
      <c r="M34" s="3">
        <v>5</v>
      </c>
      <c r="N34" s="3">
        <v>5</v>
      </c>
      <c r="O34" s="3">
        <v>5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>
        <v>200648173</v>
      </c>
      <c r="V34" s="6">
        <f t="shared" si="1"/>
        <v>219.25</v>
      </c>
      <c r="W34" s="6">
        <f t="shared" si="0"/>
        <v>21.25</v>
      </c>
      <c r="X34" s="6">
        <f t="shared" si="2"/>
        <v>25</v>
      </c>
      <c r="Y34" s="6">
        <v>50</v>
      </c>
      <c r="Z34" s="6">
        <v>35</v>
      </c>
      <c r="AA34" s="6">
        <v>48</v>
      </c>
      <c r="AB34" s="6">
        <v>40</v>
      </c>
      <c r="AC34" s="6">
        <v>0</v>
      </c>
      <c r="AD34" s="6">
        <v>0</v>
      </c>
      <c r="AE34" s="6">
        <v>0</v>
      </c>
      <c r="AF34" s="6">
        <v>0</v>
      </c>
      <c r="AG34" s="6">
        <v>7</v>
      </c>
      <c r="AH34" s="6">
        <v>219.25</v>
      </c>
      <c r="AI34" s="1">
        <v>189.75</v>
      </c>
      <c r="AJ34" s="55">
        <v>17</v>
      </c>
      <c r="AK34" s="1" t="s">
        <v>45</v>
      </c>
    </row>
    <row r="35" spans="1:37" ht="14.15" hidden="1" customHeight="1" x14ac:dyDescent="0.35">
      <c r="A35" s="3">
        <v>5</v>
      </c>
      <c r="B35" s="3">
        <v>4.5</v>
      </c>
      <c r="C35" s="3">
        <v>4.5</v>
      </c>
      <c r="D35" s="3">
        <v>5</v>
      </c>
      <c r="E35" s="3">
        <v>0</v>
      </c>
      <c r="F35" s="3">
        <v>2.25</v>
      </c>
      <c r="G35" s="3">
        <v>0</v>
      </c>
      <c r="H35" s="3">
        <v>0</v>
      </c>
      <c r="I35" s="3">
        <v>0</v>
      </c>
      <c r="J35" s="3">
        <v>0</v>
      </c>
      <c r="K35" s="3">
        <v>4.5</v>
      </c>
      <c r="L35" s="3">
        <v>5</v>
      </c>
      <c r="M35" s="3">
        <v>5</v>
      </c>
      <c r="N35" s="3">
        <v>2</v>
      </c>
      <c r="O35" s="3">
        <v>5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>
        <v>18749362</v>
      </c>
      <c r="V35" s="6">
        <f t="shared" si="1"/>
        <v>210.75</v>
      </c>
      <c r="W35" s="6">
        <f t="shared" si="0"/>
        <v>21.25</v>
      </c>
      <c r="X35" s="6">
        <f t="shared" si="2"/>
        <v>21.5</v>
      </c>
      <c r="Y35" s="6">
        <v>54</v>
      </c>
      <c r="Z35" s="6">
        <v>40</v>
      </c>
      <c r="AA35" s="6">
        <v>34</v>
      </c>
      <c r="AB35" s="6">
        <v>40</v>
      </c>
      <c r="AC35" s="6">
        <v>0</v>
      </c>
      <c r="AD35" s="6">
        <v>0</v>
      </c>
      <c r="AE35" s="6">
        <v>0</v>
      </c>
      <c r="AF35" s="6">
        <v>0</v>
      </c>
      <c r="AG35" s="6">
        <v>13</v>
      </c>
      <c r="AH35" s="6">
        <v>210.75</v>
      </c>
      <c r="AI35" s="1">
        <v>197.5</v>
      </c>
      <c r="AJ35" s="55">
        <v>16</v>
      </c>
      <c r="AK35" s="1" t="s">
        <v>44</v>
      </c>
    </row>
    <row r="36" spans="1:37" ht="14.15" hidden="1" customHeight="1" x14ac:dyDescent="0.35">
      <c r="A36" s="3">
        <v>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>
        <v>234316084</v>
      </c>
      <c r="V36" s="6">
        <f t="shared" si="1"/>
        <v>69</v>
      </c>
      <c r="W36" s="6">
        <f t="shared" si="0"/>
        <v>5</v>
      </c>
      <c r="X36" s="6">
        <f t="shared" si="2"/>
        <v>0</v>
      </c>
      <c r="Y36" s="6">
        <v>38</v>
      </c>
      <c r="Z36" s="6">
        <v>5</v>
      </c>
      <c r="AA36" s="6">
        <v>16</v>
      </c>
      <c r="AB36" s="6">
        <v>5</v>
      </c>
      <c r="AC36" s="6">
        <v>0</v>
      </c>
      <c r="AD36" s="6">
        <v>0</v>
      </c>
      <c r="AE36" s="6">
        <v>0</v>
      </c>
      <c r="AF36" s="6">
        <v>0</v>
      </c>
      <c r="AG36" s="6">
        <v>26</v>
      </c>
      <c r="AH36" s="6">
        <v>69</v>
      </c>
      <c r="AI36" s="1">
        <v>201.75</v>
      </c>
      <c r="AJ36" s="55">
        <v>15</v>
      </c>
      <c r="AK36" s="1" t="s">
        <v>44</v>
      </c>
    </row>
    <row r="37" spans="1:37" ht="14.15" hidden="1" customHeight="1" x14ac:dyDescent="0.35">
      <c r="A37" s="3">
        <v>5</v>
      </c>
      <c r="B37" s="3">
        <v>3.75</v>
      </c>
      <c r="C37" s="3">
        <v>4.5</v>
      </c>
      <c r="D37" s="3">
        <v>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4</v>
      </c>
      <c r="L37" s="3">
        <v>4.5</v>
      </c>
      <c r="M37" s="3">
        <v>5</v>
      </c>
      <c r="N37" s="3">
        <v>0</v>
      </c>
      <c r="O37" s="3">
        <v>2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>
        <v>643017691</v>
      </c>
      <c r="V37" s="6">
        <f t="shared" si="1"/>
        <v>164.75</v>
      </c>
      <c r="W37" s="6">
        <f t="shared" si="0"/>
        <v>18.25</v>
      </c>
      <c r="X37" s="6">
        <f t="shared" si="2"/>
        <v>15.5</v>
      </c>
      <c r="Y37" s="6">
        <v>46</v>
      </c>
      <c r="Z37" s="6">
        <v>40</v>
      </c>
      <c r="AA37" s="6">
        <v>40</v>
      </c>
      <c r="AB37" s="6">
        <v>5</v>
      </c>
      <c r="AC37" s="6">
        <v>0</v>
      </c>
      <c r="AD37" s="6">
        <v>0</v>
      </c>
      <c r="AE37" s="6">
        <v>0</v>
      </c>
      <c r="AF37" s="6">
        <v>0</v>
      </c>
      <c r="AG37" s="6">
        <v>22</v>
      </c>
      <c r="AH37" s="6">
        <v>164.75</v>
      </c>
      <c r="AI37" s="1">
        <v>206</v>
      </c>
      <c r="AJ37" s="55">
        <v>14</v>
      </c>
      <c r="AK37" s="1" t="s">
        <v>44</v>
      </c>
    </row>
    <row r="38" spans="1:37" ht="14.15" hidden="1" customHeight="1" x14ac:dyDescent="0.35">
      <c r="A38" s="3">
        <v>5</v>
      </c>
      <c r="B38" s="3">
        <v>3.75</v>
      </c>
      <c r="C38" s="3">
        <v>3.5</v>
      </c>
      <c r="D38" s="3">
        <v>5</v>
      </c>
      <c r="E38" s="3">
        <v>0</v>
      </c>
      <c r="F38" s="3">
        <v>2</v>
      </c>
      <c r="G38" s="3">
        <v>0</v>
      </c>
      <c r="H38" s="3">
        <v>0</v>
      </c>
      <c r="I38" s="3">
        <v>0</v>
      </c>
      <c r="J38" s="3">
        <v>0</v>
      </c>
      <c r="K38" s="3">
        <v>4.5</v>
      </c>
      <c r="L38" s="3">
        <v>4.5</v>
      </c>
      <c r="M38" s="3">
        <v>5</v>
      </c>
      <c r="N38" s="3">
        <v>2</v>
      </c>
      <c r="O38" s="3">
        <v>5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>
        <v>168643661</v>
      </c>
      <c r="V38" s="6">
        <f t="shared" si="1"/>
        <v>171.25</v>
      </c>
      <c r="W38" s="6">
        <f t="shared" si="0"/>
        <v>19.25</v>
      </c>
      <c r="X38" s="6">
        <f t="shared" si="2"/>
        <v>21</v>
      </c>
      <c r="Y38" s="6">
        <v>48</v>
      </c>
      <c r="Z38" s="6">
        <v>40</v>
      </c>
      <c r="AA38" s="6">
        <v>28</v>
      </c>
      <c r="AB38" s="6">
        <v>15</v>
      </c>
      <c r="AC38" s="6">
        <v>0</v>
      </c>
      <c r="AD38" s="6">
        <v>0</v>
      </c>
      <c r="AE38" s="6">
        <v>0</v>
      </c>
      <c r="AF38" s="6">
        <v>0</v>
      </c>
      <c r="AG38" s="6">
        <v>18</v>
      </c>
      <c r="AH38" s="6">
        <v>171.25</v>
      </c>
      <c r="AI38" s="1">
        <v>210.75</v>
      </c>
      <c r="AJ38" s="55">
        <v>13</v>
      </c>
      <c r="AK38" s="1" t="s">
        <v>44</v>
      </c>
    </row>
    <row r="39" spans="1:37" ht="14.15" hidden="1" customHeight="1" x14ac:dyDescent="0.35">
      <c r="A39" s="3">
        <v>5</v>
      </c>
      <c r="B39" s="3">
        <v>4.375</v>
      </c>
      <c r="C39" s="3">
        <v>4.5</v>
      </c>
      <c r="D39" s="3">
        <v>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5</v>
      </c>
      <c r="L39" s="3">
        <v>5</v>
      </c>
      <c r="M39" s="3">
        <v>5</v>
      </c>
      <c r="N39" s="3">
        <v>0</v>
      </c>
      <c r="O39" s="3">
        <v>5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>
        <v>211668568</v>
      </c>
      <c r="V39" s="6">
        <f t="shared" si="1"/>
        <v>222.875</v>
      </c>
      <c r="W39" s="6">
        <f t="shared" si="0"/>
        <v>18.875</v>
      </c>
      <c r="X39" s="6">
        <f t="shared" si="2"/>
        <v>20</v>
      </c>
      <c r="Y39" s="6">
        <v>54</v>
      </c>
      <c r="Z39" s="6">
        <v>40</v>
      </c>
      <c r="AA39" s="6">
        <v>50</v>
      </c>
      <c r="AB39" s="6">
        <v>40</v>
      </c>
      <c r="AC39" s="6">
        <v>0</v>
      </c>
      <c r="AD39" s="6">
        <v>0</v>
      </c>
      <c r="AE39" s="6">
        <v>0</v>
      </c>
      <c r="AF39" s="6">
        <v>0</v>
      </c>
      <c r="AG39" s="6">
        <v>4</v>
      </c>
      <c r="AH39" s="6">
        <v>222.875</v>
      </c>
      <c r="AI39" s="1">
        <v>211</v>
      </c>
      <c r="AJ39" s="55">
        <v>12</v>
      </c>
      <c r="AK39" s="1" t="s">
        <v>44</v>
      </c>
    </row>
    <row r="40" spans="1:37" ht="14.15" hidden="1" customHeight="1" x14ac:dyDescent="0.35">
      <c r="A40" s="3">
        <v>5</v>
      </c>
      <c r="B40" s="3">
        <v>3.75</v>
      </c>
      <c r="C40" s="3">
        <v>0</v>
      </c>
      <c r="D40" s="3">
        <v>0</v>
      </c>
      <c r="E40" s="3">
        <v>0</v>
      </c>
      <c r="F40" s="3">
        <v>2.25</v>
      </c>
      <c r="G40" s="3">
        <v>0</v>
      </c>
      <c r="H40" s="3">
        <v>0</v>
      </c>
      <c r="I40" s="3">
        <v>0</v>
      </c>
      <c r="J40" s="3">
        <v>0</v>
      </c>
      <c r="K40" s="3">
        <v>5</v>
      </c>
      <c r="L40" s="3">
        <v>5</v>
      </c>
      <c r="M40" s="3">
        <v>5</v>
      </c>
      <c r="N40" s="3">
        <v>5</v>
      </c>
      <c r="O40" s="3">
        <v>5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>
        <v>126769977</v>
      </c>
      <c r="V40" s="6">
        <f t="shared" si="1"/>
        <v>211</v>
      </c>
      <c r="W40" s="6">
        <f t="shared" si="0"/>
        <v>11</v>
      </c>
      <c r="X40" s="6">
        <f t="shared" si="2"/>
        <v>25</v>
      </c>
      <c r="Y40" s="6">
        <v>56</v>
      </c>
      <c r="Z40" s="6">
        <v>25</v>
      </c>
      <c r="AA40" s="6">
        <v>54</v>
      </c>
      <c r="AB40" s="6">
        <v>40</v>
      </c>
      <c r="AC40" s="6">
        <v>0</v>
      </c>
      <c r="AD40" s="6">
        <v>0</v>
      </c>
      <c r="AE40" s="6">
        <v>0</v>
      </c>
      <c r="AF40" s="6">
        <v>0</v>
      </c>
      <c r="AG40" s="6">
        <v>12</v>
      </c>
      <c r="AH40" s="6">
        <v>211</v>
      </c>
      <c r="AI40" s="1">
        <v>213.1</v>
      </c>
      <c r="AJ40" s="55">
        <v>11</v>
      </c>
      <c r="AK40" s="1" t="s">
        <v>44</v>
      </c>
    </row>
    <row r="41" spans="1:37" ht="14.15" hidden="1" customHeight="1" x14ac:dyDescent="0.35">
      <c r="A41" s="3">
        <v>5</v>
      </c>
      <c r="B41" s="3">
        <v>3.25</v>
      </c>
      <c r="C41" s="3">
        <v>0</v>
      </c>
      <c r="D41" s="3">
        <v>0</v>
      </c>
      <c r="E41" s="3">
        <v>0</v>
      </c>
      <c r="F41" s="3">
        <v>3.5</v>
      </c>
      <c r="G41" s="3">
        <v>0</v>
      </c>
      <c r="H41" s="3">
        <v>0</v>
      </c>
      <c r="I41" s="3">
        <v>0</v>
      </c>
      <c r="J41" s="3">
        <v>0</v>
      </c>
      <c r="K41" s="3">
        <v>5</v>
      </c>
      <c r="L41" s="3">
        <v>0</v>
      </c>
      <c r="M41" s="3">
        <v>3</v>
      </c>
      <c r="N41" s="3">
        <v>0</v>
      </c>
      <c r="O41" s="3">
        <v>5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>
        <v>174645203</v>
      </c>
      <c r="V41" s="6">
        <f t="shared" si="1"/>
        <v>107.75</v>
      </c>
      <c r="W41" s="6">
        <f t="shared" si="0"/>
        <v>11.75</v>
      </c>
      <c r="X41" s="6">
        <f t="shared" si="2"/>
        <v>13</v>
      </c>
      <c r="Y41" s="6">
        <v>42</v>
      </c>
      <c r="Z41" s="6">
        <v>15</v>
      </c>
      <c r="AA41" s="6">
        <v>26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25</v>
      </c>
      <c r="AH41" s="6">
        <v>107.75</v>
      </c>
      <c r="AI41" s="1">
        <v>216.5</v>
      </c>
      <c r="AJ41" s="55">
        <v>10</v>
      </c>
      <c r="AK41" s="1" t="s">
        <v>43</v>
      </c>
    </row>
    <row r="42" spans="1:37" ht="14.15" hidden="1" customHeight="1" x14ac:dyDescent="0.35">
      <c r="A42" s="3">
        <v>5</v>
      </c>
      <c r="B42" s="3">
        <v>4</v>
      </c>
      <c r="C42" s="3">
        <v>4.5</v>
      </c>
      <c r="D42" s="3">
        <v>5</v>
      </c>
      <c r="E42" s="3">
        <v>0</v>
      </c>
      <c r="F42" s="3">
        <v>2.5</v>
      </c>
      <c r="G42" s="3">
        <v>0</v>
      </c>
      <c r="H42" s="3">
        <v>0</v>
      </c>
      <c r="I42" s="3">
        <v>0</v>
      </c>
      <c r="J42" s="3">
        <v>0</v>
      </c>
      <c r="K42" s="3">
        <v>5</v>
      </c>
      <c r="L42" s="3">
        <v>4.5</v>
      </c>
      <c r="M42" s="3">
        <v>5</v>
      </c>
      <c r="N42" s="3">
        <v>5</v>
      </c>
      <c r="O42" s="3">
        <v>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>
        <v>593748720</v>
      </c>
      <c r="V42" s="6">
        <f t="shared" si="1"/>
        <v>216.5</v>
      </c>
      <c r="W42" s="6">
        <f t="shared" si="0"/>
        <v>21</v>
      </c>
      <c r="X42" s="6">
        <f t="shared" si="2"/>
        <v>23.5</v>
      </c>
      <c r="Y42" s="6">
        <v>50</v>
      </c>
      <c r="Z42" s="6">
        <v>35</v>
      </c>
      <c r="AA42" s="6">
        <v>52</v>
      </c>
      <c r="AB42" s="6">
        <v>35</v>
      </c>
      <c r="AC42" s="6">
        <v>0</v>
      </c>
      <c r="AD42" s="6">
        <v>0</v>
      </c>
      <c r="AE42" s="6">
        <v>0</v>
      </c>
      <c r="AF42" s="6">
        <v>0</v>
      </c>
      <c r="AG42" s="6">
        <v>10</v>
      </c>
      <c r="AH42" s="6">
        <v>216.5</v>
      </c>
      <c r="AI42" s="1">
        <v>217.25</v>
      </c>
      <c r="AJ42" s="55">
        <v>9</v>
      </c>
      <c r="AK42" s="1" t="s">
        <v>43</v>
      </c>
    </row>
    <row r="43" spans="1:37" ht="14.15" hidden="1" customHeight="1" x14ac:dyDescent="0.35">
      <c r="A43" s="3">
        <v>5</v>
      </c>
      <c r="B43" s="3">
        <v>4.3499999999999996</v>
      </c>
      <c r="C43" s="3">
        <v>4.25</v>
      </c>
      <c r="D43" s="3">
        <v>5</v>
      </c>
      <c r="E43" s="3">
        <v>0</v>
      </c>
      <c r="F43" s="3">
        <v>2.5</v>
      </c>
      <c r="G43" s="3">
        <v>0</v>
      </c>
      <c r="H43" s="3">
        <v>0</v>
      </c>
      <c r="I43" s="3">
        <v>0</v>
      </c>
      <c r="J43" s="3">
        <v>0</v>
      </c>
      <c r="K43" s="3">
        <v>5</v>
      </c>
      <c r="L43" s="3">
        <v>0</v>
      </c>
      <c r="M43" s="3">
        <v>5</v>
      </c>
      <c r="N43" s="3">
        <v>5</v>
      </c>
      <c r="O43" s="3">
        <v>5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>
        <v>183641324</v>
      </c>
      <c r="V43" s="6">
        <f t="shared" si="1"/>
        <v>213.1</v>
      </c>
      <c r="W43" s="6">
        <f t="shared" si="0"/>
        <v>21.1</v>
      </c>
      <c r="X43" s="6">
        <f t="shared" si="2"/>
        <v>20</v>
      </c>
      <c r="Y43" s="6">
        <v>44</v>
      </c>
      <c r="Z43" s="6">
        <v>40</v>
      </c>
      <c r="AA43" s="6">
        <v>48</v>
      </c>
      <c r="AB43" s="6">
        <v>40</v>
      </c>
      <c r="AC43" s="6">
        <v>0</v>
      </c>
      <c r="AD43" s="6">
        <v>0</v>
      </c>
      <c r="AE43" s="6">
        <v>0</v>
      </c>
      <c r="AF43" s="6">
        <v>0</v>
      </c>
      <c r="AG43" s="6">
        <v>11</v>
      </c>
      <c r="AH43" s="6">
        <v>213.1</v>
      </c>
      <c r="AI43" s="1">
        <v>219</v>
      </c>
      <c r="AJ43" s="55">
        <v>8</v>
      </c>
      <c r="AK43" s="1" t="s">
        <v>43</v>
      </c>
    </row>
    <row r="44" spans="1:37" ht="14.15" hidden="1" customHeight="1" x14ac:dyDescent="0.35">
      <c r="A44" s="3">
        <v>5</v>
      </c>
      <c r="B44" s="3">
        <v>4.875</v>
      </c>
      <c r="C44" s="3">
        <v>5</v>
      </c>
      <c r="D44" s="3">
        <v>0</v>
      </c>
      <c r="E44" s="3">
        <v>0</v>
      </c>
      <c r="F44" s="3">
        <v>4.5</v>
      </c>
      <c r="G44" s="3">
        <v>0</v>
      </c>
      <c r="H44" s="3">
        <v>0</v>
      </c>
      <c r="I44" s="3">
        <v>0</v>
      </c>
      <c r="J44" s="3">
        <v>0</v>
      </c>
      <c r="K44" s="3">
        <v>5</v>
      </c>
      <c r="L44" s="3">
        <v>5</v>
      </c>
      <c r="M44" s="3">
        <v>5</v>
      </c>
      <c r="N44" s="3">
        <v>5</v>
      </c>
      <c r="O44" s="3">
        <v>5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>
        <v>186662513</v>
      </c>
      <c r="V44" s="6">
        <f t="shared" si="1"/>
        <v>226.375</v>
      </c>
      <c r="W44" s="6">
        <f t="shared" si="0"/>
        <v>19.375</v>
      </c>
      <c r="X44" s="6">
        <f t="shared" si="2"/>
        <v>25</v>
      </c>
      <c r="Y44" s="6">
        <v>54</v>
      </c>
      <c r="Z44" s="6">
        <v>40</v>
      </c>
      <c r="AA44" s="6">
        <v>48</v>
      </c>
      <c r="AB44" s="6">
        <v>40</v>
      </c>
      <c r="AC44" s="6">
        <v>0</v>
      </c>
      <c r="AD44" s="6">
        <v>0</v>
      </c>
      <c r="AE44" s="6">
        <v>0</v>
      </c>
      <c r="AF44" s="6">
        <v>0</v>
      </c>
      <c r="AG44" s="6">
        <v>2</v>
      </c>
      <c r="AH44" s="6">
        <v>226.375</v>
      </c>
      <c r="AI44" s="1">
        <v>219.25</v>
      </c>
      <c r="AJ44" s="55">
        <v>7</v>
      </c>
      <c r="AK44" s="1" t="s">
        <v>43</v>
      </c>
    </row>
    <row r="45" spans="1:37" ht="14.15" hidden="1" customHeight="1" x14ac:dyDescent="0.35">
      <c r="A45" s="3">
        <v>5</v>
      </c>
      <c r="B45" s="3">
        <v>4.25</v>
      </c>
      <c r="C45" s="3">
        <v>4.5</v>
      </c>
      <c r="D45" s="3">
        <v>5</v>
      </c>
      <c r="E45" s="3">
        <v>0</v>
      </c>
      <c r="F45" s="3">
        <v>4.25</v>
      </c>
      <c r="G45" s="3">
        <v>0</v>
      </c>
      <c r="H45" s="3">
        <v>0</v>
      </c>
      <c r="I45" s="3">
        <v>0</v>
      </c>
      <c r="J45" s="3">
        <v>0</v>
      </c>
      <c r="K45" s="3">
        <v>4</v>
      </c>
      <c r="L45" s="3">
        <v>4.5</v>
      </c>
      <c r="M45" s="3">
        <v>4.5</v>
      </c>
      <c r="N45" s="3">
        <v>5</v>
      </c>
      <c r="O45" s="3">
        <v>5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>
        <v>174682139</v>
      </c>
      <c r="V45" s="6">
        <f t="shared" si="1"/>
        <v>219</v>
      </c>
      <c r="W45" s="6">
        <f t="shared" si="0"/>
        <v>23</v>
      </c>
      <c r="X45" s="6">
        <f t="shared" si="2"/>
        <v>23</v>
      </c>
      <c r="Y45" s="6">
        <v>56</v>
      </c>
      <c r="Z45" s="6">
        <v>40</v>
      </c>
      <c r="AA45" s="6">
        <v>42</v>
      </c>
      <c r="AB45" s="6">
        <v>35</v>
      </c>
      <c r="AC45" s="6">
        <v>0</v>
      </c>
      <c r="AD45" s="6">
        <v>0</v>
      </c>
      <c r="AE45" s="6">
        <v>0</v>
      </c>
      <c r="AF45" s="6">
        <v>0</v>
      </c>
      <c r="AG45" s="6">
        <v>8</v>
      </c>
      <c r="AH45" s="6">
        <v>219</v>
      </c>
      <c r="AI45" s="1">
        <v>220.25</v>
      </c>
      <c r="AJ45" s="55">
        <v>6</v>
      </c>
      <c r="AK45" s="1" t="s">
        <v>43</v>
      </c>
    </row>
    <row r="46" spans="1:37" ht="14.15" hidden="1" customHeight="1" x14ac:dyDescent="0.35">
      <c r="A46" s="3">
        <v>5</v>
      </c>
      <c r="B46" s="3">
        <v>3.75</v>
      </c>
      <c r="C46" s="3">
        <v>5</v>
      </c>
      <c r="D46" s="3">
        <v>5</v>
      </c>
      <c r="E46" s="3">
        <v>0</v>
      </c>
      <c r="F46" s="3">
        <v>2.5</v>
      </c>
      <c r="G46" s="3">
        <v>0</v>
      </c>
      <c r="H46" s="3">
        <v>0</v>
      </c>
      <c r="I46" s="3">
        <v>0</v>
      </c>
      <c r="J46" s="3">
        <v>0</v>
      </c>
      <c r="K46" s="3">
        <v>5</v>
      </c>
      <c r="L46" s="3">
        <v>5</v>
      </c>
      <c r="M46" s="3">
        <v>5</v>
      </c>
      <c r="N46" s="3">
        <v>5</v>
      </c>
      <c r="O46" s="3">
        <v>4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>
        <v>180703880</v>
      </c>
      <c r="V46" s="6">
        <f t="shared" si="1"/>
        <v>220.25</v>
      </c>
      <c r="W46" s="6">
        <f t="shared" si="0"/>
        <v>21.25</v>
      </c>
      <c r="X46" s="6">
        <f t="shared" si="2"/>
        <v>24</v>
      </c>
      <c r="Y46" s="6">
        <v>56</v>
      </c>
      <c r="Z46" s="6">
        <v>40</v>
      </c>
      <c r="AA46" s="6">
        <v>44</v>
      </c>
      <c r="AB46" s="6">
        <v>35</v>
      </c>
      <c r="AC46" s="6">
        <v>0</v>
      </c>
      <c r="AD46" s="6">
        <v>0</v>
      </c>
      <c r="AE46" s="6">
        <v>0</v>
      </c>
      <c r="AF46" s="6">
        <v>0</v>
      </c>
      <c r="AG46" s="6">
        <v>6</v>
      </c>
      <c r="AH46" s="6">
        <v>220.25</v>
      </c>
      <c r="AI46" s="1">
        <v>222.5</v>
      </c>
      <c r="AJ46" s="55">
        <v>5</v>
      </c>
      <c r="AK46" s="1" t="s">
        <v>42</v>
      </c>
    </row>
    <row r="47" spans="1:37" ht="14.15" hidden="1" customHeight="1" x14ac:dyDescent="0.35">
      <c r="A47" s="3">
        <v>5</v>
      </c>
      <c r="B47" s="3">
        <v>4.25</v>
      </c>
      <c r="C47" s="3">
        <v>4.5</v>
      </c>
      <c r="D47" s="3">
        <v>5</v>
      </c>
      <c r="E47" s="3">
        <v>0</v>
      </c>
      <c r="F47" s="3">
        <v>5</v>
      </c>
      <c r="G47" s="3">
        <v>0</v>
      </c>
      <c r="H47" s="3">
        <v>0</v>
      </c>
      <c r="I47" s="3">
        <v>0</v>
      </c>
      <c r="J47" s="3">
        <v>0</v>
      </c>
      <c r="K47" s="3">
        <v>5</v>
      </c>
      <c r="L47" s="3">
        <v>5</v>
      </c>
      <c r="M47" s="3">
        <v>5</v>
      </c>
      <c r="N47" s="3">
        <v>5</v>
      </c>
      <c r="O47" s="3">
        <v>5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>
        <v>583872558</v>
      </c>
      <c r="V47" s="6">
        <f t="shared" si="1"/>
        <v>224.75</v>
      </c>
      <c r="W47" s="6">
        <f t="shared" si="0"/>
        <v>23.75</v>
      </c>
      <c r="X47" s="6">
        <f t="shared" si="2"/>
        <v>25</v>
      </c>
      <c r="Y47" s="6">
        <v>54</v>
      </c>
      <c r="Z47" s="6">
        <v>40</v>
      </c>
      <c r="AA47" s="6">
        <v>42</v>
      </c>
      <c r="AB47" s="6">
        <v>40</v>
      </c>
      <c r="AC47" s="6">
        <v>0</v>
      </c>
      <c r="AD47" s="6">
        <v>0</v>
      </c>
      <c r="AE47" s="6">
        <v>0</v>
      </c>
      <c r="AF47" s="6">
        <v>0</v>
      </c>
      <c r="AG47" s="6">
        <v>3</v>
      </c>
      <c r="AH47" s="6">
        <v>224.75</v>
      </c>
      <c r="AI47" s="1">
        <v>222.875</v>
      </c>
      <c r="AJ47" s="55">
        <v>4</v>
      </c>
      <c r="AK47" s="1" t="s">
        <v>42</v>
      </c>
    </row>
    <row r="48" spans="1:37" ht="14.15" hidden="1" customHeight="1" x14ac:dyDescent="0.35">
      <c r="A48" s="3">
        <v>5</v>
      </c>
      <c r="B48" s="3">
        <v>3.75</v>
      </c>
      <c r="C48" s="3">
        <v>3.5</v>
      </c>
      <c r="D48" s="3">
        <v>5</v>
      </c>
      <c r="E48" s="3">
        <v>0</v>
      </c>
      <c r="F48" s="3">
        <v>4</v>
      </c>
      <c r="G48" s="3">
        <v>0</v>
      </c>
      <c r="H48" s="3">
        <v>0</v>
      </c>
      <c r="I48" s="3">
        <v>0</v>
      </c>
      <c r="J48" s="3">
        <v>0</v>
      </c>
      <c r="K48" s="3">
        <v>4</v>
      </c>
      <c r="L48" s="3">
        <v>5</v>
      </c>
      <c r="M48" s="3">
        <v>5</v>
      </c>
      <c r="N48" s="3">
        <v>5</v>
      </c>
      <c r="O48" s="3">
        <v>5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>
        <v>172442780</v>
      </c>
      <c r="V48" s="6">
        <f t="shared" si="1"/>
        <v>153.25</v>
      </c>
      <c r="W48" s="6">
        <f t="shared" si="0"/>
        <v>21.25</v>
      </c>
      <c r="X48" s="6">
        <f t="shared" si="2"/>
        <v>24</v>
      </c>
      <c r="Y48" s="6">
        <v>46</v>
      </c>
      <c r="Z48" s="6">
        <v>15</v>
      </c>
      <c r="AA48" s="6">
        <v>32</v>
      </c>
      <c r="AB48" s="6">
        <v>15</v>
      </c>
      <c r="AC48" s="6">
        <v>0</v>
      </c>
      <c r="AD48" s="6">
        <v>0</v>
      </c>
      <c r="AE48" s="6">
        <v>0</v>
      </c>
      <c r="AF48" s="6">
        <v>0</v>
      </c>
      <c r="AG48" s="6">
        <v>23</v>
      </c>
      <c r="AH48" s="6">
        <v>148.25</v>
      </c>
      <c r="AI48" s="1">
        <v>224.75</v>
      </c>
      <c r="AJ48" s="55">
        <v>3</v>
      </c>
      <c r="AK48" s="1" t="s">
        <v>42</v>
      </c>
    </row>
    <row r="49" spans="1:37" ht="14.15" hidden="1" customHeight="1" x14ac:dyDescent="0.35">
      <c r="A49" s="3">
        <v>5</v>
      </c>
      <c r="B49" s="3">
        <v>3.25</v>
      </c>
      <c r="C49" s="3">
        <v>4.5</v>
      </c>
      <c r="D49" s="3">
        <v>5</v>
      </c>
      <c r="E49" s="3">
        <v>0</v>
      </c>
      <c r="F49" s="3">
        <v>2.5</v>
      </c>
      <c r="G49" s="3">
        <v>0</v>
      </c>
      <c r="H49" s="3">
        <v>0</v>
      </c>
      <c r="I49" s="3">
        <v>0</v>
      </c>
      <c r="J49" s="3">
        <v>0</v>
      </c>
      <c r="K49" s="3">
        <v>4.5</v>
      </c>
      <c r="L49" s="3">
        <v>5</v>
      </c>
      <c r="M49" s="3">
        <v>5</v>
      </c>
      <c r="N49" s="3">
        <v>0</v>
      </c>
      <c r="O49" s="3">
        <v>5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>
        <v>106689638</v>
      </c>
      <c r="V49" s="6">
        <f t="shared" si="1"/>
        <v>201.75</v>
      </c>
      <c r="W49" s="6">
        <f t="shared" si="0"/>
        <v>20.25</v>
      </c>
      <c r="X49" s="6">
        <f t="shared" si="2"/>
        <v>19.5</v>
      </c>
      <c r="Y49" s="6">
        <v>52</v>
      </c>
      <c r="Z49" s="6">
        <v>40</v>
      </c>
      <c r="AA49" s="6">
        <v>50</v>
      </c>
      <c r="AB49" s="6">
        <v>20</v>
      </c>
      <c r="AC49" s="6">
        <v>0</v>
      </c>
      <c r="AD49" s="6">
        <v>0</v>
      </c>
      <c r="AE49" s="6">
        <v>0</v>
      </c>
      <c r="AF49" s="6">
        <v>0</v>
      </c>
      <c r="AG49" s="6">
        <v>15</v>
      </c>
      <c r="AH49" s="6">
        <v>201.75</v>
      </c>
      <c r="AI49" s="1">
        <v>226.375</v>
      </c>
      <c r="AJ49" s="55">
        <v>2</v>
      </c>
      <c r="AK49" s="1" t="s">
        <v>42</v>
      </c>
    </row>
    <row r="50" spans="1:37" ht="14.15" hidden="1" customHeight="1" x14ac:dyDescent="0.35">
      <c r="A50" s="3">
        <v>5</v>
      </c>
      <c r="B50" s="3">
        <v>3</v>
      </c>
      <c r="C50" s="3">
        <v>4</v>
      </c>
      <c r="D50" s="3">
        <v>5</v>
      </c>
      <c r="E50" s="3">
        <v>0</v>
      </c>
      <c r="F50" s="3">
        <v>3.5</v>
      </c>
      <c r="G50" s="3">
        <v>0</v>
      </c>
      <c r="H50" s="3">
        <v>0</v>
      </c>
      <c r="I50" s="3">
        <v>0</v>
      </c>
      <c r="J50" s="3">
        <v>0</v>
      </c>
      <c r="K50" s="3">
        <v>5</v>
      </c>
      <c r="L50" s="3">
        <v>4.5</v>
      </c>
      <c r="M50" s="3">
        <v>5</v>
      </c>
      <c r="N50" s="3">
        <v>5</v>
      </c>
      <c r="O50" s="3">
        <v>5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>
        <v>176662642</v>
      </c>
      <c r="V50" s="6">
        <f t="shared" si="1"/>
        <v>206</v>
      </c>
      <c r="W50" s="6">
        <f t="shared" si="0"/>
        <v>20.5</v>
      </c>
      <c r="X50" s="6">
        <f t="shared" si="2"/>
        <v>24.5</v>
      </c>
      <c r="Y50" s="6">
        <v>56</v>
      </c>
      <c r="Z50" s="6">
        <v>40</v>
      </c>
      <c r="AA50" s="6">
        <v>40</v>
      </c>
      <c r="AB50" s="6">
        <v>25</v>
      </c>
      <c r="AC50" s="6">
        <v>0</v>
      </c>
      <c r="AD50" s="6">
        <v>0</v>
      </c>
      <c r="AE50" s="6">
        <v>0</v>
      </c>
      <c r="AF50" s="6">
        <v>0</v>
      </c>
      <c r="AG50" s="6">
        <v>14</v>
      </c>
      <c r="AH50" s="6">
        <v>206</v>
      </c>
      <c r="AI50" s="1">
        <v>233.5</v>
      </c>
      <c r="AJ50" s="55">
        <v>1</v>
      </c>
      <c r="AK50" s="1" t="s">
        <v>41</v>
      </c>
    </row>
    <row r="51" spans="1:37" ht="14.15" hidden="1" customHeight="1" x14ac:dyDescent="0.35">
      <c r="A51" s="4">
        <f t="shared" ref="A51:R51" si="3">AVERAGE(A25:A50)</f>
        <v>5</v>
      </c>
      <c r="B51" s="4">
        <f t="shared" si="3"/>
        <v>3.648076923076923</v>
      </c>
      <c r="C51" s="4">
        <f t="shared" si="3"/>
        <v>3.8653846153846154</v>
      </c>
      <c r="D51" s="4">
        <f t="shared" si="3"/>
        <v>4.2307692307692308</v>
      </c>
      <c r="E51" s="4">
        <f t="shared" si="3"/>
        <v>0</v>
      </c>
      <c r="F51" s="4">
        <f t="shared" si="3"/>
        <v>2.5480769230769229</v>
      </c>
      <c r="G51" s="4">
        <f t="shared" si="3"/>
        <v>0</v>
      </c>
      <c r="H51" s="4">
        <f t="shared" si="3"/>
        <v>0</v>
      </c>
      <c r="I51" s="4">
        <f t="shared" si="3"/>
        <v>0</v>
      </c>
      <c r="J51" s="4">
        <f t="shared" si="3"/>
        <v>0</v>
      </c>
      <c r="K51" s="4">
        <f t="shared" si="3"/>
        <v>4.5192307692307692</v>
      </c>
      <c r="L51" s="4">
        <f t="shared" si="3"/>
        <v>4.3076923076923075</v>
      </c>
      <c r="M51" s="4">
        <f t="shared" si="3"/>
        <v>4.4423076923076925</v>
      </c>
      <c r="N51" s="4">
        <f t="shared" si="3"/>
        <v>3.5769230769230771</v>
      </c>
      <c r="O51" s="4">
        <f t="shared" si="3"/>
        <v>4.4230769230769234</v>
      </c>
      <c r="P51" s="4">
        <f t="shared" si="3"/>
        <v>0</v>
      </c>
      <c r="Q51" s="4">
        <f t="shared" si="3"/>
        <v>0</v>
      </c>
      <c r="R51" s="4">
        <f t="shared" si="3"/>
        <v>0</v>
      </c>
      <c r="S51" s="4">
        <f>AVERAGE(I25:I50)</f>
        <v>0</v>
      </c>
      <c r="T51" s="4">
        <f>AVERAGE(J25:J50)</f>
        <v>0</v>
      </c>
      <c r="U51" s="4">
        <v>-100</v>
      </c>
      <c r="V51" s="7">
        <f>SUM(W51:AF51)</f>
        <v>191.02307692307693</v>
      </c>
      <c r="W51" s="7">
        <f t="shared" ref="W51:AG51" si="4">AVERAGE(W25:W50)</f>
        <v>19.292307692307695</v>
      </c>
      <c r="X51" s="7">
        <f t="shared" si="4"/>
        <v>21.26923076923077</v>
      </c>
      <c r="Y51" s="7">
        <f t="shared" si="4"/>
        <v>50.46153846153846</v>
      </c>
      <c r="Z51" s="7">
        <f>AVERAGE(Z25:Z50)</f>
        <v>31.53846153846154</v>
      </c>
      <c r="AA51" s="7">
        <f t="shared" si="4"/>
        <v>41</v>
      </c>
      <c r="AB51" s="7">
        <f t="shared" si="4"/>
        <v>27.46153846153846</v>
      </c>
      <c r="AC51" s="7">
        <f t="shared" si="4"/>
        <v>0</v>
      </c>
      <c r="AD51" s="7">
        <f t="shared" si="4"/>
        <v>0</v>
      </c>
      <c r="AE51" s="5">
        <f t="shared" si="4"/>
        <v>0</v>
      </c>
      <c r="AF51" s="5">
        <f t="shared" si="4"/>
        <v>0</v>
      </c>
      <c r="AG51" s="48">
        <f t="shared" si="4"/>
        <v>13.5</v>
      </c>
    </row>
    <row r="52" spans="1:37" ht="14.15" hidden="1" customHeight="1" x14ac:dyDescent="0.35">
      <c r="Q52" s="3"/>
    </row>
  </sheetData>
  <sheetProtection password="80CF" sheet="1" objects="1" scenarios="1" selectLockedCells="1" selectUnlockedCells="1"/>
  <dataConsolidate function="max"/>
  <mergeCells count="4">
    <mergeCell ref="AC23:AD23"/>
    <mergeCell ref="AA23:AB23"/>
    <mergeCell ref="Y23:Z23"/>
    <mergeCell ref="AE23:AF23"/>
  </mergeCells>
  <phoneticPr fontId="0" type="noConversion"/>
  <printOptions gridLines="1" gridLinesSet="0"/>
  <pageMargins left="0.5" right="0.5" top="0.5" bottom="0.5" header="0.5" footer="0.5"/>
  <pageSetup scale="28" fitToHeight="7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Spring2004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Grove City College</dc:creator>
  <cp:lastModifiedBy>Carina Negreanu</cp:lastModifiedBy>
  <cp:lastPrinted>2001-08-14T17:38:33Z</cp:lastPrinted>
  <dcterms:created xsi:type="dcterms:W3CDTF">1999-08-27T13:46:30Z</dcterms:created>
  <dcterms:modified xsi:type="dcterms:W3CDTF">2020-01-27T11:09:33Z</dcterms:modified>
</cp:coreProperties>
</file>