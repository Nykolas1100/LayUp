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87A0C0-38FB-4F21-B1B6-3061000508F5}" xr6:coauthVersionLast="45" xr6:coauthVersionMax="45" xr10:uidLastSave="{00000000-0000-0000-0000-000000000000}"/>
  <bookViews>
    <workbookView xWindow="3420" yWindow="3420" windowWidth="28800" windowHeight="15460" tabRatio="604"/>
  </bookViews>
  <sheets>
    <sheet name="Sec1" sheetId="1" r:id="rId1"/>
    <sheet name="Sec2" sheetId="17" r:id="rId2"/>
    <sheet name="Sec3" sheetId="18" r:id="rId3"/>
    <sheet name="Sec4" sheetId="19" r:id="rId4"/>
    <sheet name="Sec5" sheetId="20" r:id="rId5"/>
    <sheet name="Letter Grade" sheetId="14" state="veryHidden" r:id=""/>
    <sheet name="Sort SSN Total" sheetId="15" state="veryHidden" r:id=""/>
  </sheets>
  <definedNames>
    <definedName name="_xlnm.Print_Area" localSheetId="0">'Sec1'!$A$1:$T$34</definedName>
    <definedName name="_xlnm.Print_Area" localSheetId="1">'Sec2'!$A$1:$T$34</definedName>
    <definedName name="_xlnm.Print_Area" localSheetId="2">'Sec3'!$A$1:$T$34</definedName>
    <definedName name="_xlnm.Print_Area" localSheetId="3">'Sec4'!$A$1:$T$34</definedName>
    <definedName name="_xlnm.Print_Area" localSheetId="4">'Sec5'!$A$1:$T$34</definedName>
    <definedName name="_xlnm.Print_Titles" localSheetId="0">'Sec1'!$A:$U,'Sec1'!$1:$5</definedName>
    <definedName name="_xlnm.Print_Titles" localSheetId="1">'Sec2'!$A:$U,'Sec2'!$1:$5</definedName>
    <definedName name="_xlnm.Print_Titles" localSheetId="2">'Sec3'!$A:$U,'Sec3'!$1:$5</definedName>
    <definedName name="_xlnm.Print_Titles" localSheetId="3">'Sec4'!$A:$U,'Sec4'!$1:$5</definedName>
    <definedName name="_xlnm.Print_Titles" localSheetId="4">'Sec5'!$A:$U,'Sec5'!$1:$5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" i="20" l="1"/>
  <c r="T13" i="20"/>
  <c r="S20" i="17"/>
  <c r="T20" i="17"/>
  <c r="S21" i="17"/>
  <c r="T21" i="17"/>
  <c r="D30" i="17"/>
  <c r="D34" i="17" s="1"/>
  <c r="E30" i="17"/>
  <c r="E34" i="17"/>
  <c r="F30" i="17"/>
  <c r="F34" i="17"/>
  <c r="G30" i="17"/>
  <c r="G34" i="17"/>
  <c r="H30" i="17"/>
  <c r="H34" i="17"/>
  <c r="I30" i="17"/>
  <c r="I34" i="17"/>
  <c r="J30" i="17"/>
  <c r="J32" i="17" s="1"/>
  <c r="J34" i="17"/>
  <c r="K30" i="17"/>
  <c r="K34" i="17"/>
  <c r="L30" i="17"/>
  <c r="L34" i="17"/>
  <c r="M30" i="17"/>
  <c r="M34" i="17"/>
  <c r="N30" i="17"/>
  <c r="N34" i="17" s="1"/>
  <c r="O30" i="17"/>
  <c r="O32" i="17" s="1"/>
  <c r="O34" i="17"/>
  <c r="P30" i="17"/>
  <c r="P34" i="17"/>
  <c r="Q30" i="17"/>
  <c r="Q32" i="17" s="1"/>
  <c r="Q34" i="17"/>
  <c r="R30" i="17"/>
  <c r="R32" i="17" s="1"/>
  <c r="R34" i="17"/>
  <c r="S6" i="17"/>
  <c r="T6" i="17" s="1"/>
  <c r="S7" i="17"/>
  <c r="T7" i="17" s="1"/>
  <c r="S8" i="17"/>
  <c r="T8" i="17" s="1"/>
  <c r="S9" i="17"/>
  <c r="T9" i="17" s="1"/>
  <c r="S10" i="17"/>
  <c r="S11" i="17"/>
  <c r="S12" i="17"/>
  <c r="S13" i="17"/>
  <c r="S14" i="17"/>
  <c r="S15" i="17"/>
  <c r="S16" i="17"/>
  <c r="S17" i="17"/>
  <c r="S18" i="17"/>
  <c r="S19" i="17"/>
  <c r="S13" i="1"/>
  <c r="S8" i="1"/>
  <c r="S15" i="1"/>
  <c r="S14" i="1"/>
  <c r="S7" i="1"/>
  <c r="S11" i="1"/>
  <c r="S12" i="1"/>
  <c r="S6" i="1"/>
  <c r="T6" i="1" s="1"/>
  <c r="S10" i="1"/>
  <c r="T10" i="1" s="1"/>
  <c r="S16" i="1"/>
  <c r="S9" i="1"/>
  <c r="S6" i="18"/>
  <c r="S7" i="18"/>
  <c r="S8" i="18"/>
  <c r="T8" i="18" s="1"/>
  <c r="S9" i="18"/>
  <c r="T9" i="18" s="1"/>
  <c r="S10" i="18"/>
  <c r="T10" i="18" s="1"/>
  <c r="S11" i="18"/>
  <c r="S6" i="19"/>
  <c r="T6" i="19" s="1"/>
  <c r="S7" i="19"/>
  <c r="T7" i="19" s="1"/>
  <c r="S8" i="19"/>
  <c r="T8" i="19" s="1"/>
  <c r="S9" i="19"/>
  <c r="T9" i="19" s="1"/>
  <c r="S10" i="19"/>
  <c r="T10" i="19" s="1"/>
  <c r="S11" i="19"/>
  <c r="T11" i="19" s="1"/>
  <c r="S12" i="19"/>
  <c r="T12" i="19" s="1"/>
  <c r="S13" i="19"/>
  <c r="T13" i="19" s="1"/>
  <c r="S14" i="19"/>
  <c r="T14" i="19" s="1"/>
  <c r="S15" i="19"/>
  <c r="T15" i="19" s="1"/>
  <c r="S16" i="19"/>
  <c r="T16" i="19" s="1"/>
  <c r="S17" i="19"/>
  <c r="T17" i="19" s="1"/>
  <c r="S18" i="19"/>
  <c r="S19" i="19"/>
  <c r="S20" i="19"/>
  <c r="S21" i="19"/>
  <c r="S22" i="19"/>
  <c r="T22" i="19" s="1"/>
  <c r="S6" i="20"/>
  <c r="T6" i="20" s="1"/>
  <c r="S7" i="20"/>
  <c r="T7" i="20" s="1"/>
  <c r="S8" i="20"/>
  <c r="S9" i="20"/>
  <c r="T9" i="20" s="1"/>
  <c r="S10" i="20"/>
  <c r="T10" i="20" s="1"/>
  <c r="S11" i="20"/>
  <c r="T11" i="20" s="1"/>
  <c r="S12" i="20"/>
  <c r="S30" i="20" s="1"/>
  <c r="T13" i="1"/>
  <c r="T8" i="1"/>
  <c r="T15" i="1"/>
  <c r="T14" i="1"/>
  <c r="T7" i="1"/>
  <c r="T11" i="1"/>
  <c r="T12" i="1"/>
  <c r="T16" i="1"/>
  <c r="T9" i="1"/>
  <c r="T10" i="17"/>
  <c r="T11" i="17"/>
  <c r="T12" i="17"/>
  <c r="T13" i="17"/>
  <c r="T14" i="17"/>
  <c r="T15" i="17"/>
  <c r="T16" i="17"/>
  <c r="T17" i="17"/>
  <c r="T18" i="17"/>
  <c r="T19" i="17"/>
  <c r="T6" i="18"/>
  <c r="T7" i="18"/>
  <c r="T11" i="18"/>
  <c r="T18" i="19"/>
  <c r="T19" i="19"/>
  <c r="T20" i="19"/>
  <c r="T21" i="19"/>
  <c r="T8" i="20"/>
  <c r="D30" i="18"/>
  <c r="D34" i="18" s="1"/>
  <c r="E30" i="18"/>
  <c r="E32" i="18" s="1"/>
  <c r="E34" i="18"/>
  <c r="F30" i="18"/>
  <c r="F32" i="18" s="1"/>
  <c r="F34" i="18"/>
  <c r="G30" i="18"/>
  <c r="G32" i="18" s="1"/>
  <c r="G34" i="18"/>
  <c r="H30" i="18"/>
  <c r="H32" i="18" s="1"/>
  <c r="H34" i="18"/>
  <c r="I30" i="18"/>
  <c r="I34" i="18" s="1"/>
  <c r="J30" i="18"/>
  <c r="J34" i="18" s="1"/>
  <c r="K30" i="18"/>
  <c r="K34" i="18" s="1"/>
  <c r="L30" i="18"/>
  <c r="L34" i="18"/>
  <c r="M30" i="18"/>
  <c r="M32" i="18" s="1"/>
  <c r="M34" i="18"/>
  <c r="N30" i="18"/>
  <c r="N32" i="18" s="1"/>
  <c r="O30" i="18"/>
  <c r="O32" i="18" s="1"/>
  <c r="O34" i="18"/>
  <c r="P30" i="18"/>
  <c r="P34" i="18"/>
  <c r="Q30" i="18"/>
  <c r="Q34" i="18"/>
  <c r="R30" i="18"/>
  <c r="R32" i="18" s="1"/>
  <c r="R34" i="18"/>
  <c r="S30" i="18"/>
  <c r="S34" i="18" s="1"/>
  <c r="D30" i="19"/>
  <c r="D34" i="19"/>
  <c r="E30" i="19"/>
  <c r="E34" i="19"/>
  <c r="F30" i="19"/>
  <c r="F34" i="19" s="1"/>
  <c r="G30" i="19"/>
  <c r="G34" i="19"/>
  <c r="H30" i="19"/>
  <c r="H34" i="19"/>
  <c r="I30" i="19"/>
  <c r="I34" i="19"/>
  <c r="J30" i="19"/>
  <c r="J34" i="19"/>
  <c r="K30" i="19"/>
  <c r="K34" i="19"/>
  <c r="L30" i="19"/>
  <c r="L32" i="19" s="1"/>
  <c r="L34" i="19"/>
  <c r="M30" i="19"/>
  <c r="M34" i="19"/>
  <c r="N30" i="19"/>
  <c r="N34" i="19"/>
  <c r="O30" i="19"/>
  <c r="O34" i="19"/>
  <c r="P30" i="19"/>
  <c r="P32" i="19" s="1"/>
  <c r="Q30" i="19"/>
  <c r="Q32" i="19" s="1"/>
  <c r="Q34" i="19"/>
  <c r="R30" i="19"/>
  <c r="R34" i="19"/>
  <c r="D30" i="20"/>
  <c r="D32" i="20" s="1"/>
  <c r="D34" i="20"/>
  <c r="E30" i="20"/>
  <c r="E32" i="20" s="1"/>
  <c r="E34" i="20"/>
  <c r="F30" i="20"/>
  <c r="F34" i="20" s="1"/>
  <c r="G30" i="20"/>
  <c r="G34" i="20" s="1"/>
  <c r="H30" i="20"/>
  <c r="H34" i="20" s="1"/>
  <c r="I30" i="20"/>
  <c r="I34" i="20"/>
  <c r="J30" i="20"/>
  <c r="J34" i="20"/>
  <c r="K30" i="20"/>
  <c r="K32" i="20" s="1"/>
  <c r="L30" i="20"/>
  <c r="L32" i="20" s="1"/>
  <c r="L34" i="20"/>
  <c r="M30" i="20"/>
  <c r="M32" i="20" s="1"/>
  <c r="M34" i="20"/>
  <c r="N30" i="20"/>
  <c r="N32" i="20" s="1"/>
  <c r="N34" i="20"/>
  <c r="O30" i="20"/>
  <c r="O32" i="20" s="1"/>
  <c r="O34" i="20"/>
  <c r="P30" i="20"/>
  <c r="P34" i="20" s="1"/>
  <c r="Q30" i="20"/>
  <c r="Q34" i="20" s="1"/>
  <c r="R30" i="20"/>
  <c r="R34" i="20" s="1"/>
  <c r="D30" i="1"/>
  <c r="D34" i="1"/>
  <c r="E30" i="1"/>
  <c r="E34" i="1"/>
  <c r="F30" i="1"/>
  <c r="F32" i="1" s="1"/>
  <c r="F34" i="1"/>
  <c r="G30" i="1"/>
  <c r="G32" i="1" s="1"/>
  <c r="G34" i="1"/>
  <c r="H30" i="1"/>
  <c r="H32" i="1" s="1"/>
  <c r="H34" i="1"/>
  <c r="I30" i="1"/>
  <c r="I32" i="1" s="1"/>
  <c r="I34" i="1"/>
  <c r="J30" i="1"/>
  <c r="J34" i="1"/>
  <c r="K30" i="1"/>
  <c r="K34" i="1"/>
  <c r="L30" i="1"/>
  <c r="L34" i="1"/>
  <c r="M30" i="1"/>
  <c r="M34" i="1" s="1"/>
  <c r="N30" i="1"/>
  <c r="N34" i="1"/>
  <c r="O30" i="1"/>
  <c r="O32" i="1" s="1"/>
  <c r="O34" i="1"/>
  <c r="P30" i="1"/>
  <c r="P32" i="1" s="1"/>
  <c r="P34" i="1"/>
  <c r="Q30" i="1"/>
  <c r="Q32" i="1" s="1"/>
  <c r="Q34" i="1"/>
  <c r="R30" i="1"/>
  <c r="R32" i="1" s="1"/>
  <c r="R34" i="1"/>
  <c r="C30" i="17"/>
  <c r="C34" i="17" s="1"/>
  <c r="C30" i="18"/>
  <c r="C34" i="18" s="1"/>
  <c r="C30" i="19"/>
  <c r="C34" i="19"/>
  <c r="C30" i="20"/>
  <c r="C34" i="20"/>
  <c r="C30" i="1"/>
  <c r="C32" i="1" s="1"/>
  <c r="A3" i="1"/>
  <c r="A3" i="17"/>
  <c r="A3" i="18"/>
  <c r="A3" i="19"/>
  <c r="A3" i="20"/>
  <c r="Q32" i="18"/>
  <c r="P32" i="18"/>
  <c r="L32" i="18"/>
  <c r="J32" i="18"/>
  <c r="D32" i="18"/>
  <c r="C32" i="18"/>
  <c r="C32" i="20"/>
  <c r="G32" i="20"/>
  <c r="H32" i="20"/>
  <c r="I32" i="20"/>
  <c r="J32" i="20"/>
  <c r="C32" i="19"/>
  <c r="D32" i="19"/>
  <c r="E32" i="19"/>
  <c r="F32" i="19"/>
  <c r="G32" i="19"/>
  <c r="H32" i="19"/>
  <c r="I32" i="19"/>
  <c r="J32" i="19"/>
  <c r="K32" i="19"/>
  <c r="M32" i="19"/>
  <c r="N32" i="19"/>
  <c r="O32" i="19"/>
  <c r="R32" i="19"/>
  <c r="D32" i="17"/>
  <c r="E32" i="17"/>
  <c r="F32" i="17"/>
  <c r="G32" i="17"/>
  <c r="H32" i="17"/>
  <c r="I32" i="17"/>
  <c r="K32" i="17"/>
  <c r="L32" i="17"/>
  <c r="M32" i="17"/>
  <c r="N32" i="17"/>
  <c r="P32" i="17"/>
  <c r="D32" i="1"/>
  <c r="E32" i="1"/>
  <c r="J32" i="1"/>
  <c r="K32" i="1"/>
  <c r="L32" i="1"/>
  <c r="M32" i="1"/>
  <c r="N32" i="1"/>
  <c r="S34" i="20" l="1"/>
  <c r="S32" i="20"/>
  <c r="T32" i="20" s="1"/>
  <c r="F32" i="20"/>
  <c r="S30" i="19"/>
  <c r="C32" i="17"/>
  <c r="C34" i="1"/>
  <c r="K34" i="20"/>
  <c r="N34" i="18"/>
  <c r="S30" i="17"/>
  <c r="S30" i="1"/>
  <c r="R32" i="20"/>
  <c r="Q32" i="20"/>
  <c r="P34" i="19"/>
  <c r="T12" i="20"/>
  <c r="T34" i="17" s="1"/>
  <c r="I32" i="18"/>
  <c r="P32" i="20"/>
  <c r="K32" i="18"/>
  <c r="S32" i="18"/>
  <c r="T32" i="18" s="1"/>
  <c r="S32" i="1" l="1"/>
  <c r="T32" i="1" s="1"/>
  <c r="S34" i="1"/>
  <c r="S32" i="17"/>
  <c r="T32" i="17" s="1"/>
  <c r="S34" i="17"/>
  <c r="T34" i="19"/>
  <c r="T34" i="20"/>
  <c r="T34" i="1"/>
  <c r="S32" i="19"/>
  <c r="T32" i="19" s="1"/>
  <c r="S34" i="19"/>
  <c r="T34" i="18"/>
</calcChain>
</file>

<file path=xl/sharedStrings.xml><?xml version="1.0" encoding="utf-8"?>
<sst xmlns="http://schemas.openxmlformats.org/spreadsheetml/2006/main" count="493" uniqueCount="83">
  <si>
    <t>HOMEWORK</t>
  </si>
  <si>
    <t>TESTS</t>
  </si>
  <si>
    <t>Total</t>
  </si>
  <si>
    <t>Lab</t>
  </si>
  <si>
    <t xml:space="preserve"> </t>
  </si>
  <si>
    <t>Sec 1 Avg.</t>
  </si>
  <si>
    <t>All sections</t>
  </si>
  <si>
    <t>Sec 2 Avg.</t>
  </si>
  <si>
    <t>Sec 4 Avg.</t>
  </si>
  <si>
    <t>Sec 5 Avg.</t>
  </si>
  <si>
    <t>Windows</t>
  </si>
  <si>
    <t>Excel</t>
  </si>
  <si>
    <t>Access</t>
  </si>
  <si>
    <t>Word</t>
  </si>
  <si>
    <t>Win</t>
  </si>
  <si>
    <t>Exl</t>
  </si>
  <si>
    <t>Acc</t>
  </si>
  <si>
    <t>Wrd</t>
  </si>
  <si>
    <t>A</t>
  </si>
  <si>
    <t>B</t>
  </si>
  <si>
    <t>ID</t>
  </si>
  <si>
    <t>%</t>
  </si>
  <si>
    <t>C</t>
  </si>
  <si>
    <t>Sec 3 Avg.</t>
  </si>
  <si>
    <t>0511</t>
  </si>
  <si>
    <t>8167</t>
  </si>
  <si>
    <t xml:space="preserve">  </t>
  </si>
  <si>
    <t>0175</t>
  </si>
  <si>
    <t>1314</t>
  </si>
  <si>
    <t>6624</t>
  </si>
  <si>
    <t>4470</t>
  </si>
  <si>
    <t>6563</t>
  </si>
  <si>
    <t>1937</t>
  </si>
  <si>
    <t>4926</t>
  </si>
  <si>
    <t>6854</t>
  </si>
  <si>
    <t>4149</t>
  </si>
  <si>
    <t>6734</t>
  </si>
  <si>
    <t>5464</t>
  </si>
  <si>
    <t>2997</t>
  </si>
  <si>
    <t>4558</t>
  </si>
  <si>
    <t>5230</t>
  </si>
  <si>
    <t>2620</t>
  </si>
  <si>
    <t>4118</t>
  </si>
  <si>
    <t>7063</t>
  </si>
  <si>
    <t>7537</t>
  </si>
  <si>
    <t>0980</t>
  </si>
  <si>
    <t>3942</t>
  </si>
  <si>
    <t>4436</t>
  </si>
  <si>
    <t>1164</t>
  </si>
  <si>
    <t>2768</t>
  </si>
  <si>
    <t>0236</t>
  </si>
  <si>
    <t>2786</t>
  </si>
  <si>
    <t>5217</t>
  </si>
  <si>
    <t>1266</t>
  </si>
  <si>
    <t>9511</t>
  </si>
  <si>
    <t>2389</t>
  </si>
  <si>
    <t>1793</t>
  </si>
  <si>
    <t>8050</t>
  </si>
  <si>
    <t>6893</t>
  </si>
  <si>
    <t>6573</t>
  </si>
  <si>
    <t>6276</t>
  </si>
  <si>
    <t>5855</t>
  </si>
  <si>
    <t>2644</t>
  </si>
  <si>
    <t>8692</t>
  </si>
  <si>
    <t>7286</t>
  </si>
  <si>
    <t>1091</t>
  </si>
  <si>
    <t>0338</t>
  </si>
  <si>
    <t>6183</t>
  </si>
  <si>
    <t>7347</t>
  </si>
  <si>
    <t>5210</t>
  </si>
  <si>
    <t>7009</t>
  </si>
  <si>
    <t>4276</t>
  </si>
  <si>
    <t>6022</t>
  </si>
  <si>
    <t>9704</t>
  </si>
  <si>
    <t>7818</t>
  </si>
  <si>
    <t>0014</t>
  </si>
  <si>
    <t>3601</t>
  </si>
  <si>
    <t>5639</t>
  </si>
  <si>
    <t>9999</t>
  </si>
  <si>
    <t>4705</t>
  </si>
  <si>
    <t>8208</t>
  </si>
  <si>
    <t>x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</si>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</sst>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&quot;$&quot;#,##0\ ;\(&quot;$&quot;#,##0\)"/>
    <numFmt numFmtId="177" formatCode="0.0"/>
    <numFmt numFmtId="181" formatCode="0.000"/>
  </numFmts>
  <fonts count="16" x14ac:knownFonts="1">
    <font>
      <sz val="10"/>
      <name val="Arial"/>
    </font>
    <font>
      <sz val="10"/>
      <color indexed="24"/>
      <name val="Arial"/>
    </font>
    <font>
      <b/>
      <sz val="18"/>
      <color indexed="24"/>
      <name val="Arial"/>
    </font>
    <font>
      <b/>
      <sz val="12"/>
      <color indexed="24"/>
      <name val="Arial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0"/>
      <color indexed="24"/>
      <name val="Arial"/>
      <family val="2"/>
    </font>
    <font>
      <sz val="11"/>
      <color indexed="8"/>
      <name val="Arial"/>
      <family val="2"/>
    </font>
    <font>
      <b/>
      <sz val="12"/>
      <name val="Arial"/>
    </font>
    <font>
      <sz val="10"/>
      <name val="Arial"/>
      <family val="2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</cellStyleXfs>
  <cellXfs count="91">
    <xf numFmtId="0" fontId="0" fillId="0" borderId="0" xfId="0"/>
    <xf numFmtId="0" fontId="1" fillId="0" borderId="0" xfId="7"/>
    <xf numFmtId="0" fontId="1" fillId="0" borderId="0" xfId="7" applyAlignment="1">
      <alignment horizontal="center"/>
    </xf>
    <xf numFmtId="1" fontId="4" fillId="0" borderId="0" xfId="7" applyNumberFormat="1" applyFont="1" applyBorder="1" applyAlignment="1">
      <alignment horizontal="center"/>
    </xf>
    <xf numFmtId="1" fontId="4" fillId="0" borderId="2" xfId="7" applyNumberFormat="1" applyFont="1" applyBorder="1" applyAlignment="1">
      <alignment horizontal="center"/>
    </xf>
    <xf numFmtId="1" fontId="4" fillId="0" borderId="3" xfId="7" applyNumberFormat="1" applyFont="1" applyBorder="1" applyAlignment="1">
      <alignment horizontal="center"/>
    </xf>
    <xf numFmtId="1" fontId="4" fillId="0" borderId="2" xfId="7" applyNumberFormat="1" applyFont="1" applyBorder="1"/>
    <xf numFmtId="0" fontId="4" fillId="0" borderId="0" xfId="7" applyFont="1" applyBorder="1" applyAlignment="1">
      <alignment horizontal="center"/>
    </xf>
    <xf numFmtId="1" fontId="4" fillId="0" borderId="4" xfId="7" applyNumberFormat="1" applyFont="1" applyBorder="1" applyAlignment="1">
      <alignment horizontal="center"/>
    </xf>
    <xf numFmtId="1" fontId="4" fillId="0" borderId="5" xfId="7" applyNumberFormat="1" applyFont="1" applyBorder="1" applyAlignment="1">
      <alignment horizontal="center"/>
    </xf>
    <xf numFmtId="1" fontId="4" fillId="0" borderId="1" xfId="7" applyNumberFormat="1" applyFont="1" applyBorder="1" applyAlignment="1">
      <alignment horizontal="center"/>
    </xf>
    <xf numFmtId="49" fontId="8" fillId="0" borderId="0" xfId="7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6" fillId="0" borderId="6" xfId="7" applyNumberFormat="1" applyFont="1" applyBorder="1" applyAlignment="1">
      <alignment horizontal="center"/>
    </xf>
    <xf numFmtId="1" fontId="7" fillId="0" borderId="6" xfId="7" applyNumberFormat="1" applyFont="1" applyBorder="1" applyAlignment="1">
      <alignment horizontal="centerContinuous"/>
    </xf>
    <xf numFmtId="177" fontId="4" fillId="0" borderId="7" xfId="7" applyNumberFormat="1" applyFont="1" applyBorder="1"/>
    <xf numFmtId="177" fontId="4" fillId="0" borderId="8" xfId="7" applyNumberFormat="1" applyFont="1" applyBorder="1" applyAlignment="1">
      <alignment horizontal="center"/>
    </xf>
    <xf numFmtId="1" fontId="4" fillId="0" borderId="9" xfId="7" applyNumberFormat="1" applyFont="1" applyBorder="1" applyAlignment="1">
      <alignment horizontal="centerContinuous"/>
    </xf>
    <xf numFmtId="1" fontId="4" fillId="0" borderId="3" xfId="7" applyNumberFormat="1" applyFont="1" applyBorder="1"/>
    <xf numFmtId="1" fontId="4" fillId="0" borderId="10" xfId="7" applyNumberFormat="1" applyFont="1" applyBorder="1" applyAlignment="1">
      <alignment horizontal="center"/>
    </xf>
    <xf numFmtId="1" fontId="4" fillId="0" borderId="11" xfId="7" applyNumberFormat="1" applyFont="1" applyBorder="1" applyAlignment="1">
      <alignment horizontal="center"/>
    </xf>
    <xf numFmtId="1" fontId="4" fillId="0" borderId="12" xfId="7" applyNumberFormat="1" applyFont="1" applyBorder="1" applyAlignment="1">
      <alignment horizontal="center"/>
    </xf>
    <xf numFmtId="1" fontId="7" fillId="0" borderId="13" xfId="7" applyNumberFormat="1" applyFont="1" applyBorder="1" applyAlignment="1">
      <alignment horizontal="centerContinuous"/>
    </xf>
    <xf numFmtId="177" fontId="4" fillId="0" borderId="2" xfId="7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0" fontId="1" fillId="0" borderId="3" xfId="7" applyBorder="1" applyAlignment="1">
      <alignment horizontal="center"/>
    </xf>
    <xf numFmtId="0" fontId="1" fillId="0" borderId="2" xfId="7" applyBorder="1"/>
    <xf numFmtId="0" fontId="1" fillId="0" borderId="2" xfId="7" applyBorder="1" applyAlignment="1">
      <alignment horizontal="center"/>
    </xf>
    <xf numFmtId="0" fontId="0" fillId="0" borderId="15" xfId="0" applyBorder="1"/>
    <xf numFmtId="0" fontId="10" fillId="0" borderId="2" xfId="0" applyFont="1" applyBorder="1" applyAlignment="1">
      <alignment horizontal="center"/>
    </xf>
    <xf numFmtId="0" fontId="8" fillId="0" borderId="2" xfId="7" applyNumberFormat="1" applyFont="1" applyBorder="1" applyAlignment="1">
      <alignment horizontal="center"/>
    </xf>
    <xf numFmtId="0" fontId="8" fillId="0" borderId="0" xfId="7" applyNumberFormat="1" applyFont="1" applyBorder="1" applyAlignment="1">
      <alignment horizontal="center"/>
    </xf>
    <xf numFmtId="0" fontId="8" fillId="0" borderId="3" xfId="7" applyNumberFormat="1" applyFont="1" applyBorder="1" applyAlignment="1">
      <alignment horizontal="center"/>
    </xf>
    <xf numFmtId="0" fontId="11" fillId="0" borderId="2" xfId="7" applyFont="1" applyBorder="1"/>
    <xf numFmtId="1" fontId="11" fillId="0" borderId="14" xfId="7" applyNumberFormat="1" applyFont="1" applyBorder="1"/>
    <xf numFmtId="1" fontId="4" fillId="0" borderId="16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0" fillId="0" borderId="0" xfId="0" applyBorder="1"/>
    <xf numFmtId="0" fontId="13" fillId="0" borderId="0" xfId="0" applyFont="1"/>
    <xf numFmtId="0" fontId="11" fillId="0" borderId="3" xfId="7" applyFont="1" applyBorder="1"/>
    <xf numFmtId="177" fontId="9" fillId="0" borderId="17" xfId="7" applyNumberFormat="1" applyFont="1" applyBorder="1" applyAlignment="1">
      <alignment horizontal="center"/>
    </xf>
    <xf numFmtId="1" fontId="8" fillId="0" borderId="4" xfId="7" applyNumberFormat="1" applyFont="1" applyBorder="1" applyAlignment="1">
      <alignment horizontal="center"/>
    </xf>
    <xf numFmtId="1" fontId="7" fillId="0" borderId="18" xfId="7" applyNumberFormat="1" applyFont="1" applyBorder="1" applyAlignment="1">
      <alignment horizontal="center"/>
    </xf>
    <xf numFmtId="1" fontId="7" fillId="0" borderId="19" xfId="7" applyNumberFormat="1" applyFont="1" applyBorder="1" applyAlignment="1">
      <alignment horizontal="center"/>
    </xf>
    <xf numFmtId="177" fontId="9" fillId="0" borderId="20" xfId="7" applyNumberFormat="1" applyFont="1" applyBorder="1" applyAlignment="1">
      <alignment horizontal="center"/>
    </xf>
    <xf numFmtId="0" fontId="0" fillId="0" borderId="21" xfId="0" applyBorder="1"/>
    <xf numFmtId="0" fontId="14" fillId="0" borderId="0" xfId="7" applyFont="1" applyAlignment="1">
      <alignment horizontal="center"/>
    </xf>
    <xf numFmtId="0" fontId="14" fillId="0" borderId="2" xfId="7" applyFont="1" applyBorder="1" applyAlignment="1">
      <alignment horizontal="center"/>
    </xf>
    <xf numFmtId="1" fontId="4" fillId="0" borderId="22" xfId="7" applyNumberFormat="1" applyFont="1" applyBorder="1" applyAlignment="1">
      <alignment horizontal="center"/>
    </xf>
    <xf numFmtId="1" fontId="4" fillId="0" borderId="23" xfId="7" applyNumberFormat="1" applyFont="1" applyBorder="1" applyAlignment="1">
      <alignment horizontal="center"/>
    </xf>
    <xf numFmtId="1" fontId="4" fillId="0" borderId="24" xfId="7" applyNumberFormat="1" applyFont="1" applyBorder="1" applyAlignment="1">
      <alignment horizontal="center"/>
    </xf>
    <xf numFmtId="0" fontId="4" fillId="0" borderId="25" xfId="7" applyFont="1" applyBorder="1" applyAlignment="1">
      <alignment horizontal="center"/>
    </xf>
    <xf numFmtId="1" fontId="15" fillId="0" borderId="3" xfId="7" applyNumberFormat="1" applyFont="1" applyBorder="1" applyAlignment="1">
      <alignment horizontal="center"/>
    </xf>
    <xf numFmtId="0" fontId="0" fillId="0" borderId="26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49" fontId="10" fillId="0" borderId="0" xfId="7" applyNumberFormat="1" applyFont="1" applyBorder="1" applyAlignment="1">
      <alignment horizontal="center"/>
    </xf>
    <xf numFmtId="49" fontId="10" fillId="0" borderId="0" xfId="7" applyNumberFormat="1" applyFont="1" applyAlignment="1">
      <alignment horizontal="center"/>
    </xf>
    <xf numFmtId="177" fontId="4" fillId="0" borderId="29" xfId="7" applyNumberFormat="1" applyFont="1" applyBorder="1"/>
    <xf numFmtId="1" fontId="10" fillId="0" borderId="3" xfId="0" applyNumberFormat="1" applyFont="1" applyBorder="1" applyAlignment="1">
      <alignment horizontal="center"/>
    </xf>
    <xf numFmtId="0" fontId="1" fillId="0" borderId="0" xfId="7" applyBorder="1"/>
    <xf numFmtId="0" fontId="14" fillId="0" borderId="0" xfId="7" applyFont="1" applyBorder="1" applyAlignment="1">
      <alignment horizontal="center"/>
    </xf>
    <xf numFmtId="0" fontId="1" fillId="0" borderId="0" xfId="7" applyBorder="1" applyAlignment="1">
      <alignment horizontal="center"/>
    </xf>
    <xf numFmtId="1" fontId="4" fillId="0" borderId="0" xfId="7" applyNumberFormat="1" applyFont="1" applyBorder="1"/>
    <xf numFmtId="0" fontId="1" fillId="0" borderId="0" xfId="7" applyFont="1" applyAlignment="1">
      <alignment horizontal="center"/>
    </xf>
    <xf numFmtId="177" fontId="4" fillId="0" borderId="30" xfId="7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8" fillId="0" borderId="2" xfId="7" applyNumberFormat="1" applyFont="1" applyBorder="1" applyAlignment="1">
      <alignment horizontal="center"/>
    </xf>
    <xf numFmtId="1" fontId="8" fillId="0" borderId="2" xfId="7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77" fontId="8" fillId="0" borderId="7" xfId="0" applyNumberFormat="1" applyFont="1" applyBorder="1" applyAlignment="1">
      <alignment horizontal="center"/>
    </xf>
    <xf numFmtId="177" fontId="8" fillId="0" borderId="14" xfId="0" applyNumberFormat="1" applyFont="1" applyBorder="1" applyAlignment="1">
      <alignment horizontal="center"/>
    </xf>
    <xf numFmtId="181" fontId="0" fillId="0" borderId="0" xfId="0" applyNumberFormat="1"/>
    <xf numFmtId="1" fontId="10" fillId="0" borderId="0" xfId="0" applyNumberFormat="1" applyFont="1" applyBorder="1" applyAlignment="1">
      <alignment horizontal="center"/>
    </xf>
    <xf numFmtId="1" fontId="8" fillId="0" borderId="0" xfId="7" applyNumberFormat="1" applyFont="1" applyBorder="1" applyAlignment="1">
      <alignment horizontal="center"/>
    </xf>
    <xf numFmtId="2" fontId="8" fillId="0" borderId="0" xfId="7" applyNumberFormat="1" applyFont="1" applyBorder="1" applyAlignment="1">
      <alignment horizontal="center"/>
    </xf>
    <xf numFmtId="1" fontId="8" fillId="0" borderId="3" xfId="7" applyNumberFormat="1" applyFont="1" applyBorder="1" applyAlignment="1">
      <alignment horizontal="center"/>
    </xf>
    <xf numFmtId="0" fontId="1" fillId="0" borderId="0" xfId="7" applyFont="1"/>
    <xf numFmtId="1" fontId="1" fillId="0" borderId="0" xfId="7" applyNumberFormat="1"/>
    <xf numFmtId="1" fontId="10" fillId="0" borderId="0" xfId="0" quotePrefix="1" applyNumberFormat="1" applyFont="1" applyBorder="1" applyAlignment="1">
      <alignment horizontal="center"/>
    </xf>
    <xf numFmtId="0" fontId="12" fillId="0" borderId="0" xfId="7" applyFont="1" applyBorder="1" applyAlignment="1">
      <alignment horizontal="center"/>
    </xf>
    <xf numFmtId="14" fontId="5" fillId="0" borderId="11" xfId="7" quotePrefix="1" applyNumberFormat="1" applyFont="1" applyBorder="1" applyAlignment="1">
      <alignment horizontal="center"/>
    </xf>
    <xf numFmtId="14" fontId="5" fillId="0" borderId="12" xfId="7" quotePrefix="1" applyNumberFormat="1" applyFont="1" applyBorder="1" applyAlignment="1">
      <alignment horizontal="center"/>
    </xf>
    <xf numFmtId="1" fontId="4" fillId="0" borderId="2" xfId="7" applyNumberFormat="1" applyFont="1" applyBorder="1" applyAlignment="1">
      <alignment horizontal="center"/>
    </xf>
    <xf numFmtId="1" fontId="4" fillId="0" borderId="0" xfId="7" applyNumberFormat="1" applyFont="1" applyBorder="1" applyAlignment="1">
      <alignment horizontal="center"/>
    </xf>
    <xf numFmtId="1" fontId="4" fillId="0" borderId="3" xfId="7" applyNumberFormat="1" applyFont="1" applyBorder="1" applyAlignment="1">
      <alignment horizontal="center"/>
    </xf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Summer 94" xfId="7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X210"/>
  <sheetViews>
    <sheetView showZeros="0" tabSelected="1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3" width="5.81640625" style="1" bestFit="1" customWidth="1"/>
    <col min="4" max="4" width="5.81640625" style="83" bestFit="1" customWidth="1"/>
    <col min="5" max="5" width="5.81640625" style="1" bestFit="1" customWidth="1"/>
    <col min="6" max="6" width="6.54296875" style="1" bestFit="1" customWidth="1"/>
    <col min="7" max="7" width="5.81640625" style="1" bestFit="1" customWidth="1"/>
    <col min="8" max="8" width="5.81640625" style="1" customWidth="1"/>
    <col min="9" max="9" width="5.81640625" style="1" bestFit="1" customWidth="1"/>
    <col min="10" max="10" width="5.81640625" style="2" bestFit="1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customWidth="1"/>
    <col min="20" max="20" width="5.81640625" style="1" bestFit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6">
        <v>38028</v>
      </c>
      <c r="B2" s="87"/>
      <c r="C2" s="19" t="s">
        <v>14</v>
      </c>
      <c r="D2" s="20" t="s">
        <v>15</v>
      </c>
      <c r="E2" s="20" t="s">
        <v>16</v>
      </c>
      <c r="F2" s="21" t="s">
        <v>17</v>
      </c>
      <c r="G2" s="88" t="s">
        <v>10</v>
      </c>
      <c r="H2" s="89"/>
      <c r="I2" s="90"/>
      <c r="J2" s="88" t="s">
        <v>11</v>
      </c>
      <c r="K2" s="89"/>
      <c r="L2" s="90"/>
      <c r="M2" s="88" t="s">
        <v>12</v>
      </c>
      <c r="N2" s="89"/>
      <c r="O2" s="90"/>
      <c r="P2" s="88" t="s">
        <v>13</v>
      </c>
      <c r="Q2" s="89"/>
      <c r="R2" s="90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11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82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1</v>
      </c>
      <c r="B6" s="11" t="s">
        <v>32</v>
      </c>
      <c r="C6" s="73">
        <v>39</v>
      </c>
      <c r="D6" s="79"/>
      <c r="E6" s="79"/>
      <c r="F6" s="81"/>
      <c r="G6" s="74">
        <v>28</v>
      </c>
      <c r="H6" s="78">
        <v>25</v>
      </c>
      <c r="I6" s="78">
        <v>25</v>
      </c>
      <c r="J6" s="73"/>
      <c r="K6" s="78"/>
      <c r="L6" s="78"/>
      <c r="M6" s="74"/>
      <c r="N6" s="78"/>
      <c r="O6" s="78"/>
      <c r="P6" s="74"/>
      <c r="Q6" s="78"/>
      <c r="R6" s="64"/>
      <c r="S6" s="46">
        <f t="shared" ref="S6:S16" si="0">SUM(C6:R6)</f>
        <v>117</v>
      </c>
      <c r="T6" s="75">
        <f t="shared" ref="T6:T16" si="1">IF(S6&gt;0,(S6/ABS($S$3)*100),0)</f>
        <v>97.5</v>
      </c>
      <c r="W6"/>
      <c r="X6"/>
    </row>
    <row r="7" spans="1:24" ht="16.149999999999999" customHeight="1" x14ac:dyDescent="0.35">
      <c r="A7" s="31">
        <v>1</v>
      </c>
      <c r="B7" s="11" t="s">
        <v>30</v>
      </c>
      <c r="C7" s="73">
        <v>40</v>
      </c>
      <c r="D7" s="79"/>
      <c r="E7" s="79"/>
      <c r="F7" s="81"/>
      <c r="G7" s="74">
        <v>29</v>
      </c>
      <c r="H7" s="78">
        <v>23</v>
      </c>
      <c r="I7" s="78">
        <v>21</v>
      </c>
      <c r="J7" s="73"/>
      <c r="K7" s="78"/>
      <c r="L7" s="78"/>
      <c r="M7" s="74"/>
      <c r="N7" s="78"/>
      <c r="O7" s="78"/>
      <c r="P7" s="74"/>
      <c r="Q7" s="78"/>
      <c r="R7" s="64"/>
      <c r="S7" s="46">
        <f t="shared" si="0"/>
        <v>113</v>
      </c>
      <c r="T7" s="75">
        <f t="shared" si="1"/>
        <v>94.166666666666671</v>
      </c>
      <c r="U7" s="43"/>
    </row>
    <row r="8" spans="1:24" ht="16.149999999999999" customHeight="1" x14ac:dyDescent="0.35">
      <c r="A8" s="31">
        <v>1</v>
      </c>
      <c r="B8" s="11" t="s">
        <v>71</v>
      </c>
      <c r="C8" s="73">
        <v>40</v>
      </c>
      <c r="D8" s="79"/>
      <c r="E8" s="79"/>
      <c r="F8" s="81"/>
      <c r="G8" s="74">
        <v>24</v>
      </c>
      <c r="H8" s="78">
        <v>25</v>
      </c>
      <c r="I8" s="78">
        <v>23</v>
      </c>
      <c r="J8" s="73"/>
      <c r="K8" s="78"/>
      <c r="L8" s="78"/>
      <c r="M8" s="74"/>
      <c r="N8" s="78"/>
      <c r="O8" s="78"/>
      <c r="P8" s="74"/>
      <c r="Q8" s="78"/>
      <c r="R8" s="64"/>
      <c r="S8" s="46">
        <f t="shared" si="0"/>
        <v>112</v>
      </c>
      <c r="T8" s="75">
        <f t="shared" si="1"/>
        <v>93.333333333333329</v>
      </c>
      <c r="U8" s="43"/>
    </row>
    <row r="9" spans="1:24" ht="16.149999999999999" customHeight="1" x14ac:dyDescent="0.35">
      <c r="A9" s="31">
        <v>1</v>
      </c>
      <c r="B9" s="11" t="s">
        <v>35</v>
      </c>
      <c r="C9" s="73">
        <v>40</v>
      </c>
      <c r="D9" s="79"/>
      <c r="E9" s="79"/>
      <c r="F9" s="81"/>
      <c r="G9" s="74">
        <v>28</v>
      </c>
      <c r="H9" s="78">
        <v>23</v>
      </c>
      <c r="I9" s="78">
        <v>21</v>
      </c>
      <c r="J9" s="73"/>
      <c r="K9" s="78"/>
      <c r="L9" s="78"/>
      <c r="M9" s="74"/>
      <c r="N9" s="78"/>
      <c r="O9" s="78"/>
      <c r="P9" s="74"/>
      <c r="Q9" s="78"/>
      <c r="R9" s="64"/>
      <c r="S9" s="46">
        <f t="shared" si="0"/>
        <v>112</v>
      </c>
      <c r="T9" s="75">
        <f t="shared" si="1"/>
        <v>93.333333333333329</v>
      </c>
      <c r="W9"/>
      <c r="X9"/>
    </row>
    <row r="10" spans="1:24" ht="16.149999999999999" customHeight="1" x14ac:dyDescent="0.35">
      <c r="A10" s="31">
        <v>1</v>
      </c>
      <c r="B10" s="11" t="s">
        <v>33</v>
      </c>
      <c r="C10" s="73">
        <v>38</v>
      </c>
      <c r="D10" s="79"/>
      <c r="E10" s="79"/>
      <c r="F10" s="81"/>
      <c r="G10" s="74">
        <v>29</v>
      </c>
      <c r="H10" s="78">
        <v>23</v>
      </c>
      <c r="I10" s="78">
        <v>21</v>
      </c>
      <c r="J10" s="73"/>
      <c r="K10" s="78"/>
      <c r="L10" s="78"/>
      <c r="M10" s="74"/>
      <c r="N10" s="78"/>
      <c r="O10" s="78"/>
      <c r="P10" s="74"/>
      <c r="Q10" s="78"/>
      <c r="R10" s="64"/>
      <c r="S10" s="46">
        <f t="shared" si="0"/>
        <v>111</v>
      </c>
      <c r="T10" s="75">
        <f t="shared" si="1"/>
        <v>92.5</v>
      </c>
      <c r="W10"/>
      <c r="X10"/>
    </row>
    <row r="11" spans="1:24" ht="16.149999999999999" customHeight="1" x14ac:dyDescent="0.35">
      <c r="A11" s="31">
        <v>1</v>
      </c>
      <c r="B11" s="11" t="s">
        <v>31</v>
      </c>
      <c r="C11" s="73">
        <v>39</v>
      </c>
      <c r="D11" s="79"/>
      <c r="E11" s="79"/>
      <c r="F11" s="81"/>
      <c r="G11" s="74">
        <v>27</v>
      </c>
      <c r="H11" s="78">
        <v>24</v>
      </c>
      <c r="I11" s="78">
        <v>19</v>
      </c>
      <c r="J11" s="73"/>
      <c r="K11" s="78"/>
      <c r="L11" s="78"/>
      <c r="M11" s="74"/>
      <c r="N11" s="78"/>
      <c r="O11" s="78"/>
      <c r="P11" s="74"/>
      <c r="Q11" s="78"/>
      <c r="R11" s="64"/>
      <c r="S11" s="46">
        <f t="shared" si="0"/>
        <v>109</v>
      </c>
      <c r="T11" s="75">
        <f t="shared" si="1"/>
        <v>90.833333333333329</v>
      </c>
      <c r="W11"/>
      <c r="X11"/>
    </row>
    <row r="12" spans="1:24" ht="16.149999999999999" customHeight="1" x14ac:dyDescent="0.35">
      <c r="A12" s="31">
        <v>1</v>
      </c>
      <c r="B12" s="11" t="s">
        <v>72</v>
      </c>
      <c r="C12" s="73">
        <v>39</v>
      </c>
      <c r="D12" s="79"/>
      <c r="E12" s="79"/>
      <c r="F12" s="81"/>
      <c r="G12" s="74">
        <v>27</v>
      </c>
      <c r="H12" s="78">
        <v>24</v>
      </c>
      <c r="I12" s="78">
        <v>18</v>
      </c>
      <c r="J12" s="73"/>
      <c r="K12" s="78"/>
      <c r="L12" s="78"/>
      <c r="M12" s="74"/>
      <c r="N12" s="78"/>
      <c r="O12" s="78"/>
      <c r="P12" s="74"/>
      <c r="Q12" s="78"/>
      <c r="R12" s="64"/>
      <c r="S12" s="46">
        <f t="shared" si="0"/>
        <v>108</v>
      </c>
      <c r="T12" s="75">
        <f t="shared" si="1"/>
        <v>90</v>
      </c>
      <c r="W12"/>
      <c r="X12"/>
    </row>
    <row r="13" spans="1:24" ht="16.149999999999999" customHeight="1" x14ac:dyDescent="0.35">
      <c r="A13" s="31">
        <v>1</v>
      </c>
      <c r="B13" s="11" t="s">
        <v>27</v>
      </c>
      <c r="C13" s="73">
        <v>40</v>
      </c>
      <c r="D13" s="79"/>
      <c r="E13" s="79"/>
      <c r="F13" s="81"/>
      <c r="G13" s="74">
        <v>26</v>
      </c>
      <c r="H13" s="78">
        <v>23</v>
      </c>
      <c r="I13" s="78">
        <v>18</v>
      </c>
      <c r="J13" s="73"/>
      <c r="K13" s="78"/>
      <c r="L13" s="78"/>
      <c r="M13" s="74"/>
      <c r="N13" s="78"/>
      <c r="O13" s="78"/>
      <c r="P13" s="74"/>
      <c r="Q13" s="78"/>
      <c r="R13" s="64"/>
      <c r="S13" s="46">
        <f t="shared" si="0"/>
        <v>107</v>
      </c>
      <c r="T13" s="75">
        <f t="shared" si="1"/>
        <v>89.166666666666671</v>
      </c>
      <c r="U13" s="43"/>
    </row>
    <row r="14" spans="1:24" ht="16.149999999999999" customHeight="1" x14ac:dyDescent="0.35">
      <c r="A14" s="31">
        <v>1</v>
      </c>
      <c r="B14" s="11" t="s">
        <v>29</v>
      </c>
      <c r="C14" s="73">
        <v>40</v>
      </c>
      <c r="D14" s="79"/>
      <c r="E14" s="79"/>
      <c r="F14" s="81"/>
      <c r="G14" s="74">
        <v>21</v>
      </c>
      <c r="H14" s="31">
        <v>21</v>
      </c>
      <c r="I14" s="78">
        <v>19</v>
      </c>
      <c r="J14" s="73"/>
      <c r="K14" s="78"/>
      <c r="L14" s="78"/>
      <c r="M14" s="74"/>
      <c r="N14" s="78"/>
      <c r="O14" s="78"/>
      <c r="P14" s="74"/>
      <c r="Q14" s="78"/>
      <c r="R14" s="78"/>
      <c r="S14" s="46">
        <f t="shared" si="0"/>
        <v>101</v>
      </c>
      <c r="T14" s="75">
        <f t="shared" si="1"/>
        <v>84.166666666666671</v>
      </c>
      <c r="W14"/>
      <c r="X14"/>
    </row>
    <row r="15" spans="1:24" ht="16.149999999999999" customHeight="1" x14ac:dyDescent="0.35">
      <c r="A15" s="31">
        <v>1</v>
      </c>
      <c r="B15" s="11" t="s">
        <v>28</v>
      </c>
      <c r="C15" s="73">
        <v>36</v>
      </c>
      <c r="D15" s="79"/>
      <c r="E15" s="79"/>
      <c r="F15" s="81"/>
      <c r="G15" s="74">
        <v>24</v>
      </c>
      <c r="H15" s="78">
        <v>16</v>
      </c>
      <c r="I15" s="78">
        <v>15</v>
      </c>
      <c r="J15" s="73"/>
      <c r="K15" s="78"/>
      <c r="L15" s="78"/>
      <c r="M15" s="74"/>
      <c r="N15" s="78"/>
      <c r="O15" s="78"/>
      <c r="P15" s="74"/>
      <c r="Q15" s="78"/>
      <c r="R15" s="64"/>
      <c r="S15" s="46">
        <f t="shared" si="0"/>
        <v>91</v>
      </c>
      <c r="T15" s="75">
        <f t="shared" si="1"/>
        <v>75.833333333333329</v>
      </c>
      <c r="W15"/>
      <c r="X15"/>
    </row>
    <row r="16" spans="1:24" ht="16.149999999999999" customHeight="1" x14ac:dyDescent="0.35">
      <c r="A16" s="31">
        <v>1</v>
      </c>
      <c r="B16" s="37" t="s">
        <v>34</v>
      </c>
      <c r="C16" s="73"/>
      <c r="D16" s="79"/>
      <c r="E16" s="79"/>
      <c r="F16" s="81"/>
      <c r="G16" s="74"/>
      <c r="H16" s="78"/>
      <c r="I16" s="78"/>
      <c r="J16" s="73"/>
      <c r="K16" s="78"/>
      <c r="L16" s="78"/>
      <c r="M16" s="74"/>
      <c r="N16" s="78"/>
      <c r="O16" s="78"/>
      <c r="P16" s="74"/>
      <c r="Q16" s="78"/>
      <c r="R16" s="64"/>
      <c r="S16" s="46">
        <f t="shared" si="0"/>
        <v>0</v>
      </c>
      <c r="T16" s="75">
        <f t="shared" si="1"/>
        <v>0</v>
      </c>
      <c r="U16" s="43"/>
    </row>
    <row r="17" spans="1:24" ht="16.149999999999999" customHeight="1" x14ac:dyDescent="0.35">
      <c r="A17" s="31" t="s">
        <v>4</v>
      </c>
      <c r="B17" s="37" t="s">
        <v>4</v>
      </c>
      <c r="C17" s="73"/>
      <c r="D17" s="79"/>
      <c r="E17" s="79"/>
      <c r="F17" s="81"/>
      <c r="G17" s="74"/>
      <c r="H17" s="78"/>
      <c r="I17" s="78"/>
      <c r="J17" s="73"/>
      <c r="K17" s="78"/>
      <c r="L17" s="78"/>
      <c r="M17" s="74"/>
      <c r="N17" s="78"/>
      <c r="O17" s="78"/>
      <c r="P17" s="74"/>
      <c r="Q17" s="78"/>
      <c r="R17" s="64"/>
      <c r="S17" s="46" t="s">
        <v>4</v>
      </c>
      <c r="T17" s="75" t="s">
        <v>4</v>
      </c>
      <c r="U17" s="43"/>
    </row>
    <row r="18" spans="1:24" ht="16.149999999999999" customHeight="1" x14ac:dyDescent="0.35">
      <c r="A18" s="31" t="s">
        <v>4</v>
      </c>
      <c r="B18" s="11" t="s">
        <v>4</v>
      </c>
      <c r="C18" s="73"/>
      <c r="D18" s="79"/>
      <c r="E18" s="79"/>
      <c r="F18" s="81"/>
      <c r="G18" s="74"/>
      <c r="H18" s="78"/>
      <c r="I18" s="78"/>
      <c r="J18" s="73"/>
      <c r="K18" s="78"/>
      <c r="L18" s="78"/>
      <c r="M18" s="74"/>
      <c r="N18" s="78"/>
      <c r="O18" s="78"/>
      <c r="P18" s="74"/>
      <c r="Q18" s="78"/>
      <c r="R18" s="78"/>
      <c r="S18" s="46"/>
      <c r="T18" s="75"/>
      <c r="W18"/>
      <c r="X18"/>
    </row>
    <row r="19" spans="1:24" ht="16.149999999999999" customHeight="1" x14ac:dyDescent="0.35">
      <c r="A19" s="31" t="s">
        <v>4</v>
      </c>
      <c r="B19" s="11" t="s">
        <v>4</v>
      </c>
      <c r="C19" s="73"/>
      <c r="D19" s="79"/>
      <c r="E19" s="79"/>
      <c r="F19" s="81"/>
      <c r="G19" s="74"/>
      <c r="H19" s="78"/>
      <c r="I19" s="78"/>
      <c r="J19" s="73"/>
      <c r="K19" s="78"/>
      <c r="L19" s="78"/>
      <c r="M19" s="74"/>
      <c r="N19" s="78"/>
      <c r="O19" s="78"/>
      <c r="P19" s="74"/>
      <c r="Q19" s="78"/>
      <c r="R19" s="64"/>
      <c r="S19" s="46"/>
      <c r="T19" s="75"/>
      <c r="U19" s="43"/>
    </row>
    <row r="20" spans="1:24" ht="16.149999999999999" customHeight="1" x14ac:dyDescent="0.35">
      <c r="A20" s="31" t="s">
        <v>4</v>
      </c>
      <c r="B20" s="11" t="s">
        <v>4</v>
      </c>
      <c r="C20" s="73"/>
      <c r="D20" s="79"/>
      <c r="E20" s="79"/>
      <c r="F20" s="81"/>
      <c r="G20" s="74"/>
      <c r="H20" s="78"/>
      <c r="I20" s="78"/>
      <c r="J20" s="73"/>
      <c r="K20" s="78"/>
      <c r="L20" s="78"/>
      <c r="M20" s="74"/>
      <c r="N20" s="78"/>
      <c r="O20" s="78"/>
      <c r="P20" s="74"/>
      <c r="Q20" s="78"/>
      <c r="R20" s="64"/>
      <c r="S20" s="46"/>
      <c r="T20" s="75"/>
      <c r="U20" s="43"/>
    </row>
    <row r="21" spans="1:24" ht="16.149999999999999" customHeight="1" x14ac:dyDescent="0.35">
      <c r="A21" s="31" t="s">
        <v>4</v>
      </c>
      <c r="B21" s="11" t="s">
        <v>4</v>
      </c>
      <c r="C21" s="73"/>
      <c r="D21" s="79"/>
      <c r="E21" s="79"/>
      <c r="F21" s="81"/>
      <c r="G21" s="74"/>
      <c r="H21" s="78"/>
      <c r="I21" s="78"/>
      <c r="J21" s="73"/>
      <c r="K21" s="78"/>
      <c r="L21" s="78"/>
      <c r="M21" s="74"/>
      <c r="N21" s="78"/>
      <c r="O21" s="78"/>
      <c r="P21" s="74"/>
      <c r="Q21" s="78"/>
      <c r="R21" s="64"/>
      <c r="S21" s="46"/>
      <c r="T21" s="75"/>
      <c r="U21" s="43"/>
    </row>
    <row r="22" spans="1:24" ht="16.149999999999999" customHeight="1" x14ac:dyDescent="0.35">
      <c r="A22" s="31" t="s">
        <v>4</v>
      </c>
      <c r="B22" s="11" t="s">
        <v>4</v>
      </c>
      <c r="C22" s="73"/>
      <c r="D22" s="79"/>
      <c r="E22" s="79"/>
      <c r="F22" s="81"/>
      <c r="G22" s="74"/>
      <c r="H22" s="78"/>
      <c r="I22" s="78"/>
      <c r="J22" s="73"/>
      <c r="K22" s="78"/>
      <c r="L22" s="78"/>
      <c r="M22" s="74"/>
      <c r="N22" s="78"/>
      <c r="O22" s="78"/>
      <c r="P22" s="74"/>
      <c r="Q22" s="78"/>
      <c r="R22" s="64"/>
      <c r="S22" s="46"/>
      <c r="T22" s="75"/>
      <c r="W22"/>
      <c r="X22"/>
    </row>
    <row r="23" spans="1:24" ht="16.149999999999999" customHeight="1" x14ac:dyDescent="0.35">
      <c r="A23" s="31" t="s">
        <v>4</v>
      </c>
      <c r="B23" s="37" t="s">
        <v>4</v>
      </c>
      <c r="C23" s="73"/>
      <c r="D23" s="79"/>
      <c r="E23" s="79"/>
      <c r="F23" s="81"/>
      <c r="G23" s="74"/>
      <c r="H23" s="78"/>
      <c r="I23" s="78"/>
      <c r="J23" s="73"/>
      <c r="K23" s="78"/>
      <c r="L23" s="78"/>
      <c r="M23" s="74"/>
      <c r="N23" s="78"/>
      <c r="O23" s="78"/>
      <c r="P23" s="74"/>
      <c r="Q23" s="78"/>
      <c r="R23" s="64"/>
      <c r="S23" s="46"/>
      <c r="T23" s="75"/>
      <c r="W23"/>
      <c r="X23"/>
    </row>
    <row r="24" spans="1:24" ht="16.149999999999999" customHeight="1" x14ac:dyDescent="0.35">
      <c r="A24" s="31" t="s">
        <v>4</v>
      </c>
      <c r="B24" s="11" t="s">
        <v>4</v>
      </c>
      <c r="C24" s="73"/>
      <c r="D24" s="79"/>
      <c r="E24" s="79"/>
      <c r="F24" s="81"/>
      <c r="G24" s="74"/>
      <c r="H24" s="78"/>
      <c r="I24" s="78"/>
      <c r="J24" s="73"/>
      <c r="K24" s="78"/>
      <c r="L24" s="78"/>
      <c r="M24" s="74"/>
      <c r="N24" s="78"/>
      <c r="O24" s="78"/>
      <c r="P24" s="74"/>
      <c r="Q24" s="78"/>
      <c r="R24" s="64"/>
      <c r="S24" s="46"/>
      <c r="T24" s="75"/>
      <c r="U24" s="43"/>
    </row>
    <row r="25" spans="1:24" ht="16.149999999999999" customHeight="1" x14ac:dyDescent="0.35">
      <c r="A25" s="31" t="s">
        <v>4</v>
      </c>
      <c r="B25" s="11" t="s">
        <v>4</v>
      </c>
      <c r="C25" s="73"/>
      <c r="D25" s="79"/>
      <c r="E25" s="79"/>
      <c r="F25" s="81"/>
      <c r="G25" s="74"/>
      <c r="H25" s="78"/>
      <c r="I25" s="78"/>
      <c r="J25" s="72"/>
      <c r="K25" s="78"/>
      <c r="L25" s="78"/>
      <c r="M25" s="74"/>
      <c r="N25" s="78"/>
      <c r="O25" s="78"/>
      <c r="P25" s="74"/>
      <c r="Q25" s="78"/>
      <c r="R25" s="64"/>
      <c r="S25" s="46"/>
      <c r="T25" s="75"/>
      <c r="U25" s="43"/>
    </row>
    <row r="26" spans="1:24" ht="16.149999999999999" customHeight="1" x14ac:dyDescent="0.35">
      <c r="A26" s="31" t="s">
        <v>4</v>
      </c>
      <c r="B26" s="11" t="s">
        <v>4</v>
      </c>
      <c r="C26" s="73"/>
      <c r="D26" s="79"/>
      <c r="E26" s="79"/>
      <c r="F26" s="81"/>
      <c r="G26" s="74"/>
      <c r="H26" s="78"/>
      <c r="I26" s="78"/>
      <c r="J26" s="72"/>
      <c r="K26" s="78"/>
      <c r="L26" s="78"/>
      <c r="M26" s="74"/>
      <c r="N26" s="78"/>
      <c r="O26" s="78"/>
      <c r="P26" s="74"/>
      <c r="Q26" s="78"/>
      <c r="R26" s="64"/>
      <c r="S26" s="46"/>
      <c r="T26" s="75"/>
      <c r="U26" s="43"/>
    </row>
    <row r="27" spans="1:24" ht="16.149999999999999" customHeight="1" x14ac:dyDescent="0.35">
      <c r="A27" s="31" t="s">
        <v>4</v>
      </c>
      <c r="B27" s="11" t="s">
        <v>4</v>
      </c>
      <c r="C27" s="73"/>
      <c r="D27" s="79"/>
      <c r="E27" s="79"/>
      <c r="F27" s="81"/>
      <c r="G27" s="74"/>
      <c r="H27" s="78"/>
      <c r="I27" s="78"/>
      <c r="J27" s="72"/>
      <c r="K27" s="78"/>
      <c r="L27" s="78"/>
      <c r="M27" s="74"/>
      <c r="N27" s="78"/>
      <c r="O27" s="78"/>
      <c r="P27" s="74"/>
      <c r="Q27" s="78"/>
      <c r="R27" s="64"/>
      <c r="S27" s="46"/>
      <c r="T27" s="75"/>
      <c r="U27" s="43"/>
    </row>
    <row r="28" spans="1:24" ht="16.149999999999999" customHeight="1" x14ac:dyDescent="0.35">
      <c r="A28" s="31" t="s">
        <v>4</v>
      </c>
      <c r="B28" s="11" t="s">
        <v>4</v>
      </c>
      <c r="C28" s="73"/>
      <c r="D28" s="79"/>
      <c r="E28" s="79"/>
      <c r="F28" s="81"/>
      <c r="G28" s="74"/>
      <c r="H28" s="78"/>
      <c r="I28" s="78"/>
      <c r="J28" s="72"/>
      <c r="K28" s="78"/>
      <c r="L28" s="78"/>
      <c r="M28" s="74"/>
      <c r="N28" s="78"/>
      <c r="O28" s="78"/>
      <c r="P28" s="74"/>
      <c r="Q28" s="78"/>
      <c r="R28" s="64"/>
      <c r="S28" s="46" t="s">
        <v>4</v>
      </c>
      <c r="T28" s="75"/>
      <c r="U28" s="43"/>
    </row>
    <row r="29" spans="1:24" ht="16.149999999999999" customHeight="1" thickBot="1" x14ac:dyDescent="0.4">
      <c r="A29" s="31" t="s">
        <v>4</v>
      </c>
      <c r="B29" s="39" t="s">
        <v>4</v>
      </c>
      <c r="C29" s="30"/>
      <c r="D29" s="79"/>
      <c r="E29" s="31"/>
      <c r="F29" s="32"/>
      <c r="G29" s="30"/>
      <c r="H29" s="31"/>
      <c r="I29" s="31"/>
      <c r="J29" s="73"/>
      <c r="K29" s="31"/>
      <c r="L29" s="31"/>
      <c r="M29" s="30"/>
      <c r="N29" s="31"/>
      <c r="O29" s="31"/>
      <c r="P29" s="30"/>
      <c r="Q29" s="31"/>
      <c r="R29" s="32"/>
      <c r="S29" s="46" t="s">
        <v>4</v>
      </c>
      <c r="T29" s="40" t="s">
        <v>4</v>
      </c>
      <c r="U29" s="43"/>
    </row>
    <row r="30" spans="1:24" ht="16.149999999999999" customHeight="1" thickTop="1" x14ac:dyDescent="0.25">
      <c r="A30" s="10"/>
      <c r="B30" s="10" t="s">
        <v>4</v>
      </c>
      <c r="C30" s="9">
        <f t="shared" ref="C30:S30" si="2">SUM(C$6:C$28)</f>
        <v>391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263</v>
      </c>
      <c r="H30" s="9">
        <f t="shared" si="2"/>
        <v>227</v>
      </c>
      <c r="I30" s="9">
        <f t="shared" si="2"/>
        <v>200</v>
      </c>
      <c r="J30" s="9">
        <f t="shared" si="2"/>
        <v>0</v>
      </c>
      <c r="K30" s="9">
        <f t="shared" si="2"/>
        <v>0</v>
      </c>
      <c r="L30" s="9">
        <f t="shared" si="2"/>
        <v>0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1081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5</v>
      </c>
      <c r="B32"/>
      <c r="C32" s="23">
        <f t="shared" ref="C32:S32" si="3">IF(C$30&gt;0,AVERAGE(C$6:C$29),0)</f>
        <v>39.1</v>
      </c>
      <c r="D32" s="4">
        <f t="shared" si="3"/>
        <v>0</v>
      </c>
      <c r="E32" s="23">
        <f t="shared" si="3"/>
        <v>0</v>
      </c>
      <c r="F32" s="23">
        <f t="shared" si="3"/>
        <v>0</v>
      </c>
      <c r="G32" s="23">
        <f t="shared" si="3"/>
        <v>26.3</v>
      </c>
      <c r="H32" s="23">
        <f t="shared" si="3"/>
        <v>22.7</v>
      </c>
      <c r="I32" s="23">
        <f t="shared" si="3"/>
        <v>20</v>
      </c>
      <c r="J32" s="23">
        <f t="shared" si="3"/>
        <v>0</v>
      </c>
      <c r="K32" s="23">
        <f t="shared" si="3"/>
        <v>0</v>
      </c>
      <c r="L32" s="23">
        <f t="shared" si="3"/>
        <v>0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98.272727272727266</v>
      </c>
      <c r="T32" s="76">
        <f>IF(S32&gt;0,(S32/ABS($S$3)*100),0)</f>
        <v>81.893939393939391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38.03846153846154</v>
      </c>
      <c r="D34" s="16">
        <f>IF(D$30&gt;0,AVERAGE('Sec1'!D$6:D$16,'Sec2'!D$6:D$21,'Sec3'!D$6:D$11,'Sec4'!D$6:D$22,'Sec5'!D$6:D$13),0)</f>
        <v>0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25.73076923076923</v>
      </c>
      <c r="H34" s="16">
        <f>IF(H$30&gt;0,AVERAGE('Sec1'!H$6:H$16,'Sec2'!H$6:H$21,'Sec3'!H$6:H$11,'Sec4'!H$6:H$22,'Sec5'!H$6:H$13),0)</f>
        <v>22.096153846153847</v>
      </c>
      <c r="I34" s="16">
        <f>IF(I$30&gt;0,AVERAGE('Sec1'!I$6:I$16,'Sec2'!I$6:I$21,'Sec3'!I$6:I$11,'Sec4'!I$6:I$22,'Sec5'!I$6:I$13),0)</f>
        <v>19</v>
      </c>
      <c r="J34" s="16">
        <f>IF(J$30&gt;0,AVERAGE('Sec1'!J$6:J$16,'Sec2'!J$6:J$21,'Sec3'!J$6:J$11,'Sec4'!J$6:J$22,'Sec5'!J$6:J$13),0)</f>
        <v>0</v>
      </c>
      <c r="K34" s="16">
        <f>IF(K$30&gt;0,AVERAGE('Sec1'!K$6:K$16,'Sec2'!K$6:K$21,'Sec3'!K$6:K$11,'Sec4'!K$6:K$22,'Sec5'!K$6:K$13),0)</f>
        <v>0</v>
      </c>
      <c r="L34" s="16">
        <f>IF(L$30&gt;0,AVERAGE('Sec1'!L$6:L$16,'Sec2'!L$6:L$21,'Sec3'!L$6:L$11,'Sec4'!L$6:L$22,'Sec5'!L$6:L$13),0)</f>
        <v>0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94.017241379310349</v>
      </c>
      <c r="T34" s="70">
        <f>IF(T$30&gt;0,AVERAGE('Sec1'!T$6:T$16,'Sec2'!T$6:T$21,'Sec3'!T$6:T$11,'Sec4'!T$6:T$22,'Sec5'!T$6:T$13),0)</f>
        <v>78.347701149425276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4" width="5.81640625" style="1" bestFit="1" customWidth="1"/>
    <col min="5" max="5" width="6.54296875" style="1" bestFit="1" customWidth="1"/>
    <col min="6" max="7" width="5.81640625" style="1" bestFit="1" customWidth="1"/>
    <col min="8" max="8" width="5.81640625" style="1" customWidth="1"/>
    <col min="9" max="9" width="5.81640625" style="1" bestFit="1" customWidth="1"/>
    <col min="10" max="10" width="7" style="2" bestFit="1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6.54296875" style="1" customWidth="1"/>
    <col min="20" max="20" width="5.81640625" style="1" bestFit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6">
        <v>38028</v>
      </c>
      <c r="B2" s="87"/>
      <c r="C2" s="19" t="s">
        <v>14</v>
      </c>
      <c r="D2" s="20" t="s">
        <v>15</v>
      </c>
      <c r="E2" s="20" t="s">
        <v>16</v>
      </c>
      <c r="F2" s="21" t="s">
        <v>17</v>
      </c>
      <c r="G2" s="88" t="s">
        <v>10</v>
      </c>
      <c r="H2" s="89"/>
      <c r="I2" s="90"/>
      <c r="J2" s="88" t="s">
        <v>11</v>
      </c>
      <c r="K2" s="89"/>
      <c r="L2" s="90"/>
      <c r="M2" s="88" t="s">
        <v>12</v>
      </c>
      <c r="N2" s="89"/>
      <c r="O2" s="90"/>
      <c r="P2" s="88" t="s">
        <v>13</v>
      </c>
      <c r="Q2" s="89"/>
      <c r="R2" s="90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16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82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2</v>
      </c>
      <c r="B6" s="11" t="s">
        <v>40</v>
      </c>
      <c r="C6" s="73">
        <v>39</v>
      </c>
      <c r="D6" s="79"/>
      <c r="E6" s="79"/>
      <c r="F6" s="81"/>
      <c r="G6" s="74">
        <v>28</v>
      </c>
      <c r="H6" s="79">
        <v>22</v>
      </c>
      <c r="I6" s="79">
        <v>22</v>
      </c>
      <c r="J6" s="73"/>
      <c r="K6" s="79"/>
      <c r="L6" s="78"/>
      <c r="M6" s="73"/>
      <c r="N6" s="79"/>
      <c r="O6" s="79"/>
      <c r="P6" s="73"/>
      <c r="Q6" s="79"/>
      <c r="R6" s="79"/>
      <c r="S6" s="46">
        <f t="shared" ref="S6:S21" si="0">SUM(C6:R6)</f>
        <v>111</v>
      </c>
      <c r="T6" s="75">
        <f t="shared" ref="T6:T21" si="1">IF(S6&gt;0,(S6/ABS($S$3)*100),0)</f>
        <v>92.5</v>
      </c>
      <c r="U6" s="43"/>
    </row>
    <row r="7" spans="1:24" ht="16.149999999999999" customHeight="1" x14ac:dyDescent="0.35">
      <c r="A7" s="31">
        <v>2</v>
      </c>
      <c r="B7" s="11" t="s">
        <v>41</v>
      </c>
      <c r="C7" s="73">
        <v>38</v>
      </c>
      <c r="D7" s="79"/>
      <c r="E7" s="79"/>
      <c r="F7" s="81"/>
      <c r="G7" s="73">
        <v>27</v>
      </c>
      <c r="H7" s="78">
        <v>24</v>
      </c>
      <c r="I7" s="78">
        <v>21</v>
      </c>
      <c r="J7" s="74"/>
      <c r="K7" s="78"/>
      <c r="L7" s="78"/>
      <c r="M7" s="74"/>
      <c r="N7" s="78"/>
      <c r="O7" s="78"/>
      <c r="P7" s="74"/>
      <c r="Q7" s="78"/>
      <c r="R7" s="78"/>
      <c r="S7" s="46">
        <f t="shared" si="0"/>
        <v>110</v>
      </c>
      <c r="T7" s="75">
        <f t="shared" si="1"/>
        <v>91.666666666666657</v>
      </c>
    </row>
    <row r="8" spans="1:24" ht="16.149999999999999" customHeight="1" x14ac:dyDescent="0.35">
      <c r="A8" s="31">
        <v>2</v>
      </c>
      <c r="B8" s="11" t="s">
        <v>38</v>
      </c>
      <c r="C8" s="73">
        <v>39</v>
      </c>
      <c r="D8" s="79"/>
      <c r="E8" s="79"/>
      <c r="F8" s="81"/>
      <c r="G8" s="74">
        <v>27</v>
      </c>
      <c r="H8" s="78">
        <v>22</v>
      </c>
      <c r="I8" s="78">
        <v>19</v>
      </c>
      <c r="J8" s="74"/>
      <c r="K8" s="78"/>
      <c r="L8" s="78"/>
      <c r="M8" s="74"/>
      <c r="N8" s="78"/>
      <c r="O8" s="78"/>
      <c r="P8" s="74"/>
      <c r="Q8" s="78"/>
      <c r="R8" s="78"/>
      <c r="S8" s="46">
        <f t="shared" si="0"/>
        <v>107</v>
      </c>
      <c r="T8" s="75">
        <f t="shared" si="1"/>
        <v>89.166666666666671</v>
      </c>
      <c r="U8" s="43"/>
    </row>
    <row r="9" spans="1:24" ht="16.149999999999999" customHeight="1" x14ac:dyDescent="0.35">
      <c r="A9" s="31">
        <v>2</v>
      </c>
      <c r="B9" s="11" t="s">
        <v>47</v>
      </c>
      <c r="C9" s="73">
        <v>37</v>
      </c>
      <c r="D9" s="79"/>
      <c r="E9" s="79"/>
      <c r="F9" s="81"/>
      <c r="G9" s="74">
        <v>25</v>
      </c>
      <c r="H9" s="78">
        <v>24</v>
      </c>
      <c r="I9" s="78">
        <v>21</v>
      </c>
      <c r="J9" s="74"/>
      <c r="K9" s="78"/>
      <c r="L9" s="78"/>
      <c r="M9" s="74"/>
      <c r="N9" s="78"/>
      <c r="O9" s="78"/>
      <c r="P9" s="74"/>
      <c r="Q9" s="78"/>
      <c r="R9" s="78"/>
      <c r="S9" s="46">
        <f t="shared" si="0"/>
        <v>107</v>
      </c>
      <c r="T9" s="75">
        <f t="shared" si="1"/>
        <v>89.166666666666671</v>
      </c>
      <c r="U9" s="43"/>
    </row>
    <row r="10" spans="1:24" ht="16.149999999999999" customHeight="1" x14ac:dyDescent="0.35">
      <c r="A10" s="31">
        <v>2</v>
      </c>
      <c r="B10" s="11" t="s">
        <v>24</v>
      </c>
      <c r="C10" s="73">
        <v>38</v>
      </c>
      <c r="D10" s="79"/>
      <c r="E10" s="79"/>
      <c r="F10" s="81"/>
      <c r="G10" s="74">
        <v>27</v>
      </c>
      <c r="H10" s="78">
        <v>22</v>
      </c>
      <c r="I10" s="78">
        <v>19</v>
      </c>
      <c r="J10" s="74"/>
      <c r="K10" s="78"/>
      <c r="L10" s="78"/>
      <c r="M10" s="74"/>
      <c r="N10" s="78"/>
      <c r="O10" s="78"/>
      <c r="P10" s="74"/>
      <c r="Q10" s="78"/>
      <c r="R10" s="78"/>
      <c r="S10" s="46">
        <f t="shared" si="0"/>
        <v>106</v>
      </c>
      <c r="T10" s="75">
        <f t="shared" si="1"/>
        <v>88.333333333333329</v>
      </c>
      <c r="U10" s="43"/>
    </row>
    <row r="11" spans="1:24" ht="16.149999999999999" customHeight="1" x14ac:dyDescent="0.35">
      <c r="A11" s="31">
        <v>2</v>
      </c>
      <c r="B11" s="11" t="s">
        <v>42</v>
      </c>
      <c r="C11" s="73">
        <v>39</v>
      </c>
      <c r="D11" s="79"/>
      <c r="E11" s="79"/>
      <c r="F11" s="81"/>
      <c r="G11" s="74">
        <v>28</v>
      </c>
      <c r="H11" s="78">
        <v>19</v>
      </c>
      <c r="I11" s="78">
        <v>20</v>
      </c>
      <c r="J11" s="74"/>
      <c r="K11" s="78"/>
      <c r="L11" s="78"/>
      <c r="M11" s="74"/>
      <c r="N11" s="78"/>
      <c r="O11" s="78"/>
      <c r="P11" s="74"/>
      <c r="Q11" s="78"/>
      <c r="R11" s="78"/>
      <c r="S11" s="46">
        <f t="shared" si="0"/>
        <v>106</v>
      </c>
      <c r="T11" s="75">
        <f t="shared" si="1"/>
        <v>88.333333333333329</v>
      </c>
      <c r="U11" s="43"/>
    </row>
    <row r="12" spans="1:24" ht="16.149999999999999" customHeight="1" x14ac:dyDescent="0.35">
      <c r="A12" s="31">
        <v>2</v>
      </c>
      <c r="B12" s="37" t="s">
        <v>44</v>
      </c>
      <c r="C12" s="73">
        <v>38</v>
      </c>
      <c r="D12" s="79"/>
      <c r="E12" s="79"/>
      <c r="F12" s="81"/>
      <c r="G12" s="74">
        <v>26</v>
      </c>
      <c r="H12" s="78">
        <v>19</v>
      </c>
      <c r="I12" s="78">
        <v>19</v>
      </c>
      <c r="J12" s="74"/>
      <c r="K12" s="78"/>
      <c r="L12" s="78"/>
      <c r="M12" s="74"/>
      <c r="N12" s="78"/>
      <c r="O12" s="78"/>
      <c r="P12" s="74"/>
      <c r="Q12" s="78"/>
      <c r="R12" s="78"/>
      <c r="S12" s="46">
        <f t="shared" si="0"/>
        <v>102</v>
      </c>
      <c r="T12" s="75">
        <f t="shared" si="1"/>
        <v>85</v>
      </c>
      <c r="U12" s="43"/>
    </row>
    <row r="13" spans="1:24" ht="16.149999999999999" customHeight="1" x14ac:dyDescent="0.35">
      <c r="A13" s="31">
        <v>2</v>
      </c>
      <c r="B13" s="11" t="s">
        <v>43</v>
      </c>
      <c r="C13" s="73">
        <v>32</v>
      </c>
      <c r="D13" s="79" t="s">
        <v>4</v>
      </c>
      <c r="E13" s="79" t="s">
        <v>4</v>
      </c>
      <c r="F13" s="81" t="s">
        <v>4</v>
      </c>
      <c r="G13" s="74">
        <v>29</v>
      </c>
      <c r="H13" s="78">
        <v>25</v>
      </c>
      <c r="I13" s="78">
        <v>15</v>
      </c>
      <c r="J13" s="74" t="s">
        <v>4</v>
      </c>
      <c r="K13" s="78" t="s">
        <v>4</v>
      </c>
      <c r="L13" s="78" t="s">
        <v>4</v>
      </c>
      <c r="M13" s="74" t="s">
        <v>4</v>
      </c>
      <c r="N13" s="78"/>
      <c r="O13" s="78"/>
      <c r="P13" s="74"/>
      <c r="Q13" s="78"/>
      <c r="R13" s="78"/>
      <c r="S13" s="46">
        <f t="shared" si="0"/>
        <v>101</v>
      </c>
      <c r="T13" s="75">
        <f t="shared" si="1"/>
        <v>84.166666666666671</v>
      </c>
      <c r="U13" s="43"/>
    </row>
    <row r="14" spans="1:24" ht="16.149999999999999" customHeight="1" x14ac:dyDescent="0.35">
      <c r="A14" s="31">
        <v>2</v>
      </c>
      <c r="B14" s="11" t="s">
        <v>37</v>
      </c>
      <c r="C14" s="73">
        <v>38</v>
      </c>
      <c r="D14" s="79"/>
      <c r="E14" s="79"/>
      <c r="F14" s="81"/>
      <c r="G14" s="74">
        <v>22</v>
      </c>
      <c r="H14" s="78">
        <v>20</v>
      </c>
      <c r="I14" s="78">
        <v>17</v>
      </c>
      <c r="J14" s="74"/>
      <c r="K14" s="78"/>
      <c r="L14" s="79"/>
      <c r="M14" s="74"/>
      <c r="N14" s="78"/>
      <c r="O14" s="78"/>
      <c r="P14" s="74"/>
      <c r="Q14" s="78"/>
      <c r="R14" s="78"/>
      <c r="S14" s="46">
        <f t="shared" si="0"/>
        <v>97</v>
      </c>
      <c r="T14" s="75">
        <f t="shared" si="1"/>
        <v>80.833333333333329</v>
      </c>
      <c r="W14"/>
      <c r="X14"/>
    </row>
    <row r="15" spans="1:24" ht="16.149999999999999" customHeight="1" x14ac:dyDescent="0.35">
      <c r="A15" s="31">
        <v>2</v>
      </c>
      <c r="B15" s="11" t="s">
        <v>77</v>
      </c>
      <c r="C15" s="73">
        <v>39</v>
      </c>
      <c r="D15" s="79"/>
      <c r="E15" s="79"/>
      <c r="F15" s="81"/>
      <c r="G15" s="74">
        <v>22</v>
      </c>
      <c r="H15" s="78">
        <v>18</v>
      </c>
      <c r="I15" s="78">
        <v>15</v>
      </c>
      <c r="J15" s="74"/>
      <c r="K15" s="78"/>
      <c r="L15" s="78"/>
      <c r="M15" s="74"/>
      <c r="N15" s="78"/>
      <c r="O15" s="78"/>
      <c r="P15" s="74"/>
      <c r="Q15" s="78"/>
      <c r="R15" s="78"/>
      <c r="S15" s="46">
        <f t="shared" si="0"/>
        <v>94</v>
      </c>
      <c r="T15" s="75">
        <f t="shared" si="1"/>
        <v>78.333333333333329</v>
      </c>
      <c r="U15" s="43"/>
    </row>
    <row r="16" spans="1:24" ht="16.149999999999999" customHeight="1" x14ac:dyDescent="0.35">
      <c r="A16" s="31">
        <v>2</v>
      </c>
      <c r="B16" s="11" t="s">
        <v>25</v>
      </c>
      <c r="C16" s="73">
        <v>35</v>
      </c>
      <c r="D16" s="79"/>
      <c r="E16" s="79"/>
      <c r="F16" s="81"/>
      <c r="G16" s="74">
        <v>21</v>
      </c>
      <c r="H16" s="78">
        <v>24</v>
      </c>
      <c r="I16" s="78">
        <v>12</v>
      </c>
      <c r="J16" s="71"/>
      <c r="K16" s="78"/>
      <c r="L16" s="78"/>
      <c r="M16" s="74"/>
      <c r="N16" s="78"/>
      <c r="O16" s="78"/>
      <c r="P16" s="74"/>
      <c r="Q16" s="78"/>
      <c r="R16" s="78"/>
      <c r="S16" s="46">
        <f t="shared" si="0"/>
        <v>92</v>
      </c>
      <c r="T16" s="75">
        <f t="shared" si="1"/>
        <v>76.666666666666671</v>
      </c>
      <c r="U16" s="43"/>
    </row>
    <row r="17" spans="1:24" ht="16.149999999999999" customHeight="1" x14ac:dyDescent="0.35">
      <c r="A17" s="31">
        <v>2</v>
      </c>
      <c r="B17" s="11" t="s">
        <v>45</v>
      </c>
      <c r="C17" s="73">
        <v>32</v>
      </c>
      <c r="D17" s="79"/>
      <c r="E17" s="79"/>
      <c r="F17" s="81"/>
      <c r="G17" s="74">
        <v>22</v>
      </c>
      <c r="H17" s="78">
        <v>20</v>
      </c>
      <c r="I17" s="78">
        <v>16</v>
      </c>
      <c r="J17" s="74"/>
      <c r="K17" s="78"/>
      <c r="L17" s="78"/>
      <c r="M17" s="74"/>
      <c r="N17" s="78"/>
      <c r="O17" s="78"/>
      <c r="P17" s="74"/>
      <c r="Q17" s="78"/>
      <c r="R17" s="78"/>
      <c r="S17" s="46">
        <f t="shared" si="0"/>
        <v>90</v>
      </c>
      <c r="T17" s="75">
        <f t="shared" si="1"/>
        <v>75</v>
      </c>
      <c r="U17" s="43"/>
    </row>
    <row r="18" spans="1:24" ht="16.149999999999999" customHeight="1" x14ac:dyDescent="0.35">
      <c r="A18" s="31">
        <v>2</v>
      </c>
      <c r="B18" s="11" t="s">
        <v>46</v>
      </c>
      <c r="C18" s="73">
        <v>36</v>
      </c>
      <c r="D18" s="79"/>
      <c r="E18" s="79"/>
      <c r="F18" s="81"/>
      <c r="G18" s="74">
        <v>21</v>
      </c>
      <c r="H18" s="78">
        <v>16</v>
      </c>
      <c r="I18" s="78">
        <v>16</v>
      </c>
      <c r="J18" s="74"/>
      <c r="K18" s="78"/>
      <c r="L18" s="78"/>
      <c r="M18" s="74"/>
      <c r="N18" s="78"/>
      <c r="O18" s="78"/>
      <c r="P18" s="74"/>
      <c r="Q18" s="78"/>
      <c r="R18" s="78"/>
      <c r="S18" s="46">
        <f t="shared" si="0"/>
        <v>89</v>
      </c>
      <c r="T18" s="75">
        <f t="shared" si="1"/>
        <v>74.166666666666671</v>
      </c>
      <c r="U18" s="43"/>
    </row>
    <row r="19" spans="1:24" ht="16.149999999999999" customHeight="1" x14ac:dyDescent="0.35">
      <c r="A19" s="31">
        <v>2</v>
      </c>
      <c r="B19" s="11" t="s">
        <v>36</v>
      </c>
      <c r="C19" s="73">
        <v>39</v>
      </c>
      <c r="D19" s="79"/>
      <c r="E19" s="79"/>
      <c r="F19" s="81"/>
      <c r="G19" s="74">
        <v>21</v>
      </c>
      <c r="H19" s="78">
        <v>12</v>
      </c>
      <c r="I19" s="78">
        <v>13</v>
      </c>
      <c r="J19" s="74"/>
      <c r="K19" s="78"/>
      <c r="L19" s="78"/>
      <c r="M19" s="74"/>
      <c r="N19" s="78"/>
      <c r="O19" s="78"/>
      <c r="P19" s="74"/>
      <c r="Q19" s="78"/>
      <c r="R19" s="64"/>
      <c r="S19" s="46">
        <f t="shared" si="0"/>
        <v>85</v>
      </c>
      <c r="T19" s="75">
        <f t="shared" si="1"/>
        <v>70.833333333333343</v>
      </c>
      <c r="U19" s="43"/>
    </row>
    <row r="20" spans="1:24" ht="16.149999999999999" customHeight="1" x14ac:dyDescent="0.35">
      <c r="A20" s="31">
        <v>2</v>
      </c>
      <c r="B20" s="11" t="s">
        <v>39</v>
      </c>
      <c r="C20" s="73" t="s">
        <v>81</v>
      </c>
      <c r="D20" s="79"/>
      <c r="E20" s="79"/>
      <c r="F20" s="81"/>
      <c r="G20" s="74" t="s">
        <v>81</v>
      </c>
      <c r="H20" s="78" t="s">
        <v>81</v>
      </c>
      <c r="I20" s="78" t="s">
        <v>81</v>
      </c>
      <c r="J20" s="74"/>
      <c r="K20" s="78"/>
      <c r="L20" s="78"/>
      <c r="M20" s="74"/>
      <c r="N20" s="78"/>
      <c r="O20" s="78"/>
      <c r="P20" s="74"/>
      <c r="Q20" s="78"/>
      <c r="R20" s="64"/>
      <c r="S20" s="46">
        <f t="shared" si="0"/>
        <v>0</v>
      </c>
      <c r="T20" s="75">
        <f t="shared" si="1"/>
        <v>0</v>
      </c>
      <c r="U20" s="43"/>
    </row>
    <row r="21" spans="1:24" ht="16.149999999999999" customHeight="1" x14ac:dyDescent="0.35">
      <c r="A21" s="31">
        <v>2</v>
      </c>
      <c r="B21" s="11" t="s">
        <v>73</v>
      </c>
      <c r="C21" s="73" t="s">
        <v>81</v>
      </c>
      <c r="D21" s="79"/>
      <c r="E21" s="79"/>
      <c r="F21" s="81"/>
      <c r="G21" s="74" t="s">
        <v>81</v>
      </c>
      <c r="H21" s="78" t="s">
        <v>81</v>
      </c>
      <c r="I21" s="78" t="s">
        <v>81</v>
      </c>
      <c r="J21" s="74"/>
      <c r="K21" s="78"/>
      <c r="L21" s="78"/>
      <c r="M21" s="74"/>
      <c r="N21" s="78"/>
      <c r="O21" s="78"/>
      <c r="P21" s="74"/>
      <c r="Q21" s="78"/>
      <c r="R21" s="64"/>
      <c r="S21" s="46">
        <f t="shared" si="0"/>
        <v>0</v>
      </c>
      <c r="T21" s="75">
        <f t="shared" si="1"/>
        <v>0</v>
      </c>
      <c r="U21" s="43"/>
    </row>
    <row r="22" spans="1:24" ht="16.149999999999999" customHeight="1" x14ac:dyDescent="0.35">
      <c r="A22" s="31" t="s">
        <v>4</v>
      </c>
      <c r="B22" s="11" t="s">
        <v>4</v>
      </c>
      <c r="C22" s="73"/>
      <c r="D22" s="79"/>
      <c r="E22" s="79"/>
      <c r="F22" s="79"/>
      <c r="G22" s="74"/>
      <c r="H22" s="78"/>
      <c r="I22" s="78"/>
      <c r="J22" s="74"/>
      <c r="K22" s="78"/>
      <c r="L22" s="78"/>
      <c r="M22" s="74"/>
      <c r="N22" s="78"/>
      <c r="O22" s="78"/>
      <c r="P22" s="74"/>
      <c r="Q22" s="78"/>
      <c r="R22" s="64"/>
      <c r="S22" s="46" t="s">
        <v>4</v>
      </c>
      <c r="T22" s="75" t="s">
        <v>4</v>
      </c>
      <c r="W22" s="82"/>
      <c r="X22"/>
    </row>
    <row r="23" spans="1:24" ht="16.149999999999999" customHeight="1" x14ac:dyDescent="0.35">
      <c r="A23" s="31" t="s">
        <v>4</v>
      </c>
      <c r="B23" s="11" t="s">
        <v>26</v>
      </c>
      <c r="C23" s="73"/>
      <c r="D23" s="79"/>
      <c r="E23" s="79"/>
      <c r="F23" s="79"/>
      <c r="G23" s="74"/>
      <c r="H23" s="78"/>
      <c r="I23" s="78"/>
      <c r="J23" s="74"/>
      <c r="K23" s="78"/>
      <c r="L23" s="78"/>
      <c r="M23" s="74"/>
      <c r="N23" s="78"/>
      <c r="O23" s="78"/>
      <c r="P23" s="74"/>
      <c r="Q23" s="78"/>
      <c r="R23" s="64"/>
      <c r="S23" s="46" t="s">
        <v>4</v>
      </c>
      <c r="T23" s="75" t="s">
        <v>4</v>
      </c>
      <c r="U23" s="43"/>
    </row>
    <row r="24" spans="1:24" ht="16.149999999999999" customHeight="1" x14ac:dyDescent="0.35">
      <c r="A24" s="31" t="s">
        <v>4</v>
      </c>
      <c r="B24" s="11" t="s">
        <v>4</v>
      </c>
      <c r="C24" s="73"/>
      <c r="D24" s="79"/>
      <c r="E24" s="79"/>
      <c r="F24" s="79"/>
      <c r="G24" s="74"/>
      <c r="H24" s="78"/>
      <c r="I24" s="78"/>
      <c r="J24" s="74"/>
      <c r="K24" s="78"/>
      <c r="L24" s="78"/>
      <c r="M24" s="74"/>
      <c r="N24" s="78"/>
      <c r="O24" s="78"/>
      <c r="P24" s="74"/>
      <c r="Q24" s="78"/>
      <c r="R24" s="64"/>
      <c r="S24" s="46" t="s">
        <v>4</v>
      </c>
      <c r="T24" s="75" t="s">
        <v>4</v>
      </c>
      <c r="U24" s="43"/>
    </row>
    <row r="25" spans="1:24" ht="16.149999999999999" customHeight="1" x14ac:dyDescent="0.35">
      <c r="A25" s="31" t="s">
        <v>4</v>
      </c>
      <c r="B25" s="11" t="s">
        <v>4</v>
      </c>
      <c r="C25" s="73"/>
      <c r="D25" s="79"/>
      <c r="E25" s="79"/>
      <c r="F25" s="81"/>
      <c r="G25" s="74"/>
      <c r="H25" s="78"/>
      <c r="I25" s="78"/>
      <c r="J25" s="74"/>
      <c r="K25" s="78"/>
      <c r="L25" s="78"/>
      <c r="M25" s="74"/>
      <c r="N25" s="78"/>
      <c r="O25" s="78"/>
      <c r="P25" s="74"/>
      <c r="Q25" s="78"/>
      <c r="R25" s="64"/>
      <c r="S25" s="46" t="s">
        <v>4</v>
      </c>
      <c r="T25" s="75" t="s">
        <v>4</v>
      </c>
      <c r="U25" s="43"/>
    </row>
    <row r="26" spans="1:24" ht="16.149999999999999" customHeight="1" x14ac:dyDescent="0.35">
      <c r="A26" s="69" t="s">
        <v>4</v>
      </c>
      <c r="B26" s="69" t="s">
        <v>4</v>
      </c>
      <c r="C26" s="73"/>
      <c r="D26" s="79"/>
      <c r="E26" s="79"/>
      <c r="F26" s="79"/>
      <c r="G26" s="74"/>
      <c r="H26" s="78"/>
      <c r="I26" s="78"/>
      <c r="J26" s="74"/>
      <c r="K26" s="78"/>
      <c r="L26" s="78"/>
      <c r="M26" s="74"/>
      <c r="N26" s="78"/>
      <c r="O26" s="78"/>
      <c r="P26" s="74"/>
      <c r="Q26" s="78"/>
      <c r="R26" s="64"/>
      <c r="S26" s="46" t="s">
        <v>4</v>
      </c>
      <c r="T26" s="75" t="s">
        <v>4</v>
      </c>
      <c r="U26" s="43"/>
    </row>
    <row r="27" spans="1:24" ht="16.149999999999999" customHeight="1" x14ac:dyDescent="0.35">
      <c r="A27" s="31" t="s">
        <v>4</v>
      </c>
      <c r="B27" s="39" t="s">
        <v>4</v>
      </c>
      <c r="C27" s="73"/>
      <c r="D27" s="79"/>
      <c r="E27" s="79"/>
      <c r="F27" s="79"/>
      <c r="G27" s="73"/>
      <c r="H27" s="79"/>
      <c r="I27" s="79"/>
      <c r="J27" s="74"/>
      <c r="K27" s="79"/>
      <c r="L27" s="79"/>
      <c r="M27" s="73"/>
      <c r="N27" s="79"/>
      <c r="O27" s="79"/>
      <c r="P27" s="73"/>
      <c r="Q27" s="79"/>
      <c r="R27" s="81"/>
      <c r="S27" s="46" t="s">
        <v>4</v>
      </c>
      <c r="T27" s="75" t="s">
        <v>4</v>
      </c>
      <c r="U27" s="43"/>
    </row>
    <row r="28" spans="1:24" ht="16.149999999999999" customHeight="1" x14ac:dyDescent="0.35">
      <c r="A28" s="31" t="s">
        <v>4</v>
      </c>
      <c r="B28" s="39" t="s">
        <v>4</v>
      </c>
      <c r="C28" s="30"/>
      <c r="D28" s="31"/>
      <c r="E28" s="80"/>
      <c r="F28" s="31"/>
      <c r="G28" s="30"/>
      <c r="H28" s="31"/>
      <c r="I28" s="31"/>
      <c r="J28" s="74"/>
      <c r="K28" s="31"/>
      <c r="L28" s="31"/>
      <c r="M28" s="30"/>
      <c r="N28" s="31"/>
      <c r="O28" s="31"/>
      <c r="P28" s="30"/>
      <c r="Q28" s="31"/>
      <c r="R28" s="32"/>
      <c r="S28" s="46" t="s">
        <v>4</v>
      </c>
      <c r="T28" s="75" t="s">
        <v>4</v>
      </c>
      <c r="U28" s="43"/>
    </row>
    <row r="29" spans="1:24" ht="16.149999999999999" customHeight="1" thickBot="1" x14ac:dyDescent="0.4">
      <c r="A29" s="31" t="s">
        <v>4</v>
      </c>
      <c r="B29" s="39" t="s">
        <v>4</v>
      </c>
      <c r="C29" s="30" t="s">
        <v>4</v>
      </c>
      <c r="D29" s="31"/>
      <c r="E29" s="31"/>
      <c r="F29" s="32"/>
      <c r="G29" s="30"/>
      <c r="H29" s="31"/>
      <c r="I29" s="31"/>
      <c r="J29" s="73"/>
      <c r="K29" s="31"/>
      <c r="L29" s="31"/>
      <c r="M29" s="30"/>
      <c r="N29" s="31"/>
      <c r="O29" s="31"/>
      <c r="P29" s="30"/>
      <c r="Q29" s="31"/>
      <c r="R29" s="32"/>
      <c r="S29" s="46" t="s">
        <v>4</v>
      </c>
      <c r="T29" s="40" t="s">
        <v>4</v>
      </c>
      <c r="U29" s="43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SUM(C$6:C$29)</f>
        <v>519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346</v>
      </c>
      <c r="H30" s="9">
        <f t="shared" si="2"/>
        <v>287</v>
      </c>
      <c r="I30" s="9">
        <f t="shared" si="2"/>
        <v>245</v>
      </c>
      <c r="J30" s="9">
        <f t="shared" si="2"/>
        <v>0</v>
      </c>
      <c r="K30" s="9">
        <f t="shared" si="2"/>
        <v>0</v>
      </c>
      <c r="L30" s="9">
        <f t="shared" si="2"/>
        <v>0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1397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7</v>
      </c>
      <c r="B32"/>
      <c r="C32" s="23">
        <f t="shared" ref="C32:S32" si="3">IF(C$30&gt;0,AVERAGE(C$6:C$29),0)</f>
        <v>37.071428571428569</v>
      </c>
      <c r="D32" s="23">
        <f t="shared" si="3"/>
        <v>0</v>
      </c>
      <c r="E32" s="23">
        <f t="shared" si="3"/>
        <v>0</v>
      </c>
      <c r="F32" s="23">
        <f t="shared" si="3"/>
        <v>0</v>
      </c>
      <c r="G32" s="23">
        <f t="shared" si="3"/>
        <v>24.714285714285715</v>
      </c>
      <c r="H32" s="23">
        <f t="shared" si="3"/>
        <v>20.5</v>
      </c>
      <c r="I32" s="23">
        <f t="shared" si="3"/>
        <v>17.5</v>
      </c>
      <c r="J32" s="23">
        <f t="shared" si="3"/>
        <v>0</v>
      </c>
      <c r="K32" s="23">
        <f t="shared" si="3"/>
        <v>0</v>
      </c>
      <c r="L32" s="23">
        <f t="shared" si="3"/>
        <v>0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87.3125</v>
      </c>
      <c r="T32" s="76">
        <f>IF(S32&gt;0,(S32/ABS($S$3)*100),0)</f>
        <v>72.760416666666671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38.03846153846154</v>
      </c>
      <c r="D34" s="16">
        <f>IF(D$30&gt;0,AVERAGE('Sec1'!D$6:D$16,'Sec2'!D$6:D$21,'Sec3'!D$6:D$11,'Sec4'!D$6:D$22,'Sec5'!D$6:D$13),0)</f>
        <v>0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25.73076923076923</v>
      </c>
      <c r="H34" s="16">
        <f>IF(H$30&gt;0,AVERAGE('Sec1'!H$6:H$16,'Sec2'!H$6:H$21,'Sec3'!H$6:H$11,'Sec4'!H$6:H$22,'Sec5'!H$6:H$13),0)</f>
        <v>22.096153846153847</v>
      </c>
      <c r="I34" s="16">
        <f>IF(I$30&gt;0,AVERAGE('Sec1'!I$6:I$16,'Sec2'!I$6:I$21,'Sec3'!I$6:I$11,'Sec4'!I$6:I$22,'Sec5'!I$6:I$13),0)</f>
        <v>19</v>
      </c>
      <c r="J34" s="16">
        <f>IF(J$30&gt;0,AVERAGE('Sec1'!J$6:J$16,'Sec2'!J$6:J$21,'Sec3'!J$6:J$11,'Sec4'!J$6:J$22,'Sec5'!J$6:J$13),0)</f>
        <v>0</v>
      </c>
      <c r="K34" s="16">
        <f>IF(K$30&gt;0,AVERAGE('Sec1'!K$6:K$16,'Sec2'!K$6:K$21,'Sec3'!K$6:K$11,'Sec4'!K$6:K$22,'Sec5'!K$6:K$13),0)</f>
        <v>0</v>
      </c>
      <c r="L34" s="16">
        <f>IF(L$30&gt;0,AVERAGE('Sec1'!L$6:L$16,'Sec2'!L$6:L$21,'Sec3'!L$6:L$11,'Sec4'!L$6:L$22,'Sec5'!L$6:L$13),0)</f>
        <v>0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94.017241379310349</v>
      </c>
      <c r="T34" s="70">
        <f>IF(T$30&gt;0,AVERAGE('Sec1'!T$6:T$16,'Sec2'!T$6:T$21,'Sec3'!T$6:T$11,'Sec4'!T$6:T$22,'Sec5'!T$6:T$13),0)</f>
        <v>78.347701149425276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26953125" style="2" customWidth="1"/>
    <col min="3" max="5" width="5.81640625" style="1" bestFit="1" customWidth="1"/>
    <col min="6" max="6" width="6.54296875" style="1" bestFit="1" customWidth="1"/>
    <col min="7" max="7" width="5.81640625" style="1" bestFit="1" customWidth="1"/>
    <col min="8" max="8" width="5.81640625" style="1" customWidth="1"/>
    <col min="9" max="9" width="5.81640625" style="1" bestFit="1" customWidth="1"/>
    <col min="10" max="10" width="7" style="2" bestFit="1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bestFit="1" customWidth="1"/>
    <col min="20" max="20" width="6.26953125" style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6">
        <v>38028</v>
      </c>
      <c r="B2" s="87"/>
      <c r="C2" s="19" t="s">
        <v>14</v>
      </c>
      <c r="D2" s="20" t="s">
        <v>15</v>
      </c>
      <c r="E2" s="20" t="s">
        <v>16</v>
      </c>
      <c r="F2" s="21" t="s">
        <v>17</v>
      </c>
      <c r="G2" s="88" t="s">
        <v>10</v>
      </c>
      <c r="H2" s="89"/>
      <c r="I2" s="90"/>
      <c r="J2" s="88" t="s">
        <v>11</v>
      </c>
      <c r="K2" s="89"/>
      <c r="L2" s="90"/>
      <c r="M2" s="88" t="s">
        <v>12</v>
      </c>
      <c r="N2" s="89"/>
      <c r="O2" s="90"/>
      <c r="P2" s="88" t="s">
        <v>13</v>
      </c>
      <c r="Q2" s="89"/>
      <c r="R2" s="90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6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82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3</v>
      </c>
      <c r="B6" s="37" t="s">
        <v>74</v>
      </c>
      <c r="C6" s="73">
        <v>40</v>
      </c>
      <c r="D6" s="79"/>
      <c r="E6" s="79"/>
      <c r="F6" s="81"/>
      <c r="G6" s="30">
        <v>27</v>
      </c>
      <c r="H6" s="31">
        <v>24</v>
      </c>
      <c r="I6" s="31">
        <v>23</v>
      </c>
      <c r="J6" s="73"/>
      <c r="K6" s="79"/>
      <c r="L6" s="79"/>
      <c r="M6" s="73"/>
      <c r="N6" s="79"/>
      <c r="O6" s="79"/>
      <c r="P6" s="73"/>
      <c r="Q6" s="79"/>
      <c r="R6" s="81"/>
      <c r="S6" s="46">
        <f t="shared" ref="S6:S11" si="0">SUM(C6:R6)</f>
        <v>114</v>
      </c>
      <c r="T6" s="75">
        <f t="shared" ref="T6:T11" si="1">IF(S6&gt;0,(S6/ABS($S$3)*100),0)</f>
        <v>95</v>
      </c>
      <c r="U6" s="43"/>
    </row>
    <row r="7" spans="1:24" ht="16.149999999999999" customHeight="1" x14ac:dyDescent="0.35">
      <c r="A7" s="31">
        <v>3</v>
      </c>
      <c r="B7" s="11" t="s">
        <v>48</v>
      </c>
      <c r="C7" s="73">
        <v>40</v>
      </c>
      <c r="D7" s="79"/>
      <c r="E7" s="79"/>
      <c r="F7" s="81"/>
      <c r="G7" s="74">
        <v>27</v>
      </c>
      <c r="H7" s="78">
        <v>23</v>
      </c>
      <c r="I7" s="78">
        <v>21</v>
      </c>
      <c r="J7" s="73"/>
      <c r="K7" s="78"/>
      <c r="L7" s="78"/>
      <c r="M7" s="74"/>
      <c r="N7" s="78"/>
      <c r="O7" s="78"/>
      <c r="P7" s="74"/>
      <c r="Q7" s="78"/>
      <c r="R7" s="64"/>
      <c r="S7" s="46">
        <f t="shared" si="0"/>
        <v>111</v>
      </c>
      <c r="T7" s="75">
        <f t="shared" si="1"/>
        <v>92.5</v>
      </c>
      <c r="U7" s="43"/>
      <c r="W7" s="77"/>
    </row>
    <row r="8" spans="1:24" ht="16.149999999999999" customHeight="1" x14ac:dyDescent="0.35">
      <c r="A8" s="31">
        <v>3</v>
      </c>
      <c r="B8" s="11" t="s">
        <v>49</v>
      </c>
      <c r="C8" s="30">
        <v>39</v>
      </c>
      <c r="D8" s="79"/>
      <c r="E8" s="31"/>
      <c r="F8" s="32"/>
      <c r="G8" s="73">
        <v>27</v>
      </c>
      <c r="H8" s="79">
        <v>24</v>
      </c>
      <c r="I8" s="79">
        <v>20</v>
      </c>
      <c r="J8" s="73"/>
      <c r="K8" s="31"/>
      <c r="L8" s="31"/>
      <c r="M8" s="30"/>
      <c r="N8" s="31"/>
      <c r="O8" s="31"/>
      <c r="P8" s="30"/>
      <c r="Q8" s="31"/>
      <c r="R8" s="32"/>
      <c r="S8" s="46">
        <f t="shared" si="0"/>
        <v>110</v>
      </c>
      <c r="T8" s="75">
        <f t="shared" si="1"/>
        <v>91.666666666666657</v>
      </c>
      <c r="U8" s="43"/>
    </row>
    <row r="9" spans="1:24" ht="16.149999999999999" customHeight="1" x14ac:dyDescent="0.35">
      <c r="A9" s="31">
        <v>3</v>
      </c>
      <c r="B9" s="39" t="s">
        <v>51</v>
      </c>
      <c r="C9" s="73">
        <v>40</v>
      </c>
      <c r="D9" s="79"/>
      <c r="E9" s="79"/>
      <c r="F9" s="81"/>
      <c r="G9" s="73">
        <v>24</v>
      </c>
      <c r="H9" s="79">
        <v>23</v>
      </c>
      <c r="I9" s="79">
        <v>23</v>
      </c>
      <c r="J9" s="73"/>
      <c r="K9" s="78"/>
      <c r="L9" s="78"/>
      <c r="M9" s="74"/>
      <c r="N9" s="78"/>
      <c r="O9" s="78"/>
      <c r="P9" s="74"/>
      <c r="Q9" s="78"/>
      <c r="R9" s="64"/>
      <c r="S9" s="46">
        <f t="shared" si="0"/>
        <v>110</v>
      </c>
      <c r="T9" s="75">
        <f t="shared" si="1"/>
        <v>91.666666666666657</v>
      </c>
      <c r="W9" s="77"/>
    </row>
    <row r="10" spans="1:24" ht="16.149999999999999" customHeight="1" x14ac:dyDescent="0.35">
      <c r="A10" s="31">
        <v>3</v>
      </c>
      <c r="B10" s="39" t="s">
        <v>67</v>
      </c>
      <c r="C10" s="73">
        <v>40</v>
      </c>
      <c r="D10" s="79"/>
      <c r="E10" s="79"/>
      <c r="F10" s="81"/>
      <c r="G10" s="30">
        <v>27</v>
      </c>
      <c r="H10" s="31">
        <v>22</v>
      </c>
      <c r="I10" s="31">
        <v>19</v>
      </c>
      <c r="J10" s="73"/>
      <c r="K10" s="79"/>
      <c r="L10" s="79"/>
      <c r="M10" s="73"/>
      <c r="N10" s="79"/>
      <c r="O10" s="79"/>
      <c r="P10" s="73"/>
      <c r="Q10" s="79"/>
      <c r="R10" s="81"/>
      <c r="S10" s="46">
        <f t="shared" si="0"/>
        <v>108</v>
      </c>
      <c r="T10" s="75">
        <f t="shared" si="1"/>
        <v>90</v>
      </c>
      <c r="W10" s="77"/>
      <c r="X10"/>
    </row>
    <row r="11" spans="1:24" ht="16.149999999999999" customHeight="1" x14ac:dyDescent="0.35">
      <c r="A11" s="31">
        <v>3</v>
      </c>
      <c r="B11" s="11" t="s">
        <v>50</v>
      </c>
      <c r="C11" s="30">
        <v>40</v>
      </c>
      <c r="D11" s="79"/>
      <c r="E11" s="31"/>
      <c r="F11" s="32"/>
      <c r="G11" s="74">
        <v>28</v>
      </c>
      <c r="H11" s="78">
        <v>24</v>
      </c>
      <c r="I11" s="78">
        <v>15</v>
      </c>
      <c r="J11" s="73"/>
      <c r="K11" s="31"/>
      <c r="L11" s="31"/>
      <c r="M11" s="30"/>
      <c r="N11" s="31"/>
      <c r="O11" s="31"/>
      <c r="P11" s="30"/>
      <c r="Q11" s="31"/>
      <c r="R11" s="32"/>
      <c r="S11" s="46">
        <f t="shared" si="0"/>
        <v>107</v>
      </c>
      <c r="T11" s="75">
        <f t="shared" si="1"/>
        <v>89.166666666666671</v>
      </c>
      <c r="U11" s="43"/>
      <c r="W11" s="77"/>
    </row>
    <row r="12" spans="1:24" ht="16.149999999999999" customHeight="1" x14ac:dyDescent="0.35">
      <c r="A12" s="31" t="s">
        <v>4</v>
      </c>
      <c r="B12" s="11" t="s">
        <v>4</v>
      </c>
      <c r="C12" s="73"/>
      <c r="D12" s="79"/>
      <c r="E12" s="79"/>
      <c r="F12" s="81"/>
      <c r="G12" s="30"/>
      <c r="H12" s="31"/>
      <c r="I12" s="31"/>
      <c r="J12" s="73"/>
      <c r="K12" s="79"/>
      <c r="L12" s="79"/>
      <c r="M12" s="73"/>
      <c r="N12" s="79"/>
      <c r="O12" s="79"/>
      <c r="P12" s="73"/>
      <c r="Q12" s="79"/>
      <c r="R12" s="81"/>
      <c r="S12" s="46" t="s">
        <v>4</v>
      </c>
      <c r="T12" s="75" t="s">
        <v>4</v>
      </c>
      <c r="U12" s="43"/>
      <c r="W12" s="77"/>
    </row>
    <row r="13" spans="1:24" ht="16.149999999999999" customHeight="1" x14ac:dyDescent="0.35">
      <c r="A13" s="31" t="s">
        <v>4</v>
      </c>
      <c r="B13" s="11" t="s">
        <v>4</v>
      </c>
      <c r="C13" s="73"/>
      <c r="D13" s="79"/>
      <c r="E13" s="79"/>
      <c r="F13" s="81"/>
      <c r="G13" s="74"/>
      <c r="H13" s="78"/>
      <c r="I13" s="64"/>
      <c r="J13" s="73"/>
      <c r="K13" s="78"/>
      <c r="L13" s="78"/>
      <c r="M13" s="74"/>
      <c r="N13" s="78"/>
      <c r="O13" s="78"/>
      <c r="P13" s="74"/>
      <c r="Q13" s="78"/>
      <c r="R13" s="64"/>
      <c r="S13" s="46" t="s">
        <v>4</v>
      </c>
      <c r="T13" s="75" t="s">
        <v>4</v>
      </c>
      <c r="U13" s="43"/>
      <c r="W13" s="77"/>
    </row>
    <row r="14" spans="1:24" ht="16.149999999999999" customHeight="1" x14ac:dyDescent="0.35">
      <c r="A14" s="31" t="s">
        <v>4</v>
      </c>
      <c r="B14" s="11" t="s">
        <v>4</v>
      </c>
      <c r="C14" s="73" t="s">
        <v>4</v>
      </c>
      <c r="D14" s="79" t="s">
        <v>4</v>
      </c>
      <c r="E14" s="79" t="s">
        <v>4</v>
      </c>
      <c r="F14" s="81" t="s">
        <v>4</v>
      </c>
      <c r="G14" s="30" t="s">
        <v>4</v>
      </c>
      <c r="H14" s="31" t="s">
        <v>4</v>
      </c>
      <c r="I14" s="32" t="s">
        <v>4</v>
      </c>
      <c r="J14" s="73" t="s">
        <v>4</v>
      </c>
      <c r="K14" s="79" t="s">
        <v>4</v>
      </c>
      <c r="L14" s="79" t="s">
        <v>4</v>
      </c>
      <c r="M14" s="73" t="s">
        <v>4</v>
      </c>
      <c r="N14" s="79" t="s">
        <v>4</v>
      </c>
      <c r="O14" s="79" t="s">
        <v>4</v>
      </c>
      <c r="P14" s="73" t="s">
        <v>4</v>
      </c>
      <c r="Q14" s="79" t="s">
        <v>4</v>
      </c>
      <c r="R14" s="81" t="s">
        <v>4</v>
      </c>
      <c r="S14" s="46" t="s">
        <v>4</v>
      </c>
      <c r="T14" s="75" t="s">
        <v>4</v>
      </c>
      <c r="U14" s="43"/>
      <c r="W14" s="77"/>
    </row>
    <row r="15" spans="1:24" ht="16.149999999999999" customHeight="1" x14ac:dyDescent="0.35">
      <c r="A15" s="31" t="s">
        <v>4</v>
      </c>
      <c r="B15" s="11" t="s">
        <v>4</v>
      </c>
      <c r="C15" s="30"/>
      <c r="D15" s="79" t="s">
        <v>4</v>
      </c>
      <c r="E15" s="31"/>
      <c r="F15" s="32"/>
      <c r="G15" s="30"/>
      <c r="H15" s="31"/>
      <c r="I15" s="32"/>
      <c r="J15" s="73"/>
      <c r="K15" s="31"/>
      <c r="L15" s="32"/>
      <c r="M15" s="31"/>
      <c r="N15" s="31"/>
      <c r="O15" s="32"/>
      <c r="P15" s="31"/>
      <c r="Q15" s="31"/>
      <c r="R15" s="32"/>
      <c r="S15" s="46" t="s">
        <v>4</v>
      </c>
      <c r="T15" s="75" t="s">
        <v>4</v>
      </c>
      <c r="U15" s="43"/>
      <c r="W15" s="77"/>
    </row>
    <row r="16" spans="1:24" ht="16.149999999999999" customHeight="1" x14ac:dyDescent="0.35">
      <c r="A16" s="31" t="s">
        <v>4</v>
      </c>
      <c r="B16" s="11" t="s">
        <v>4</v>
      </c>
      <c r="C16" s="73"/>
      <c r="D16" s="79"/>
      <c r="E16" s="79"/>
      <c r="F16" s="81"/>
      <c r="G16" s="30"/>
      <c r="H16" s="31"/>
      <c r="I16" s="31"/>
      <c r="J16" s="73"/>
      <c r="K16" s="78"/>
      <c r="L16" s="64"/>
      <c r="M16" s="78"/>
      <c r="N16" s="78"/>
      <c r="O16" s="64"/>
      <c r="P16" s="78"/>
      <c r="Q16" s="78"/>
      <c r="R16" s="64"/>
      <c r="S16" s="46" t="s">
        <v>4</v>
      </c>
      <c r="T16" s="75" t="s">
        <v>4</v>
      </c>
      <c r="U16" s="43"/>
    </row>
    <row r="17" spans="1:24" ht="16.149999999999999" customHeight="1" x14ac:dyDescent="0.35">
      <c r="A17" s="31" t="s">
        <v>4</v>
      </c>
      <c r="B17" s="11" t="s">
        <v>4</v>
      </c>
      <c r="C17" s="73"/>
      <c r="D17" s="79"/>
      <c r="E17" s="79"/>
      <c r="F17" s="81"/>
      <c r="G17" s="30"/>
      <c r="H17" s="31"/>
      <c r="I17" s="31"/>
      <c r="J17" s="73"/>
      <c r="K17" s="78"/>
      <c r="L17" s="64"/>
      <c r="M17" s="78"/>
      <c r="N17" s="78"/>
      <c r="O17" s="64"/>
      <c r="P17" s="78"/>
      <c r="Q17" s="78"/>
      <c r="R17" s="64"/>
      <c r="S17" s="46" t="s">
        <v>4</v>
      </c>
      <c r="T17" s="75" t="s">
        <v>4</v>
      </c>
      <c r="U17" s="43"/>
      <c r="W17" s="77"/>
    </row>
    <row r="18" spans="1:24" ht="16.149999999999999" customHeight="1" x14ac:dyDescent="0.35">
      <c r="A18" s="31" t="s">
        <v>4</v>
      </c>
      <c r="B18" s="11" t="s">
        <v>4</v>
      </c>
      <c r="C18" s="30"/>
      <c r="D18" s="79"/>
      <c r="E18" s="31"/>
      <c r="F18" s="32"/>
      <c r="G18" s="73"/>
      <c r="H18" s="79"/>
      <c r="I18" s="79"/>
      <c r="J18" s="73"/>
      <c r="K18" s="31"/>
      <c r="L18" s="31"/>
      <c r="M18" s="30"/>
      <c r="N18" s="31"/>
      <c r="O18" s="31"/>
      <c r="P18" s="30"/>
      <c r="Q18" s="31"/>
      <c r="R18" s="32"/>
      <c r="S18" s="46" t="s">
        <v>4</v>
      </c>
      <c r="T18" s="75" t="s">
        <v>4</v>
      </c>
      <c r="U18" s="43"/>
      <c r="W18" s="77"/>
    </row>
    <row r="19" spans="1:24" ht="16.149999999999999" customHeight="1" x14ac:dyDescent="0.35">
      <c r="A19" s="31" t="s">
        <v>4</v>
      </c>
      <c r="B19" s="11" t="s">
        <v>4</v>
      </c>
      <c r="C19" s="73"/>
      <c r="D19" s="79"/>
      <c r="E19" s="79"/>
      <c r="F19" s="79"/>
      <c r="G19" s="30"/>
      <c r="H19" s="31"/>
      <c r="I19" s="31"/>
      <c r="J19" s="73"/>
      <c r="K19" s="79"/>
      <c r="L19" s="79"/>
      <c r="M19" s="73"/>
      <c r="N19" s="79"/>
      <c r="O19" s="79"/>
      <c r="P19" s="73"/>
      <c r="Q19" s="79"/>
      <c r="R19" s="81"/>
      <c r="S19" s="46" t="s">
        <v>4</v>
      </c>
      <c r="T19" s="75" t="s">
        <v>4</v>
      </c>
      <c r="U19" s="43"/>
    </row>
    <row r="20" spans="1:24" ht="16.149999999999999" customHeight="1" x14ac:dyDescent="0.35">
      <c r="A20" s="31" t="s">
        <v>4</v>
      </c>
      <c r="B20" s="11" t="s">
        <v>4</v>
      </c>
      <c r="C20" s="73"/>
      <c r="D20" s="79"/>
      <c r="E20" s="79"/>
      <c r="F20" s="79"/>
      <c r="G20" s="73"/>
      <c r="H20" s="79"/>
      <c r="I20" s="79"/>
      <c r="J20" s="73"/>
      <c r="K20" s="79"/>
      <c r="L20" s="79"/>
      <c r="M20" s="73"/>
      <c r="N20" s="79"/>
      <c r="O20" s="79"/>
      <c r="P20" s="73"/>
      <c r="Q20" s="79"/>
      <c r="R20" s="81"/>
      <c r="S20" s="46" t="s">
        <v>4</v>
      </c>
      <c r="T20" s="75" t="s">
        <v>4</v>
      </c>
      <c r="W20" s="77"/>
      <c r="X20"/>
    </row>
    <row r="21" spans="1:24" ht="16.149999999999999" customHeight="1" x14ac:dyDescent="0.35">
      <c r="A21" s="31" t="s">
        <v>4</v>
      </c>
      <c r="B21" s="11" t="s">
        <v>4</v>
      </c>
      <c r="C21" s="30"/>
      <c r="D21" s="79"/>
      <c r="E21" s="31"/>
      <c r="F21" s="31"/>
      <c r="G21" s="74"/>
      <c r="H21" s="78"/>
      <c r="I21" s="78"/>
      <c r="J21" s="73"/>
      <c r="K21" s="31"/>
      <c r="L21" s="31"/>
      <c r="M21" s="30"/>
      <c r="N21" s="31"/>
      <c r="O21" s="31"/>
      <c r="P21" s="30"/>
      <c r="Q21" s="31"/>
      <c r="R21" s="32"/>
      <c r="S21" s="46" t="s">
        <v>4</v>
      </c>
      <c r="T21" s="75" t="s">
        <v>4</v>
      </c>
      <c r="U21" s="43"/>
      <c r="W21" s="77"/>
    </row>
    <row r="22" spans="1:24" ht="16.149999999999999" customHeight="1" x14ac:dyDescent="0.35">
      <c r="A22" s="31" t="s">
        <v>4</v>
      </c>
      <c r="B22" s="11" t="s">
        <v>4</v>
      </c>
      <c r="C22" s="30"/>
      <c r="D22" s="79"/>
      <c r="E22" s="31"/>
      <c r="F22" s="31"/>
      <c r="G22" s="73"/>
      <c r="H22" s="79"/>
      <c r="I22" s="79"/>
      <c r="J22" s="73"/>
      <c r="K22" s="79"/>
      <c r="L22" s="79"/>
      <c r="M22" s="30"/>
      <c r="N22" s="31"/>
      <c r="O22" s="31"/>
      <c r="P22" s="30"/>
      <c r="Q22" s="31"/>
      <c r="R22" s="32"/>
      <c r="S22" s="46" t="s">
        <v>4</v>
      </c>
      <c r="T22" s="75" t="s">
        <v>4</v>
      </c>
      <c r="W22" s="77"/>
      <c r="X22"/>
    </row>
    <row r="23" spans="1:24" ht="16.149999999999999" customHeight="1" x14ac:dyDescent="0.35">
      <c r="A23" s="31" t="s">
        <v>4</v>
      </c>
      <c r="B23" s="11" t="s">
        <v>4</v>
      </c>
      <c r="C23" s="30"/>
      <c r="D23" s="79"/>
      <c r="E23" s="31"/>
      <c r="F23" s="31"/>
      <c r="G23" s="74"/>
      <c r="H23" s="78"/>
      <c r="I23" s="78"/>
      <c r="J23" s="72"/>
      <c r="K23" s="31"/>
      <c r="L23" s="31"/>
      <c r="M23" s="30"/>
      <c r="N23" s="31"/>
      <c r="O23" s="31"/>
      <c r="P23" s="30"/>
      <c r="Q23" s="31"/>
      <c r="R23" s="32"/>
      <c r="S23" s="46" t="s">
        <v>4</v>
      </c>
      <c r="T23" s="75" t="s">
        <v>4</v>
      </c>
      <c r="U23" s="43"/>
    </row>
    <row r="24" spans="1:24" ht="16.149999999999999" customHeight="1" x14ac:dyDescent="0.35">
      <c r="A24" s="31" t="s">
        <v>4</v>
      </c>
      <c r="B24" s="11" t="s">
        <v>4</v>
      </c>
      <c r="C24" s="30"/>
      <c r="D24" s="79"/>
      <c r="E24" s="31"/>
      <c r="F24" s="31"/>
      <c r="G24" s="74"/>
      <c r="H24" s="78"/>
      <c r="I24" s="78"/>
      <c r="J24" s="72"/>
      <c r="K24" s="31"/>
      <c r="L24" s="31"/>
      <c r="M24" s="30"/>
      <c r="N24" s="31"/>
      <c r="O24" s="31"/>
      <c r="P24" s="30"/>
      <c r="Q24" s="31"/>
      <c r="R24" s="32"/>
      <c r="S24" s="46" t="s">
        <v>4</v>
      </c>
      <c r="T24" s="75" t="s">
        <v>4</v>
      </c>
      <c r="U24" s="43"/>
      <c r="V24" s="82"/>
    </row>
    <row r="25" spans="1:24" ht="16.149999999999999" customHeight="1" x14ac:dyDescent="0.35">
      <c r="A25" s="31" t="s">
        <v>4</v>
      </c>
      <c r="B25" s="11" t="s">
        <v>4</v>
      </c>
      <c r="C25" s="30"/>
      <c r="D25" s="79"/>
      <c r="E25" s="31"/>
      <c r="F25" s="31"/>
      <c r="G25" s="74"/>
      <c r="H25" s="78"/>
      <c r="I25" s="78"/>
      <c r="J25" s="72"/>
      <c r="K25" s="31"/>
      <c r="L25" s="31"/>
      <c r="M25" s="30"/>
      <c r="N25" s="31"/>
      <c r="O25" s="31"/>
      <c r="P25" s="30"/>
      <c r="Q25" s="31"/>
      <c r="R25" s="32"/>
      <c r="S25" s="46" t="s">
        <v>4</v>
      </c>
      <c r="T25" s="75" t="s">
        <v>4</v>
      </c>
      <c r="U25" s="43"/>
      <c r="W25" s="77"/>
    </row>
    <row r="26" spans="1:24" ht="16.149999999999999" customHeight="1" x14ac:dyDescent="0.35">
      <c r="A26" s="31" t="s">
        <v>4</v>
      </c>
      <c r="B26" s="11" t="s">
        <v>4</v>
      </c>
      <c r="C26" s="30"/>
      <c r="D26" s="79"/>
      <c r="E26" s="31"/>
      <c r="F26" s="31"/>
      <c r="G26" s="74"/>
      <c r="H26" s="78"/>
      <c r="I26" s="78"/>
      <c r="J26" s="72"/>
      <c r="K26" s="31"/>
      <c r="L26" s="31"/>
      <c r="M26" s="30"/>
      <c r="N26" s="31"/>
      <c r="O26" s="31"/>
      <c r="P26" s="30"/>
      <c r="Q26" s="31"/>
      <c r="R26" s="32"/>
      <c r="S26" s="46" t="s">
        <v>4</v>
      </c>
      <c r="T26" s="75" t="s">
        <v>4</v>
      </c>
      <c r="U26" s="43"/>
      <c r="W26" s="77"/>
    </row>
    <row r="27" spans="1:24" ht="16.149999999999999" customHeight="1" x14ac:dyDescent="0.35">
      <c r="A27" s="31" t="s">
        <v>4</v>
      </c>
      <c r="B27" s="11" t="s">
        <v>4</v>
      </c>
      <c r="C27" s="30"/>
      <c r="D27" s="79"/>
      <c r="E27" s="31"/>
      <c r="F27" s="31"/>
      <c r="G27" s="30"/>
      <c r="H27" s="31"/>
      <c r="I27" s="31"/>
      <c r="J27" s="72"/>
      <c r="K27" s="31"/>
      <c r="L27" s="31"/>
      <c r="M27" s="30"/>
      <c r="N27" s="31"/>
      <c r="O27" s="31"/>
      <c r="P27" s="30"/>
      <c r="Q27" s="31"/>
      <c r="R27" s="32"/>
      <c r="S27" s="46" t="s">
        <v>4</v>
      </c>
      <c r="T27" s="75" t="s">
        <v>4</v>
      </c>
      <c r="U27" s="43"/>
      <c r="W27" s="77"/>
    </row>
    <row r="28" spans="1:24" ht="16.149999999999999" customHeight="1" x14ac:dyDescent="0.35">
      <c r="A28" s="31" t="s">
        <v>4</v>
      </c>
      <c r="B28" s="11" t="s">
        <v>4</v>
      </c>
      <c r="C28" s="30"/>
      <c r="D28" s="79"/>
      <c r="E28" s="31"/>
      <c r="F28" s="31"/>
      <c r="G28" s="30"/>
      <c r="H28" s="31"/>
      <c r="I28" s="31"/>
      <c r="J28" s="72"/>
      <c r="K28" s="31"/>
      <c r="L28" s="31"/>
      <c r="M28" s="30"/>
      <c r="N28" s="31"/>
      <c r="O28" s="31"/>
      <c r="P28" s="30"/>
      <c r="Q28" s="31"/>
      <c r="R28" s="32"/>
      <c r="S28" s="46" t="s">
        <v>4</v>
      </c>
      <c r="T28" s="75" t="s">
        <v>4</v>
      </c>
      <c r="U28" s="43"/>
      <c r="W28" s="77"/>
    </row>
    <row r="29" spans="1:24" ht="16.149999999999999" customHeight="1" thickBot="1" x14ac:dyDescent="0.4">
      <c r="A29" s="69" t="s">
        <v>4</v>
      </c>
      <c r="B29" s="69" t="s">
        <v>4</v>
      </c>
      <c r="C29" s="30"/>
      <c r="D29" s="79"/>
      <c r="E29" s="31"/>
      <c r="F29" s="31"/>
      <c r="G29" s="30"/>
      <c r="H29" s="31"/>
      <c r="I29" s="31"/>
      <c r="J29" s="72"/>
      <c r="K29" s="31"/>
      <c r="L29" s="31"/>
      <c r="M29" s="30"/>
      <c r="N29" s="31"/>
      <c r="O29" s="31"/>
      <c r="P29" s="30"/>
      <c r="Q29" s="31"/>
      <c r="R29" s="32"/>
      <c r="S29" s="46" t="s">
        <v>4</v>
      </c>
      <c r="T29" s="75" t="s">
        <v>4</v>
      </c>
      <c r="U29" s="43"/>
      <c r="W29" s="77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SUM(C$6:C$24)</f>
        <v>239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160</v>
      </c>
      <c r="H30" s="9">
        <f t="shared" si="2"/>
        <v>140</v>
      </c>
      <c r="I30" s="9">
        <f t="shared" si="2"/>
        <v>121</v>
      </c>
      <c r="J30" s="9">
        <f t="shared" si="2"/>
        <v>0</v>
      </c>
      <c r="K30" s="9">
        <f t="shared" si="2"/>
        <v>0</v>
      </c>
      <c r="L30" s="9">
        <f t="shared" si="2"/>
        <v>0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660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23</v>
      </c>
      <c r="B32"/>
      <c r="C32" s="23">
        <f t="shared" ref="C32:S32" si="3">IF(C$30&gt;0,AVERAGE(C$6:C$29),0)</f>
        <v>39.833333333333336</v>
      </c>
      <c r="D32" s="23">
        <f t="shared" si="3"/>
        <v>0</v>
      </c>
      <c r="E32" s="23">
        <f t="shared" si="3"/>
        <v>0</v>
      </c>
      <c r="F32" s="23">
        <f t="shared" si="3"/>
        <v>0</v>
      </c>
      <c r="G32" s="23">
        <f t="shared" si="3"/>
        <v>26.666666666666668</v>
      </c>
      <c r="H32" s="23">
        <f t="shared" si="3"/>
        <v>23.333333333333332</v>
      </c>
      <c r="I32" s="23">
        <f t="shared" si="3"/>
        <v>20.166666666666668</v>
      </c>
      <c r="J32" s="23">
        <f t="shared" si="3"/>
        <v>0</v>
      </c>
      <c r="K32" s="23">
        <f t="shared" si="3"/>
        <v>0</v>
      </c>
      <c r="L32" s="23">
        <f t="shared" si="3"/>
        <v>0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110</v>
      </c>
      <c r="T32" s="76">
        <f>IF(S32&gt;0,(S32/ABS($S$3)*100),0)</f>
        <v>91.666666666666657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38.03846153846154</v>
      </c>
      <c r="D34" s="16">
        <f>IF(D$30&gt;0,AVERAGE('Sec1'!D$6:D$16,'Sec2'!D$6:D$21,'Sec3'!D$6:D$11,'Sec4'!D$6:D$22,'Sec5'!D$6:D$13),0)</f>
        <v>0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25.73076923076923</v>
      </c>
      <c r="H34" s="16">
        <f>IF(H$30&gt;0,AVERAGE('Sec1'!H$6:H$16,'Sec2'!H$6:H$21,'Sec3'!H$6:H$11,'Sec4'!H$6:H$22,'Sec5'!H$6:H$13),0)</f>
        <v>22.096153846153847</v>
      </c>
      <c r="I34" s="16">
        <f>IF(I$30&gt;0,AVERAGE('Sec1'!I$6:I$16,'Sec2'!I$6:I$21,'Sec3'!I$6:I$11,'Sec4'!I$6:I$22,'Sec5'!I$6:I$13),0)</f>
        <v>19</v>
      </c>
      <c r="J34" s="16">
        <f>IF(J$30&gt;0,AVERAGE('Sec1'!J$6:J$16,'Sec2'!J$6:J$21,'Sec3'!J$6:J$11,'Sec4'!J$6:J$22,'Sec5'!J$6:J$13),0)</f>
        <v>0</v>
      </c>
      <c r="K34" s="16">
        <f>IF(K$30&gt;0,AVERAGE('Sec1'!K$6:K$16,'Sec2'!K$6:K$21,'Sec3'!K$6:K$11,'Sec4'!K$6:K$22,'Sec5'!K$6:K$13),0)</f>
        <v>0</v>
      </c>
      <c r="L34" s="16">
        <f>IF(L$30&gt;0,AVERAGE('Sec1'!L$6:L$16,'Sec2'!L$6:L$21,'Sec3'!L$6:L$11,'Sec4'!L$6:L$22,'Sec5'!L$6:L$13),0)</f>
        <v>0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94.017241379310349</v>
      </c>
      <c r="T34" s="70">
        <f>IF(T$30&gt;0,AVERAGE('Sec1'!T$6:T$16,'Sec2'!T$6:T$21,'Sec3'!T$6:T$11,'Sec4'!T$6:T$22,'Sec5'!T$6:T$13),0)</f>
        <v>78.347701149425276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7" width="5.81640625" style="1" bestFit="1" customWidth="1"/>
    <col min="8" max="8" width="5.81640625" style="1" customWidth="1"/>
    <col min="9" max="9" width="5.81640625" style="1" bestFit="1" customWidth="1"/>
    <col min="10" max="10" width="5.81640625" style="2" bestFit="1" customWidth="1"/>
    <col min="11" max="11" width="5.81640625" style="2" customWidth="1"/>
    <col min="12" max="12" width="7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bestFit="1" customWidth="1"/>
    <col min="20" max="20" width="6.54296875" style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6">
        <v>38028</v>
      </c>
      <c r="B2" s="87"/>
      <c r="C2" s="19" t="s">
        <v>14</v>
      </c>
      <c r="D2" s="20" t="s">
        <v>15</v>
      </c>
      <c r="E2" s="20" t="s">
        <v>16</v>
      </c>
      <c r="F2" s="21" t="s">
        <v>17</v>
      </c>
      <c r="G2" s="88" t="s">
        <v>10</v>
      </c>
      <c r="H2" s="89"/>
      <c r="I2" s="90"/>
      <c r="J2" s="88" t="s">
        <v>11</v>
      </c>
      <c r="K2" s="89"/>
      <c r="L2" s="90"/>
      <c r="M2" s="88" t="s">
        <v>12</v>
      </c>
      <c r="N2" s="89"/>
      <c r="O2" s="90"/>
      <c r="P2" s="88" t="s">
        <v>13</v>
      </c>
      <c r="Q2" s="89"/>
      <c r="R2" s="90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17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82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4</v>
      </c>
      <c r="B6" s="11" t="s">
        <v>61</v>
      </c>
      <c r="C6" s="73">
        <v>40</v>
      </c>
      <c r="D6" s="79" t="s">
        <v>4</v>
      </c>
      <c r="E6" s="79" t="s">
        <v>4</v>
      </c>
      <c r="F6" s="81" t="s">
        <v>4</v>
      </c>
      <c r="G6" s="74">
        <v>27</v>
      </c>
      <c r="H6" s="78">
        <v>25</v>
      </c>
      <c r="I6" s="78">
        <v>22</v>
      </c>
      <c r="J6" s="74" t="s">
        <v>4</v>
      </c>
      <c r="K6" s="78" t="s">
        <v>4</v>
      </c>
      <c r="L6" s="78" t="s">
        <v>4</v>
      </c>
      <c r="M6" s="74" t="s">
        <v>4</v>
      </c>
      <c r="N6" s="78"/>
      <c r="O6" s="78"/>
      <c r="P6" s="74"/>
      <c r="Q6" s="78"/>
      <c r="R6" s="64"/>
      <c r="S6" s="46">
        <f t="shared" ref="S6:S22" si="0">SUM(C6:R6)</f>
        <v>114</v>
      </c>
      <c r="T6" s="75">
        <f t="shared" ref="T6:T22" si="1">IF(S6&gt;0,(S6/ABS($S$3)*100),0)</f>
        <v>95</v>
      </c>
      <c r="W6"/>
      <c r="X6"/>
    </row>
    <row r="7" spans="1:24" ht="16.149999999999999" customHeight="1" x14ac:dyDescent="0.35">
      <c r="A7" s="31">
        <v>4</v>
      </c>
      <c r="B7" s="11" t="s">
        <v>57</v>
      </c>
      <c r="C7" s="73">
        <v>39</v>
      </c>
      <c r="D7" s="79"/>
      <c r="E7" s="79"/>
      <c r="F7" s="81"/>
      <c r="G7" s="74">
        <v>29</v>
      </c>
      <c r="H7" s="78">
        <v>23</v>
      </c>
      <c r="I7" s="78">
        <v>23</v>
      </c>
      <c r="J7" s="74"/>
      <c r="K7" s="78"/>
      <c r="L7" s="78"/>
      <c r="M7" s="74"/>
      <c r="N7" s="78"/>
      <c r="O7" s="78"/>
      <c r="P7" s="74"/>
      <c r="Q7" s="78"/>
      <c r="R7" s="64"/>
      <c r="S7" s="46">
        <f t="shared" si="0"/>
        <v>114</v>
      </c>
      <c r="T7" s="75">
        <f t="shared" si="1"/>
        <v>95</v>
      </c>
    </row>
    <row r="8" spans="1:24" ht="16.149999999999999" customHeight="1" x14ac:dyDescent="0.35">
      <c r="A8" s="31">
        <v>4</v>
      </c>
      <c r="B8" s="11" t="s">
        <v>59</v>
      </c>
      <c r="C8" s="73">
        <v>40</v>
      </c>
      <c r="D8" s="79"/>
      <c r="E8" s="79"/>
      <c r="F8" s="81"/>
      <c r="G8" s="74">
        <v>29</v>
      </c>
      <c r="H8" s="78">
        <v>23</v>
      </c>
      <c r="I8" s="78">
        <v>20</v>
      </c>
      <c r="J8" s="74"/>
      <c r="K8" s="78"/>
      <c r="L8" s="78"/>
      <c r="M8" s="74"/>
      <c r="N8" s="78"/>
      <c r="O8" s="78"/>
      <c r="P8" s="74"/>
      <c r="Q8" s="78"/>
      <c r="R8" s="64"/>
      <c r="S8" s="46">
        <f t="shared" si="0"/>
        <v>112</v>
      </c>
      <c r="T8" s="75">
        <f t="shared" si="1"/>
        <v>93.333333333333329</v>
      </c>
      <c r="U8" s="43"/>
    </row>
    <row r="9" spans="1:24" ht="16.149999999999999" customHeight="1" x14ac:dyDescent="0.35">
      <c r="A9" s="31">
        <v>4</v>
      </c>
      <c r="B9" s="11" t="s">
        <v>78</v>
      </c>
      <c r="C9" s="73">
        <v>38</v>
      </c>
      <c r="D9" s="79"/>
      <c r="E9" s="79"/>
      <c r="F9" s="81"/>
      <c r="G9" s="74">
        <v>28</v>
      </c>
      <c r="H9" s="78">
        <v>25</v>
      </c>
      <c r="I9" s="78">
        <v>21</v>
      </c>
      <c r="J9" s="74"/>
      <c r="K9" s="78"/>
      <c r="L9" s="78"/>
      <c r="M9" s="74"/>
      <c r="N9" s="78"/>
      <c r="O9" s="78"/>
      <c r="P9" s="74"/>
      <c r="Q9" s="78"/>
      <c r="R9" s="64"/>
      <c r="S9" s="46">
        <f t="shared" si="0"/>
        <v>112</v>
      </c>
      <c r="T9" s="75">
        <f t="shared" si="1"/>
        <v>93.333333333333329</v>
      </c>
      <c r="U9" s="43"/>
    </row>
    <row r="10" spans="1:24" ht="16.149999999999999" customHeight="1" x14ac:dyDescent="0.35">
      <c r="A10" s="31">
        <v>4</v>
      </c>
      <c r="B10" s="11" t="s">
        <v>64</v>
      </c>
      <c r="C10" s="73">
        <v>39</v>
      </c>
      <c r="D10" s="79"/>
      <c r="E10" s="79"/>
      <c r="F10" s="81"/>
      <c r="G10" s="74">
        <v>28</v>
      </c>
      <c r="H10" s="78">
        <v>22</v>
      </c>
      <c r="I10" s="78">
        <v>22</v>
      </c>
      <c r="J10" s="74" t="s">
        <v>4</v>
      </c>
      <c r="K10" s="78" t="s">
        <v>4</v>
      </c>
      <c r="L10" s="78" t="s">
        <v>4</v>
      </c>
      <c r="M10" s="74"/>
      <c r="N10" s="78"/>
      <c r="O10" s="78"/>
      <c r="P10" s="74"/>
      <c r="Q10" s="78"/>
      <c r="R10" s="64"/>
      <c r="S10" s="46">
        <f t="shared" si="0"/>
        <v>111</v>
      </c>
      <c r="T10" s="75">
        <f t="shared" si="1"/>
        <v>92.5</v>
      </c>
      <c r="U10" s="43"/>
    </row>
    <row r="11" spans="1:24" ht="16.149999999999999" customHeight="1" x14ac:dyDescent="0.35">
      <c r="A11" s="31">
        <v>4</v>
      </c>
      <c r="B11" s="11" t="s">
        <v>58</v>
      </c>
      <c r="C11" s="73">
        <v>39</v>
      </c>
      <c r="D11" s="79"/>
      <c r="E11" s="79"/>
      <c r="F11" s="81"/>
      <c r="G11" s="74">
        <v>28</v>
      </c>
      <c r="H11" s="78">
        <v>23</v>
      </c>
      <c r="I11" s="78">
        <v>20</v>
      </c>
      <c r="J11" s="74"/>
      <c r="K11" s="78"/>
      <c r="L11" s="78"/>
      <c r="M11" s="74"/>
      <c r="N11" s="78"/>
      <c r="O11" s="78"/>
      <c r="P11" s="74"/>
      <c r="Q11" s="78"/>
      <c r="R11" s="64"/>
      <c r="S11" s="46">
        <f t="shared" si="0"/>
        <v>110</v>
      </c>
      <c r="T11" s="75">
        <f t="shared" si="1"/>
        <v>91.666666666666657</v>
      </c>
      <c r="U11" s="43"/>
    </row>
    <row r="12" spans="1:24" ht="16.149999999999999" customHeight="1" x14ac:dyDescent="0.35">
      <c r="A12" s="31">
        <v>4</v>
      </c>
      <c r="B12" s="11" t="s">
        <v>63</v>
      </c>
      <c r="C12" s="73">
        <v>36</v>
      </c>
      <c r="D12" s="79"/>
      <c r="E12" s="79"/>
      <c r="F12" s="81"/>
      <c r="G12" s="74">
        <v>29</v>
      </c>
      <c r="H12" s="78">
        <v>24</v>
      </c>
      <c r="I12" s="78">
        <v>21</v>
      </c>
      <c r="J12" s="74"/>
      <c r="K12" s="78"/>
      <c r="L12" s="78"/>
      <c r="M12" s="74"/>
      <c r="N12" s="78"/>
      <c r="O12" s="78"/>
      <c r="P12" s="74"/>
      <c r="Q12" s="78"/>
      <c r="R12" s="64"/>
      <c r="S12" s="46">
        <f t="shared" si="0"/>
        <v>110</v>
      </c>
      <c r="T12" s="75">
        <f t="shared" si="1"/>
        <v>91.666666666666657</v>
      </c>
    </row>
    <row r="13" spans="1:24" ht="16.149999999999999" customHeight="1" x14ac:dyDescent="0.35">
      <c r="A13" s="31">
        <v>4</v>
      </c>
      <c r="B13" s="11" t="s">
        <v>53</v>
      </c>
      <c r="C13" s="73">
        <v>39</v>
      </c>
      <c r="D13" s="79"/>
      <c r="E13" s="79"/>
      <c r="F13" s="81"/>
      <c r="G13" s="74">
        <v>26</v>
      </c>
      <c r="H13" s="78">
        <v>23</v>
      </c>
      <c r="I13" s="78">
        <v>21</v>
      </c>
      <c r="J13" s="74"/>
      <c r="K13" s="78"/>
      <c r="L13" s="78"/>
      <c r="M13" s="74"/>
      <c r="N13" s="78"/>
      <c r="O13" s="78"/>
      <c r="P13" s="74"/>
      <c r="Q13" s="78"/>
      <c r="R13" s="64"/>
      <c r="S13" s="46">
        <f t="shared" si="0"/>
        <v>109</v>
      </c>
      <c r="T13" s="75">
        <f t="shared" si="1"/>
        <v>90.833333333333329</v>
      </c>
    </row>
    <row r="14" spans="1:24" ht="16.149999999999999" customHeight="1" x14ac:dyDescent="0.35">
      <c r="A14" s="31">
        <v>4</v>
      </c>
      <c r="B14" s="11" t="s">
        <v>60</v>
      </c>
      <c r="C14" s="73">
        <v>40</v>
      </c>
      <c r="D14" s="79" t="s">
        <v>4</v>
      </c>
      <c r="E14" s="79" t="s">
        <v>4</v>
      </c>
      <c r="F14" s="81" t="s">
        <v>4</v>
      </c>
      <c r="G14" s="74">
        <v>26</v>
      </c>
      <c r="H14" s="78">
        <v>24</v>
      </c>
      <c r="I14" s="78">
        <v>17</v>
      </c>
      <c r="J14" s="74" t="s">
        <v>4</v>
      </c>
      <c r="K14" s="78" t="s">
        <v>4</v>
      </c>
      <c r="L14" s="78" t="s">
        <v>4</v>
      </c>
      <c r="M14" s="74"/>
      <c r="N14" s="78"/>
      <c r="O14" s="78"/>
      <c r="P14" s="74"/>
      <c r="Q14" s="78"/>
      <c r="R14" s="64"/>
      <c r="S14" s="46">
        <f t="shared" si="0"/>
        <v>107</v>
      </c>
      <c r="T14" s="75">
        <f t="shared" si="1"/>
        <v>89.166666666666671</v>
      </c>
    </row>
    <row r="15" spans="1:24" ht="16.149999999999999" customHeight="1" x14ac:dyDescent="0.35">
      <c r="A15" s="31">
        <v>4</v>
      </c>
      <c r="B15" s="11" t="s">
        <v>62</v>
      </c>
      <c r="C15" s="73">
        <v>39</v>
      </c>
      <c r="D15" s="79"/>
      <c r="E15" s="79"/>
      <c r="F15" s="81"/>
      <c r="G15" s="74">
        <v>25</v>
      </c>
      <c r="H15" s="78">
        <v>22</v>
      </c>
      <c r="I15" s="78">
        <v>19</v>
      </c>
      <c r="J15" s="74"/>
      <c r="K15" s="78"/>
      <c r="L15" s="78"/>
      <c r="M15" s="74"/>
      <c r="N15" s="78"/>
      <c r="O15" s="78"/>
      <c r="P15" s="74"/>
      <c r="Q15" s="78"/>
      <c r="R15" s="64"/>
      <c r="S15" s="46">
        <f t="shared" si="0"/>
        <v>105</v>
      </c>
      <c r="T15" s="75">
        <f t="shared" si="1"/>
        <v>87.5</v>
      </c>
      <c r="W15"/>
      <c r="X15"/>
    </row>
    <row r="16" spans="1:24" ht="16.149999999999999" customHeight="1" x14ac:dyDescent="0.35">
      <c r="A16" s="31">
        <v>4</v>
      </c>
      <c r="B16" s="85" t="s">
        <v>75</v>
      </c>
      <c r="C16" s="73">
        <v>38</v>
      </c>
      <c r="D16" s="79"/>
      <c r="E16" s="79"/>
      <c r="F16" s="81"/>
      <c r="G16" s="74">
        <v>27</v>
      </c>
      <c r="H16" s="78">
        <v>22</v>
      </c>
      <c r="I16" s="78">
        <v>17</v>
      </c>
      <c r="J16" s="74"/>
      <c r="K16" s="78"/>
      <c r="L16" s="78"/>
      <c r="M16" s="74"/>
      <c r="N16" s="78"/>
      <c r="O16" s="78"/>
      <c r="P16" s="74"/>
      <c r="Q16" s="78"/>
      <c r="R16" s="64"/>
      <c r="S16" s="46">
        <f t="shared" si="0"/>
        <v>104</v>
      </c>
      <c r="T16" s="75">
        <f t="shared" si="1"/>
        <v>86.666666666666671</v>
      </c>
    </row>
    <row r="17" spans="1:24" ht="16.149999999999999" customHeight="1" x14ac:dyDescent="0.35">
      <c r="A17" s="31">
        <v>4</v>
      </c>
      <c r="B17" s="11" t="s">
        <v>55</v>
      </c>
      <c r="C17" s="73">
        <v>39</v>
      </c>
      <c r="D17" s="79"/>
      <c r="E17" s="79"/>
      <c r="F17" s="81"/>
      <c r="G17" s="74">
        <v>25</v>
      </c>
      <c r="H17" s="78">
        <v>22</v>
      </c>
      <c r="I17" s="78">
        <v>18</v>
      </c>
      <c r="J17" s="74"/>
      <c r="K17" s="78"/>
      <c r="L17" s="78"/>
      <c r="M17" s="74"/>
      <c r="N17" s="78"/>
      <c r="O17" s="78"/>
      <c r="P17" s="74"/>
      <c r="Q17" s="78"/>
      <c r="R17" s="64"/>
      <c r="S17" s="46">
        <f t="shared" si="0"/>
        <v>104</v>
      </c>
      <c r="T17" s="75">
        <f t="shared" si="1"/>
        <v>86.666666666666671</v>
      </c>
      <c r="U17" s="43"/>
    </row>
    <row r="18" spans="1:24" ht="16.149999999999999" customHeight="1" x14ac:dyDescent="0.35">
      <c r="A18" s="31">
        <v>4</v>
      </c>
      <c r="B18" s="85">
        <v>3477</v>
      </c>
      <c r="C18" s="73">
        <v>29</v>
      </c>
      <c r="D18" s="79"/>
      <c r="E18" s="79"/>
      <c r="F18" s="81"/>
      <c r="G18" s="74">
        <v>26</v>
      </c>
      <c r="H18" s="78">
        <v>23</v>
      </c>
      <c r="I18" s="78">
        <v>20</v>
      </c>
      <c r="J18" s="74"/>
      <c r="K18" s="78"/>
      <c r="L18" s="78"/>
      <c r="M18" s="74"/>
      <c r="N18" s="78"/>
      <c r="O18" s="78"/>
      <c r="P18" s="74"/>
      <c r="Q18" s="78"/>
      <c r="R18" s="64"/>
      <c r="S18" s="46">
        <f t="shared" si="0"/>
        <v>98</v>
      </c>
      <c r="T18" s="75">
        <f t="shared" si="1"/>
        <v>81.666666666666671</v>
      </c>
      <c r="U18" s="43"/>
    </row>
    <row r="19" spans="1:24" ht="16.149999999999999" customHeight="1" x14ac:dyDescent="0.35">
      <c r="A19" s="31">
        <v>4</v>
      </c>
      <c r="B19" s="39" t="s">
        <v>54</v>
      </c>
      <c r="C19" s="73">
        <v>39</v>
      </c>
      <c r="D19" s="79"/>
      <c r="E19" s="79"/>
      <c r="F19" s="81"/>
      <c r="G19" s="74">
        <v>22</v>
      </c>
      <c r="H19" s="78">
        <v>18</v>
      </c>
      <c r="I19" s="78">
        <v>17</v>
      </c>
      <c r="J19" s="74"/>
      <c r="K19" s="78"/>
      <c r="L19" s="78"/>
      <c r="M19" s="74"/>
      <c r="N19" s="78"/>
      <c r="O19" s="78"/>
      <c r="P19" s="74"/>
      <c r="Q19" s="78"/>
      <c r="R19" s="64"/>
      <c r="S19" s="46">
        <f t="shared" si="0"/>
        <v>96</v>
      </c>
      <c r="T19" s="75">
        <f t="shared" si="1"/>
        <v>80</v>
      </c>
      <c r="U19" s="43"/>
    </row>
    <row r="20" spans="1:24" ht="16.149999999999999" customHeight="1" x14ac:dyDescent="0.35">
      <c r="A20" s="85">
        <v>4</v>
      </c>
      <c r="B20" s="85" t="s">
        <v>76</v>
      </c>
      <c r="C20" s="73"/>
      <c r="D20" s="79"/>
      <c r="E20" s="79"/>
      <c r="F20" s="81"/>
      <c r="G20" s="74">
        <v>24</v>
      </c>
      <c r="H20" s="78">
        <v>24</v>
      </c>
      <c r="I20" s="64">
        <v>19</v>
      </c>
      <c r="J20" s="74"/>
      <c r="K20" s="78"/>
      <c r="L20" s="78"/>
      <c r="M20" s="74"/>
      <c r="N20" s="78"/>
      <c r="O20" s="78"/>
      <c r="P20" s="74"/>
      <c r="Q20" s="78"/>
      <c r="R20" s="64"/>
      <c r="S20" s="46">
        <f t="shared" si="0"/>
        <v>67</v>
      </c>
      <c r="T20" s="75">
        <f t="shared" si="1"/>
        <v>55.833333333333336</v>
      </c>
      <c r="U20" s="43"/>
    </row>
    <row r="21" spans="1:24" ht="16.149999999999999" customHeight="1" x14ac:dyDescent="0.35">
      <c r="A21" s="31">
        <v>4</v>
      </c>
      <c r="B21" s="11" t="s">
        <v>79</v>
      </c>
      <c r="C21" s="73">
        <v>39</v>
      </c>
      <c r="D21" s="79"/>
      <c r="E21" s="79"/>
      <c r="F21" s="81"/>
      <c r="G21" s="74"/>
      <c r="H21" s="78"/>
      <c r="I21" s="64"/>
      <c r="J21" s="74"/>
      <c r="K21" s="78"/>
      <c r="L21" s="78"/>
      <c r="M21" s="74"/>
      <c r="N21" s="78"/>
      <c r="O21" s="78"/>
      <c r="P21" s="74"/>
      <c r="Q21" s="78"/>
      <c r="R21" s="64"/>
      <c r="S21" s="46">
        <f t="shared" si="0"/>
        <v>39</v>
      </c>
      <c r="T21" s="75">
        <f t="shared" si="1"/>
        <v>32.5</v>
      </c>
      <c r="U21" s="43"/>
    </row>
    <row r="22" spans="1:24" ht="16.149999999999999" customHeight="1" x14ac:dyDescent="0.35">
      <c r="A22" s="31">
        <v>4</v>
      </c>
      <c r="B22" s="11" t="s">
        <v>56</v>
      </c>
      <c r="C22" s="73"/>
      <c r="D22" s="79"/>
      <c r="E22" s="79"/>
      <c r="F22" s="81"/>
      <c r="G22" s="74"/>
      <c r="H22" s="78"/>
      <c r="I22" s="64"/>
      <c r="J22" s="74"/>
      <c r="K22" s="78"/>
      <c r="L22" s="84"/>
      <c r="M22" s="74"/>
      <c r="N22" s="78"/>
      <c r="O22" s="78"/>
      <c r="P22" s="74"/>
      <c r="Q22" s="78"/>
      <c r="R22" s="64"/>
      <c r="S22" s="46">
        <f t="shared" si="0"/>
        <v>0</v>
      </c>
      <c r="T22" s="75">
        <f t="shared" si="1"/>
        <v>0</v>
      </c>
      <c r="U22" s="43"/>
    </row>
    <row r="23" spans="1:24" ht="16.149999999999999" customHeight="1" x14ac:dyDescent="0.35">
      <c r="A23" s="31" t="s">
        <v>4</v>
      </c>
      <c r="B23" s="11" t="s">
        <v>4</v>
      </c>
      <c r="C23" s="73"/>
      <c r="D23" s="79"/>
      <c r="E23" s="79"/>
      <c r="F23" s="81"/>
      <c r="G23" s="74"/>
      <c r="H23" s="78"/>
      <c r="I23" s="78"/>
      <c r="J23" s="74"/>
      <c r="K23" s="78"/>
      <c r="L23" s="78"/>
      <c r="M23" s="74"/>
      <c r="N23" s="78"/>
      <c r="O23" s="78"/>
      <c r="P23" s="74"/>
      <c r="Q23" s="78"/>
      <c r="R23" s="64"/>
      <c r="S23" s="46" t="s">
        <v>4</v>
      </c>
      <c r="T23" s="75" t="s">
        <v>4</v>
      </c>
      <c r="U23" s="43"/>
    </row>
    <row r="24" spans="1:24" ht="16.149999999999999" customHeight="1" x14ac:dyDescent="0.35">
      <c r="A24" s="31" t="s">
        <v>4</v>
      </c>
      <c r="B24" s="11" t="s">
        <v>4</v>
      </c>
      <c r="C24" s="73"/>
      <c r="D24" s="79"/>
      <c r="E24" s="79"/>
      <c r="F24" s="81"/>
      <c r="G24" s="74"/>
      <c r="H24" s="78"/>
      <c r="I24" s="78"/>
      <c r="J24" s="74"/>
      <c r="K24" s="78"/>
      <c r="L24" s="78"/>
      <c r="M24" s="74"/>
      <c r="N24" s="78"/>
      <c r="O24" s="78"/>
      <c r="P24" s="74"/>
      <c r="Q24" s="78"/>
      <c r="R24" s="64"/>
      <c r="S24" s="46" t="s">
        <v>4</v>
      </c>
      <c r="T24" s="75" t="s">
        <v>4</v>
      </c>
      <c r="U24" s="43"/>
    </row>
    <row r="25" spans="1:24" ht="16.149999999999999" customHeight="1" x14ac:dyDescent="0.35">
      <c r="A25" s="31" t="s">
        <v>4</v>
      </c>
      <c r="B25" s="11" t="s">
        <v>4</v>
      </c>
      <c r="C25" s="73"/>
      <c r="D25" s="79"/>
      <c r="E25" s="79"/>
      <c r="F25" s="81"/>
      <c r="G25" s="74"/>
      <c r="H25" s="78"/>
      <c r="I25" s="78"/>
      <c r="J25" s="74"/>
      <c r="K25" s="78"/>
      <c r="L25" s="78"/>
      <c r="M25" s="74"/>
      <c r="N25" s="78"/>
      <c r="O25" s="78"/>
      <c r="P25" s="74"/>
      <c r="Q25" s="78"/>
      <c r="R25" s="64"/>
      <c r="S25" s="46" t="s">
        <v>4</v>
      </c>
      <c r="T25" s="75" t="s">
        <v>4</v>
      </c>
      <c r="U25" s="43"/>
    </row>
    <row r="26" spans="1:24" ht="16.149999999999999" customHeight="1" x14ac:dyDescent="0.35">
      <c r="A26" s="31" t="s">
        <v>4</v>
      </c>
      <c r="B26" s="11" t="s">
        <v>4</v>
      </c>
      <c r="C26" s="73"/>
      <c r="D26" s="79"/>
      <c r="E26" s="79"/>
      <c r="F26" s="81"/>
      <c r="G26" s="74"/>
      <c r="H26" s="78"/>
      <c r="I26" s="78"/>
      <c r="J26" s="74"/>
      <c r="K26" s="78"/>
      <c r="L26" s="78"/>
      <c r="M26" s="74"/>
      <c r="N26" s="78"/>
      <c r="O26" s="78"/>
      <c r="P26" s="74"/>
      <c r="Q26" s="78"/>
      <c r="R26" s="64"/>
      <c r="S26" s="46" t="s">
        <v>4</v>
      </c>
      <c r="T26" s="75" t="s">
        <v>4</v>
      </c>
      <c r="U26" s="43"/>
    </row>
    <row r="27" spans="1:24" ht="16.149999999999999" customHeight="1" x14ac:dyDescent="0.35">
      <c r="A27" s="31" t="s">
        <v>4</v>
      </c>
      <c r="B27" s="11" t="s">
        <v>4</v>
      </c>
      <c r="C27" s="30"/>
      <c r="D27" s="31"/>
      <c r="E27" s="31"/>
      <c r="F27" s="32"/>
      <c r="G27" s="29"/>
      <c r="H27" s="38"/>
      <c r="I27" s="38"/>
      <c r="J27" s="74"/>
      <c r="K27" s="38"/>
      <c r="L27" s="38"/>
      <c r="M27" s="29"/>
      <c r="N27" s="38"/>
      <c r="O27" s="38"/>
      <c r="P27" s="29"/>
      <c r="Q27" s="38"/>
      <c r="R27" s="36"/>
      <c r="S27" s="46" t="s">
        <v>4</v>
      </c>
      <c r="T27" s="75" t="s">
        <v>4</v>
      </c>
      <c r="U27" s="43"/>
    </row>
    <row r="28" spans="1:24" ht="16.149999999999999" customHeight="1" x14ac:dyDescent="0.35">
      <c r="A28" s="31" t="s">
        <v>4</v>
      </c>
      <c r="B28" s="11" t="s">
        <v>4</v>
      </c>
      <c r="C28" s="30"/>
      <c r="D28" s="31"/>
      <c r="E28" s="31"/>
      <c r="F28" s="32"/>
      <c r="G28" s="29"/>
      <c r="H28" s="38"/>
      <c r="I28" s="38"/>
      <c r="J28" s="74"/>
      <c r="K28" s="38"/>
      <c r="L28" s="38"/>
      <c r="M28" s="29"/>
      <c r="N28" s="38"/>
      <c r="O28" s="38"/>
      <c r="P28" s="29"/>
      <c r="Q28" s="38"/>
      <c r="R28" s="36"/>
      <c r="S28" s="46" t="s">
        <v>4</v>
      </c>
      <c r="T28" s="75" t="s">
        <v>4</v>
      </c>
      <c r="U28" s="43"/>
    </row>
    <row r="29" spans="1:24" ht="16.149999999999999" customHeight="1" thickBot="1" x14ac:dyDescent="0.4">
      <c r="A29" s="31" t="s">
        <v>4</v>
      </c>
      <c r="B29" s="11" t="s">
        <v>4</v>
      </c>
      <c r="C29" s="30"/>
      <c r="D29" s="31"/>
      <c r="E29" s="31"/>
      <c r="F29" s="32"/>
      <c r="G29" s="29"/>
      <c r="H29" s="38"/>
      <c r="I29" s="38"/>
      <c r="J29" s="74"/>
      <c r="K29" s="38"/>
      <c r="L29" s="38"/>
      <c r="M29" s="29"/>
      <c r="N29" s="38"/>
      <c r="O29" s="38"/>
      <c r="P29" s="29"/>
      <c r="Q29" s="38"/>
      <c r="R29" s="36"/>
      <c r="S29" s="46" t="s">
        <v>4</v>
      </c>
      <c r="T29" s="75" t="s">
        <v>4</v>
      </c>
      <c r="U29" s="43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SUM(C$6:C$29)</f>
        <v>573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399</v>
      </c>
      <c r="H30" s="9">
        <f t="shared" si="2"/>
        <v>343</v>
      </c>
      <c r="I30" s="9">
        <f t="shared" si="2"/>
        <v>297</v>
      </c>
      <c r="J30" s="9">
        <f t="shared" si="2"/>
        <v>0</v>
      </c>
      <c r="K30" s="9">
        <f t="shared" si="2"/>
        <v>0</v>
      </c>
      <c r="L30" s="9">
        <f t="shared" si="2"/>
        <v>0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1612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8</v>
      </c>
      <c r="B32"/>
      <c r="C32" s="23">
        <f t="shared" ref="C32:S32" si="3">IF(C$30&gt;0,AVERAGE(C$6:C$29),0)</f>
        <v>38.200000000000003</v>
      </c>
      <c r="D32" s="23">
        <f t="shared" si="3"/>
        <v>0</v>
      </c>
      <c r="E32" s="23">
        <f t="shared" si="3"/>
        <v>0</v>
      </c>
      <c r="F32" s="23">
        <f t="shared" si="3"/>
        <v>0</v>
      </c>
      <c r="G32" s="23">
        <f t="shared" si="3"/>
        <v>26.6</v>
      </c>
      <c r="H32" s="23">
        <f t="shared" si="3"/>
        <v>22.866666666666667</v>
      </c>
      <c r="I32" s="23">
        <f t="shared" si="3"/>
        <v>19.8</v>
      </c>
      <c r="J32" s="23">
        <f t="shared" si="3"/>
        <v>0</v>
      </c>
      <c r="K32" s="23">
        <f t="shared" si="3"/>
        <v>0</v>
      </c>
      <c r="L32" s="23">
        <f t="shared" si="3"/>
        <v>0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94.82352941176471</v>
      </c>
      <c r="T32" s="76">
        <f>IF(S32&gt;0,(S32/ABS($S$3)*100),0)</f>
        <v>79.019607843137265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38.03846153846154</v>
      </c>
      <c r="D34" s="16">
        <f>IF(D$30&gt;0,AVERAGE('Sec1'!D$6:D$16,'Sec2'!D$6:D$21,'Sec3'!D$6:D$11,'Sec4'!D$6:D$22,'Sec5'!D$6:D$13),0)</f>
        <v>0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25.73076923076923</v>
      </c>
      <c r="H34" s="16">
        <f>IF(H$30&gt;0,AVERAGE('Sec1'!H$6:H$16,'Sec2'!H$6:H$21,'Sec3'!H$6:H$11,'Sec4'!H$6:H$22,'Sec5'!H$6:H$13),0)</f>
        <v>22.096153846153847</v>
      </c>
      <c r="I34" s="16">
        <f>IF(I$30&gt;0,AVERAGE('Sec1'!I$6:I$16,'Sec2'!I$6:I$21,'Sec3'!I$6:I$11,'Sec4'!I$6:I$22,'Sec5'!I$6:I$13),0)</f>
        <v>19</v>
      </c>
      <c r="J34" s="16">
        <f>IF(J$30&gt;0,AVERAGE('Sec1'!J$6:J$16,'Sec2'!J$6:J$21,'Sec3'!J$6:J$11,'Sec4'!J$6:J$22,'Sec5'!J$6:J$13),0)</f>
        <v>0</v>
      </c>
      <c r="K34" s="16">
        <f>IF(K$30&gt;0,AVERAGE('Sec1'!K$6:K$16,'Sec2'!K$6:K$21,'Sec3'!K$6:K$11,'Sec4'!K$6:K$22,'Sec5'!K$6:K$13),0)</f>
        <v>0</v>
      </c>
      <c r="L34" s="16">
        <f>IF(L$30&gt;0,AVERAGE('Sec1'!L$6:L$16,'Sec2'!L$6:L$21,'Sec3'!L$6:L$11,'Sec4'!L$6:L$22,'Sec5'!L$6:L$13),0)</f>
        <v>0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94.017241379310349</v>
      </c>
      <c r="T34" s="70">
        <f>IF(T$30&gt;0,AVERAGE('Sec1'!T$6:T$16,'Sec2'!T$6:T$21,'Sec3'!T$6:T$11,'Sec4'!T$6:T$22,'Sec5'!T$6:T$13),0)</f>
        <v>78.347701149425276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7" width="5.81640625" style="1" bestFit="1" customWidth="1"/>
    <col min="8" max="8" width="5.81640625" style="1" customWidth="1"/>
    <col min="9" max="9" width="5.81640625" style="1" bestFit="1" customWidth="1"/>
    <col min="10" max="10" width="6" style="2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bestFit="1" customWidth="1"/>
    <col min="20" max="20" width="5.81640625" style="1" bestFit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6">
        <v>38028</v>
      </c>
      <c r="B2" s="87"/>
      <c r="C2" s="19" t="s">
        <v>14</v>
      </c>
      <c r="D2" s="20" t="s">
        <v>15</v>
      </c>
      <c r="E2" s="20" t="s">
        <v>16</v>
      </c>
      <c r="F2" s="21" t="s">
        <v>17</v>
      </c>
      <c r="G2" s="88" t="s">
        <v>10</v>
      </c>
      <c r="H2" s="89"/>
      <c r="I2" s="90"/>
      <c r="J2" s="88" t="s">
        <v>11</v>
      </c>
      <c r="K2" s="89"/>
      <c r="L2" s="90"/>
      <c r="M2" s="88" t="s">
        <v>12</v>
      </c>
      <c r="N2" s="89"/>
      <c r="O2" s="90"/>
      <c r="P2" s="88" t="s">
        <v>13</v>
      </c>
      <c r="Q2" s="89"/>
      <c r="R2" s="90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8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82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3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46"/>
      <c r="T5" s="75"/>
    </row>
    <row r="6" spans="1:24" ht="16.149999999999999" customHeight="1" x14ac:dyDescent="0.35">
      <c r="A6" s="31">
        <v>5</v>
      </c>
      <c r="B6" s="11" t="s">
        <v>65</v>
      </c>
      <c r="C6" s="73">
        <v>40</v>
      </c>
      <c r="D6" s="31"/>
      <c r="E6" s="79"/>
      <c r="F6" s="81"/>
      <c r="G6" s="74">
        <v>28</v>
      </c>
      <c r="H6" s="78">
        <v>26</v>
      </c>
      <c r="I6" s="78">
        <v>24</v>
      </c>
      <c r="J6" s="73"/>
      <c r="K6" s="78"/>
      <c r="L6" s="78"/>
      <c r="M6" s="74"/>
      <c r="N6" s="78"/>
      <c r="O6" s="78"/>
      <c r="P6" s="74"/>
      <c r="Q6" s="78"/>
      <c r="R6" s="64"/>
      <c r="S6" s="46">
        <f t="shared" ref="S6:S13" si="0">SUM(C6:R6)</f>
        <v>118</v>
      </c>
      <c r="T6" s="75">
        <f t="shared" ref="T6:T13" si="1">IF(S6&gt;0,(S6/ABS($S$3)*100),0)</f>
        <v>98.333333333333329</v>
      </c>
      <c r="U6" s="43"/>
    </row>
    <row r="7" spans="1:24" ht="16.149999999999999" customHeight="1" x14ac:dyDescent="0.35">
      <c r="A7" s="31">
        <v>5</v>
      </c>
      <c r="B7" s="11" t="s">
        <v>66</v>
      </c>
      <c r="C7" s="30">
        <v>38</v>
      </c>
      <c r="D7" s="31"/>
      <c r="E7" s="31"/>
      <c r="F7" s="32"/>
      <c r="G7" s="30">
        <v>27</v>
      </c>
      <c r="H7" s="31">
        <v>23</v>
      </c>
      <c r="I7" s="31">
        <v>23</v>
      </c>
      <c r="J7" s="73"/>
      <c r="K7" s="31"/>
      <c r="L7" s="31"/>
      <c r="M7" s="30"/>
      <c r="N7" s="31"/>
      <c r="O7" s="31"/>
      <c r="P7" s="30"/>
      <c r="Q7" s="31"/>
      <c r="R7" s="32"/>
      <c r="S7" s="46">
        <f t="shared" si="0"/>
        <v>111</v>
      </c>
      <c r="T7" s="75">
        <f t="shared" si="1"/>
        <v>92.5</v>
      </c>
      <c r="U7" s="43"/>
    </row>
    <row r="8" spans="1:24" ht="16.149999999999999" customHeight="1" x14ac:dyDescent="0.35">
      <c r="A8" s="31">
        <v>5</v>
      </c>
      <c r="B8" s="37" t="s">
        <v>68</v>
      </c>
      <c r="C8" s="30">
        <v>35</v>
      </c>
      <c r="D8" s="31"/>
      <c r="E8" s="31"/>
      <c r="F8" s="32"/>
      <c r="G8" s="29">
        <v>25</v>
      </c>
      <c r="H8" s="31">
        <v>23</v>
      </c>
      <c r="I8" s="31">
        <v>22</v>
      </c>
      <c r="J8" s="73"/>
      <c r="K8" s="31"/>
      <c r="L8" s="31"/>
      <c r="M8" s="30"/>
      <c r="N8" s="31"/>
      <c r="O8" s="31"/>
      <c r="P8" s="30"/>
      <c r="Q8" s="31"/>
      <c r="R8" s="32"/>
      <c r="S8" s="46">
        <f t="shared" si="0"/>
        <v>105</v>
      </c>
      <c r="T8" s="75">
        <f t="shared" si="1"/>
        <v>87.5</v>
      </c>
      <c r="W8"/>
      <c r="X8"/>
    </row>
    <row r="9" spans="1:24" ht="16.149999999999999" customHeight="1" x14ac:dyDescent="0.35">
      <c r="A9" s="31">
        <v>5</v>
      </c>
      <c r="B9" s="11" t="s">
        <v>52</v>
      </c>
      <c r="C9" s="30">
        <v>39</v>
      </c>
      <c r="D9" s="31"/>
      <c r="E9" s="31"/>
      <c r="F9" s="32"/>
      <c r="G9" s="30">
        <v>24</v>
      </c>
      <c r="H9" s="38">
        <v>21</v>
      </c>
      <c r="I9" s="38">
        <v>15</v>
      </c>
      <c r="J9" s="73"/>
      <c r="K9" s="38"/>
      <c r="L9" s="38"/>
      <c r="M9" s="29"/>
      <c r="N9" s="38"/>
      <c r="O9" s="38"/>
      <c r="P9" s="29"/>
      <c r="Q9" s="38"/>
      <c r="R9" s="36"/>
      <c r="S9" s="46">
        <f t="shared" si="0"/>
        <v>99</v>
      </c>
      <c r="T9" s="75">
        <f t="shared" si="1"/>
        <v>82.5</v>
      </c>
      <c r="W9"/>
      <c r="X9"/>
    </row>
    <row r="10" spans="1:24" ht="16.149999999999999" customHeight="1" x14ac:dyDescent="0.35">
      <c r="A10" s="31">
        <v>5</v>
      </c>
      <c r="B10" s="11" t="s">
        <v>80</v>
      </c>
      <c r="C10" s="73">
        <v>40</v>
      </c>
      <c r="D10" s="31"/>
      <c r="E10" s="79"/>
      <c r="F10" s="32"/>
      <c r="G10" s="74">
        <v>22</v>
      </c>
      <c r="H10" s="78">
        <v>19</v>
      </c>
      <c r="I10" s="78">
        <v>14</v>
      </c>
      <c r="J10" s="73"/>
      <c r="K10" s="78"/>
      <c r="L10" s="78"/>
      <c r="M10" s="74"/>
      <c r="N10" s="78"/>
      <c r="O10" s="78"/>
      <c r="P10" s="74"/>
      <c r="Q10" s="78"/>
      <c r="R10" s="64"/>
      <c r="S10" s="46">
        <f t="shared" si="0"/>
        <v>95</v>
      </c>
      <c r="T10" s="75">
        <f t="shared" si="1"/>
        <v>79.166666666666657</v>
      </c>
      <c r="U10" s="43"/>
    </row>
    <row r="11" spans="1:24" ht="16.149999999999999" customHeight="1" x14ac:dyDescent="0.35">
      <c r="A11" s="31">
        <v>5</v>
      </c>
      <c r="B11" s="11" t="s">
        <v>70</v>
      </c>
      <c r="C11" s="30">
        <v>35</v>
      </c>
      <c r="D11" s="31"/>
      <c r="E11" s="31"/>
      <c r="F11" s="32"/>
      <c r="G11" s="30">
        <v>23</v>
      </c>
      <c r="H11" s="31">
        <v>18</v>
      </c>
      <c r="I11" s="31">
        <v>14</v>
      </c>
      <c r="J11" s="73"/>
      <c r="K11" s="31"/>
      <c r="L11" s="31"/>
      <c r="M11" s="30"/>
      <c r="N11" s="31"/>
      <c r="O11" s="31"/>
      <c r="P11" s="30"/>
      <c r="Q11" s="31"/>
      <c r="R11" s="32"/>
      <c r="S11" s="46">
        <f t="shared" si="0"/>
        <v>90</v>
      </c>
      <c r="T11" s="75">
        <f t="shared" si="1"/>
        <v>75</v>
      </c>
      <c r="U11" s="43"/>
    </row>
    <row r="12" spans="1:24" ht="16.149999999999999" customHeight="1" x14ac:dyDescent="0.35">
      <c r="A12" s="31">
        <v>5</v>
      </c>
      <c r="B12" s="39" t="s">
        <v>69</v>
      </c>
      <c r="C12" s="30">
        <v>29</v>
      </c>
      <c r="D12" s="31"/>
      <c r="E12" s="31"/>
      <c r="F12" s="81"/>
      <c r="G12" s="30">
        <v>21</v>
      </c>
      <c r="H12" s="31">
        <v>22</v>
      </c>
      <c r="I12" s="31">
        <v>13</v>
      </c>
      <c r="J12" s="73"/>
      <c r="K12" s="31"/>
      <c r="L12" s="79"/>
      <c r="M12" s="30"/>
      <c r="N12" s="31"/>
      <c r="O12" s="31"/>
      <c r="P12" s="30"/>
      <c r="Q12" s="31"/>
      <c r="R12" s="32"/>
      <c r="S12" s="46">
        <f t="shared" si="0"/>
        <v>85</v>
      </c>
      <c r="T12" s="75">
        <f t="shared" si="1"/>
        <v>70.833333333333343</v>
      </c>
      <c r="U12" s="43"/>
    </row>
    <row r="13" spans="1:24" ht="16.149999999999999" customHeight="1" x14ac:dyDescent="0.35">
      <c r="A13" s="31">
        <v>5</v>
      </c>
      <c r="B13" s="11">
        <v>3883</v>
      </c>
      <c r="C13" s="73" t="s">
        <v>81</v>
      </c>
      <c r="D13" s="31"/>
      <c r="E13" s="79"/>
      <c r="F13" s="81"/>
      <c r="G13" s="74" t="s">
        <v>81</v>
      </c>
      <c r="H13" s="78" t="s">
        <v>81</v>
      </c>
      <c r="I13" s="78" t="s">
        <v>81</v>
      </c>
      <c r="J13" s="73"/>
      <c r="K13" s="78"/>
      <c r="L13" s="78"/>
      <c r="M13" s="74"/>
      <c r="N13" s="78"/>
      <c r="O13" s="78"/>
      <c r="P13" s="74"/>
      <c r="Q13" s="78"/>
      <c r="R13" s="64"/>
      <c r="S13" s="46">
        <f t="shared" si="0"/>
        <v>0</v>
      </c>
      <c r="T13" s="75">
        <f t="shared" si="1"/>
        <v>0</v>
      </c>
      <c r="U13" s="43"/>
    </row>
    <row r="14" spans="1:24" ht="16.149999999999999" customHeight="1" x14ac:dyDescent="0.35">
      <c r="A14" s="31" t="s">
        <v>4</v>
      </c>
      <c r="B14" s="11" t="s">
        <v>4</v>
      </c>
      <c r="C14" s="30"/>
      <c r="D14" s="31"/>
      <c r="E14" s="31"/>
      <c r="F14" s="32"/>
      <c r="G14" s="29"/>
      <c r="H14" s="38"/>
      <c r="I14" s="38"/>
      <c r="J14" s="73"/>
      <c r="K14" s="38"/>
      <c r="L14" s="38"/>
      <c r="M14" s="29"/>
      <c r="N14" s="38"/>
      <c r="O14" s="38"/>
      <c r="P14" s="29"/>
      <c r="Q14" s="38"/>
      <c r="R14" s="36"/>
      <c r="S14" s="46" t="s">
        <v>4</v>
      </c>
      <c r="T14" s="75" t="s">
        <v>4</v>
      </c>
      <c r="U14" s="43"/>
    </row>
    <row r="15" spans="1:24" ht="16.149999999999999" customHeight="1" x14ac:dyDescent="0.35">
      <c r="A15" s="31" t="s">
        <v>4</v>
      </c>
      <c r="B15" s="11" t="s">
        <v>4</v>
      </c>
      <c r="C15" s="30"/>
      <c r="D15" s="31"/>
      <c r="E15" s="31"/>
      <c r="F15" s="81"/>
      <c r="G15" s="29"/>
      <c r="H15" s="38"/>
      <c r="I15" s="36"/>
      <c r="J15" s="73"/>
      <c r="K15" s="38"/>
      <c r="L15" s="36"/>
      <c r="M15" s="38"/>
      <c r="N15" s="38"/>
      <c r="O15" s="36"/>
      <c r="P15" s="38"/>
      <c r="Q15" s="38"/>
      <c r="R15" s="36"/>
      <c r="S15" s="46" t="s">
        <v>4</v>
      </c>
      <c r="T15" s="75"/>
      <c r="U15" s="43"/>
    </row>
    <row r="16" spans="1:24" ht="16.149999999999999" customHeight="1" x14ac:dyDescent="0.35">
      <c r="A16" s="31" t="s">
        <v>4</v>
      </c>
      <c r="B16" s="11" t="s">
        <v>4</v>
      </c>
      <c r="C16" s="73"/>
      <c r="D16" s="31"/>
      <c r="E16" s="79"/>
      <c r="F16" s="32"/>
      <c r="G16" s="74"/>
      <c r="H16" s="78"/>
      <c r="I16" s="78"/>
      <c r="J16" s="73"/>
      <c r="K16" s="78"/>
      <c r="L16" s="78"/>
      <c r="M16" s="74"/>
      <c r="N16" s="78"/>
      <c r="O16" s="78"/>
      <c r="P16" s="74"/>
      <c r="Q16" s="78"/>
      <c r="R16" s="64"/>
      <c r="S16" s="46" t="s">
        <v>4</v>
      </c>
      <c r="T16" s="75"/>
    </row>
    <row r="17" spans="1:24" ht="16.149999999999999" customHeight="1" x14ac:dyDescent="0.35">
      <c r="A17" s="31" t="s">
        <v>4</v>
      </c>
      <c r="B17" s="11" t="s">
        <v>4</v>
      </c>
      <c r="C17" s="30"/>
      <c r="D17" s="31"/>
      <c r="E17" s="31"/>
      <c r="F17" s="32"/>
      <c r="G17" s="29"/>
      <c r="H17" s="38"/>
      <c r="I17" s="38"/>
      <c r="J17" s="73"/>
      <c r="K17" s="38"/>
      <c r="L17" s="38"/>
      <c r="M17" s="29"/>
      <c r="N17" s="38"/>
      <c r="O17" s="38"/>
      <c r="P17" s="29"/>
      <c r="Q17" s="38"/>
      <c r="R17" s="36"/>
      <c r="S17" s="46" t="s">
        <v>4</v>
      </c>
      <c r="T17" s="75"/>
    </row>
    <row r="18" spans="1:24" ht="16.149999999999999" customHeight="1" x14ac:dyDescent="0.35">
      <c r="A18" s="31" t="s">
        <v>4</v>
      </c>
      <c r="B18" s="11" t="s">
        <v>4</v>
      </c>
      <c r="C18" s="73"/>
      <c r="D18" s="31"/>
      <c r="E18" s="79"/>
      <c r="F18" s="81"/>
      <c r="G18" s="74"/>
      <c r="H18" s="78"/>
      <c r="I18" s="78"/>
      <c r="J18" s="73"/>
      <c r="K18" s="78"/>
      <c r="L18" s="78"/>
      <c r="M18" s="74"/>
      <c r="N18" s="78"/>
      <c r="O18" s="78"/>
      <c r="P18" s="74"/>
      <c r="Q18" s="78"/>
      <c r="R18" s="64"/>
      <c r="S18" s="46" t="s">
        <v>4</v>
      </c>
      <c r="T18" s="75"/>
      <c r="U18" s="43"/>
    </row>
    <row r="19" spans="1:24" ht="16.149999999999999" customHeight="1" x14ac:dyDescent="0.35">
      <c r="A19" s="31" t="s">
        <v>4</v>
      </c>
      <c r="B19" s="39" t="s">
        <v>4</v>
      </c>
      <c r="C19" s="30"/>
      <c r="D19" s="31"/>
      <c r="E19" s="31"/>
      <c r="F19" s="31"/>
      <c r="G19" s="29"/>
      <c r="H19" s="38"/>
      <c r="I19" s="38"/>
      <c r="J19" s="73"/>
      <c r="K19" s="38"/>
      <c r="L19" s="38"/>
      <c r="M19" s="29"/>
      <c r="N19" s="38"/>
      <c r="O19" s="38"/>
      <c r="P19" s="29"/>
      <c r="Q19" s="38"/>
      <c r="R19" s="36"/>
      <c r="S19" s="46" t="s">
        <v>4</v>
      </c>
      <c r="T19" s="75"/>
    </row>
    <row r="20" spans="1:24" ht="16.149999999999999" customHeight="1" x14ac:dyDescent="0.35">
      <c r="A20" s="31" t="s">
        <v>4</v>
      </c>
      <c r="B20" s="11" t="s">
        <v>4</v>
      </c>
      <c r="C20" s="30"/>
      <c r="D20" s="31"/>
      <c r="E20" s="31"/>
      <c r="F20" s="31"/>
      <c r="G20" s="29"/>
      <c r="H20" s="38"/>
      <c r="I20" s="38"/>
      <c r="J20" s="73"/>
      <c r="K20" s="38"/>
      <c r="L20" s="38"/>
      <c r="M20" s="29"/>
      <c r="N20" s="38"/>
      <c r="O20" s="38"/>
      <c r="P20" s="29"/>
      <c r="Q20" s="38"/>
      <c r="R20" s="36"/>
      <c r="S20" s="46" t="s">
        <v>4</v>
      </c>
      <c r="T20" s="75"/>
      <c r="U20" s="43"/>
    </row>
    <row r="21" spans="1:24" ht="16.149999999999999" customHeight="1" x14ac:dyDescent="0.35">
      <c r="A21" s="31" t="s">
        <v>4</v>
      </c>
      <c r="B21" s="11" t="s">
        <v>4</v>
      </c>
      <c r="C21" s="73"/>
      <c r="D21" s="31"/>
      <c r="E21" s="31"/>
      <c r="F21" s="79"/>
      <c r="G21" s="74"/>
      <c r="H21" s="78"/>
      <c r="I21" s="78"/>
      <c r="J21" s="73"/>
      <c r="K21" s="78"/>
      <c r="L21" s="78"/>
      <c r="M21" s="73"/>
      <c r="N21" s="78"/>
      <c r="O21" s="78"/>
      <c r="P21" s="74"/>
      <c r="Q21" s="78"/>
      <c r="R21" s="64"/>
      <c r="S21" s="46" t="s">
        <v>4</v>
      </c>
      <c r="T21" s="75"/>
      <c r="U21" s="43"/>
    </row>
    <row r="22" spans="1:24" ht="16.149999999999999" customHeight="1" x14ac:dyDescent="0.35">
      <c r="A22" s="31" t="s">
        <v>4</v>
      </c>
      <c r="B22" s="39" t="s">
        <v>4</v>
      </c>
      <c r="C22" s="30"/>
      <c r="D22" s="31"/>
      <c r="E22" s="31"/>
      <c r="F22" s="31"/>
      <c r="G22" s="30"/>
      <c r="H22" s="31"/>
      <c r="I22" s="31"/>
      <c r="J22" s="73"/>
      <c r="K22" s="31"/>
      <c r="L22" s="31"/>
      <c r="M22" s="30"/>
      <c r="N22" s="31"/>
      <c r="O22" s="31"/>
      <c r="P22" s="30"/>
      <c r="Q22" s="31"/>
      <c r="R22" s="32"/>
      <c r="S22" s="46" t="s">
        <v>4</v>
      </c>
      <c r="T22" s="75"/>
      <c r="U22" s="43"/>
    </row>
    <row r="23" spans="1:24" ht="16.149999999999999" customHeight="1" x14ac:dyDescent="0.35">
      <c r="A23" s="31" t="s">
        <v>4</v>
      </c>
      <c r="B23" s="11" t="s">
        <v>4</v>
      </c>
      <c r="C23" s="30"/>
      <c r="D23" s="31"/>
      <c r="E23" s="31"/>
      <c r="F23" s="31"/>
      <c r="G23" s="30"/>
      <c r="H23" s="31"/>
      <c r="I23" s="31"/>
      <c r="J23" s="73"/>
      <c r="K23" s="31"/>
      <c r="L23" s="31"/>
      <c r="M23" s="30"/>
      <c r="N23" s="31"/>
      <c r="O23" s="31"/>
      <c r="P23" s="30"/>
      <c r="Q23" s="31"/>
      <c r="R23" s="32"/>
      <c r="S23" s="46" t="s">
        <v>4</v>
      </c>
      <c r="T23" s="75"/>
      <c r="U23" s="43"/>
    </row>
    <row r="24" spans="1:24" ht="16.149999999999999" customHeight="1" x14ac:dyDescent="0.35">
      <c r="A24" s="31" t="s">
        <v>4</v>
      </c>
      <c r="B24" s="11" t="s">
        <v>4</v>
      </c>
      <c r="C24" s="30"/>
      <c r="D24" s="31"/>
      <c r="E24" s="31"/>
      <c r="F24" s="31"/>
      <c r="G24" s="30"/>
      <c r="H24" s="31"/>
      <c r="I24" s="31"/>
      <c r="J24" s="73"/>
      <c r="K24" s="31"/>
      <c r="L24" s="31"/>
      <c r="M24" s="30"/>
      <c r="N24" s="31"/>
      <c r="O24" s="31"/>
      <c r="P24" s="30"/>
      <c r="Q24" s="31"/>
      <c r="R24" s="32"/>
      <c r="S24" s="46" t="s">
        <v>4</v>
      </c>
      <c r="T24" s="75"/>
      <c r="U24" s="43"/>
    </row>
    <row r="25" spans="1:24" ht="16.149999999999999" customHeight="1" x14ac:dyDescent="0.35">
      <c r="A25" s="31" t="s">
        <v>4</v>
      </c>
      <c r="B25" s="11" t="s">
        <v>4</v>
      </c>
      <c r="C25" s="73"/>
      <c r="D25" s="31"/>
      <c r="E25" s="79"/>
      <c r="F25" s="79"/>
      <c r="G25" s="74"/>
      <c r="H25" s="78"/>
      <c r="I25" s="78"/>
      <c r="J25" s="73"/>
      <c r="K25" s="78"/>
      <c r="L25" s="78"/>
      <c r="M25" s="74"/>
      <c r="N25" s="78"/>
      <c r="O25" s="78"/>
      <c r="P25" s="74"/>
      <c r="Q25" s="78"/>
      <c r="R25" s="64"/>
      <c r="S25" s="46" t="s">
        <v>4</v>
      </c>
      <c r="T25" s="75"/>
      <c r="U25" s="43"/>
    </row>
    <row r="26" spans="1:24" ht="16.149999999999999" customHeight="1" x14ac:dyDescent="0.35">
      <c r="A26" s="31" t="s">
        <v>4</v>
      </c>
      <c r="B26" s="11" t="s">
        <v>4</v>
      </c>
      <c r="C26" s="73"/>
      <c r="D26" s="31"/>
      <c r="E26" s="79"/>
      <c r="F26" s="79"/>
      <c r="G26" s="74"/>
      <c r="H26" s="78"/>
      <c r="I26" s="78"/>
      <c r="J26" s="73"/>
      <c r="K26" s="78"/>
      <c r="L26" s="78"/>
      <c r="M26" s="74"/>
      <c r="N26" s="78"/>
      <c r="O26" s="78"/>
      <c r="P26" s="74"/>
      <c r="Q26" s="78"/>
      <c r="R26" s="64"/>
      <c r="S26" s="46" t="s">
        <v>4</v>
      </c>
      <c r="T26" s="75"/>
      <c r="U26" s="43"/>
    </row>
    <row r="27" spans="1:24" ht="16.149999999999999" customHeight="1" x14ac:dyDescent="0.35">
      <c r="A27" s="31" t="s">
        <v>4</v>
      </c>
      <c r="B27" s="11" t="s">
        <v>4</v>
      </c>
      <c r="C27" s="73"/>
      <c r="D27" s="79"/>
      <c r="E27" s="79"/>
      <c r="F27" s="79"/>
      <c r="G27" s="74"/>
      <c r="H27" s="78"/>
      <c r="I27" s="78"/>
      <c r="J27" s="73"/>
      <c r="K27" s="78"/>
      <c r="L27" s="78"/>
      <c r="M27" s="74"/>
      <c r="N27" s="78"/>
      <c r="O27" s="78"/>
      <c r="P27" s="74"/>
      <c r="Q27" s="78"/>
      <c r="R27" s="64"/>
      <c r="S27" s="46" t="s">
        <v>4</v>
      </c>
      <c r="T27" s="75" t="s">
        <v>4</v>
      </c>
      <c r="U27" s="43"/>
    </row>
    <row r="28" spans="1:24" ht="16.149999999999999" customHeight="1" x14ac:dyDescent="0.35">
      <c r="A28" s="31" t="s">
        <v>4</v>
      </c>
      <c r="B28" s="11" t="s">
        <v>4</v>
      </c>
      <c r="C28" s="73"/>
      <c r="D28" s="79"/>
      <c r="E28" s="79"/>
      <c r="F28" s="79"/>
      <c r="G28" s="74"/>
      <c r="H28" s="78"/>
      <c r="I28" s="78"/>
      <c r="J28" s="73"/>
      <c r="K28" s="78"/>
      <c r="L28" s="78"/>
      <c r="M28" s="74"/>
      <c r="N28" s="78"/>
      <c r="O28" s="78"/>
      <c r="P28" s="74"/>
      <c r="Q28" s="78"/>
      <c r="R28" s="64"/>
      <c r="S28" s="46" t="s">
        <v>4</v>
      </c>
      <c r="T28" s="75" t="s">
        <v>4</v>
      </c>
      <c r="U28" s="43"/>
    </row>
    <row r="29" spans="1:24" ht="16.149999999999999" customHeight="1" thickBot="1" x14ac:dyDescent="0.4">
      <c r="A29" s="69" t="s">
        <v>4</v>
      </c>
      <c r="B29" s="69" t="s">
        <v>4</v>
      </c>
      <c r="C29" s="73"/>
      <c r="D29" s="79"/>
      <c r="E29" s="79"/>
      <c r="F29" s="81"/>
      <c r="G29" s="74"/>
      <c r="H29" s="78"/>
      <c r="I29" s="78"/>
      <c r="J29" s="73"/>
      <c r="K29" s="78"/>
      <c r="L29" s="78"/>
      <c r="M29" s="74"/>
      <c r="N29" s="78"/>
      <c r="O29" s="78"/>
      <c r="P29" s="74"/>
      <c r="Q29" s="78"/>
      <c r="R29" s="64"/>
      <c r="S29" s="46" t="s">
        <v>4</v>
      </c>
      <c r="T29" s="75" t="s">
        <v>4</v>
      </c>
      <c r="W29"/>
      <c r="X29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SUM(C$6:C$29)</f>
        <v>256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170</v>
      </c>
      <c r="H30" s="9">
        <f t="shared" si="2"/>
        <v>152</v>
      </c>
      <c r="I30" s="9">
        <f t="shared" si="2"/>
        <v>125</v>
      </c>
      <c r="J30" s="9">
        <f t="shared" si="2"/>
        <v>0</v>
      </c>
      <c r="K30" s="9">
        <f t="shared" si="2"/>
        <v>0</v>
      </c>
      <c r="L30" s="9">
        <f t="shared" si="2"/>
        <v>0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703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9</v>
      </c>
      <c r="B32"/>
      <c r="C32" s="23">
        <f t="shared" ref="C32:S32" si="3">IF(C$30&gt;0,AVERAGE(C$6:C$29),0)</f>
        <v>36.571428571428569</v>
      </c>
      <c r="D32" s="23">
        <f t="shared" si="3"/>
        <v>0</v>
      </c>
      <c r="E32" s="23">
        <f t="shared" si="3"/>
        <v>0</v>
      </c>
      <c r="F32" s="23">
        <f t="shared" si="3"/>
        <v>0</v>
      </c>
      <c r="G32" s="23">
        <f t="shared" si="3"/>
        <v>24.285714285714285</v>
      </c>
      <c r="H32" s="23">
        <f t="shared" si="3"/>
        <v>21.714285714285715</v>
      </c>
      <c r="I32" s="23">
        <f t="shared" si="3"/>
        <v>17.857142857142858</v>
      </c>
      <c r="J32" s="23">
        <f t="shared" si="3"/>
        <v>0</v>
      </c>
      <c r="K32" s="23">
        <f t="shared" si="3"/>
        <v>0</v>
      </c>
      <c r="L32" s="23">
        <f t="shared" si="3"/>
        <v>0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87.875</v>
      </c>
      <c r="T32" s="76">
        <f>IF(S32&gt;0,(S32/ABS($S$3)*100),0)</f>
        <v>73.229166666666671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38.03846153846154</v>
      </c>
      <c r="D34" s="16">
        <f>IF(D$30&gt;0,AVERAGE('Sec1'!D$6:D$16,'Sec2'!D$6:D$21,'Sec3'!D$6:D$11,'Sec4'!D$6:D$22,'Sec5'!D$6:D$13),0)</f>
        <v>0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25.73076923076923</v>
      </c>
      <c r="H34" s="16">
        <f>IF(H$30&gt;0,AVERAGE('Sec1'!H$6:H$16,'Sec2'!H$6:H$21,'Sec3'!H$6:H$11,'Sec4'!H$6:H$22,'Sec5'!H$6:H$13),0)</f>
        <v>22.096153846153847</v>
      </c>
      <c r="I34" s="16">
        <f>IF(I$30&gt;0,AVERAGE('Sec1'!I$6:I$16,'Sec2'!I$6:I$21,'Sec3'!I$6:I$11,'Sec4'!I$6:I$22,'Sec5'!I$6:I$13),0)</f>
        <v>19</v>
      </c>
      <c r="J34" s="16">
        <f>IF(J$30&gt;0,AVERAGE('Sec1'!J$6:J$16,'Sec2'!J$6:J$21,'Sec3'!J$6:J$11,'Sec4'!J$6:J$22,'Sec5'!J$6:J$13),0)</f>
        <v>0</v>
      </c>
      <c r="K34" s="16">
        <f>IF(K$30&gt;0,AVERAGE('Sec1'!K$6:K$16,'Sec2'!K$6:K$21,'Sec3'!K$6:K$11,'Sec4'!K$6:K$22,'Sec5'!K$6:K$13),0)</f>
        <v>0</v>
      </c>
      <c r="L34" s="16">
        <f>IF(L$30&gt;0,AVERAGE('Sec1'!L$6:L$16,'Sec2'!L$6:L$21,'Sec3'!L$6:L$11,'Sec4'!L$6:L$22,'Sec5'!L$6:L$13),0)</f>
        <v>0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94.017241379310349</v>
      </c>
      <c r="T34" s="70">
        <f>IF(T$30&gt;0,AVERAGE('Sec1'!T$6:T$16,'Sec2'!T$6:T$21,'Sec3'!T$6:T$11,'Sec4'!T$6:T$22,'Sec5'!T$6:T$13),0)</f>
        <v>78.347701149425276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Sec1</vt:lpstr>
      <vt:lpstr>Sec2</vt:lpstr>
      <vt:lpstr>Sec3</vt:lpstr>
      <vt:lpstr>Sec4</vt:lpstr>
      <vt:lpstr>Sec5</vt:lpstr>
      <vt:lpstr>Sec1!Print_Area</vt:lpstr>
      <vt:lpstr>Sec2!Print_Area</vt:lpstr>
      <vt:lpstr>Sec3!Print_Area</vt:lpstr>
      <vt:lpstr>Sec4!Print_Area</vt:lpstr>
      <vt:lpstr>Sec5!Print_Area</vt:lpstr>
      <vt:lpstr>Sec1!Print_Titles</vt:lpstr>
      <vt:lpstr>Sec2!Print_Titles</vt:lpstr>
      <vt:lpstr>Sec3!Print_Titles</vt:lpstr>
      <vt:lpstr>Sec4!Print_Titles</vt:lpstr>
      <vt:lpstr>Sec5!Print_Titles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  &amp; Engineering</dc:creator>
  <cp:lastModifiedBy>Carina Negreanu</cp:lastModifiedBy>
  <cp:lastPrinted>2004-01-31T22:35:50Z</cp:lastPrinted>
  <dcterms:created xsi:type="dcterms:W3CDTF">1998-04-06T21:08:26Z</dcterms:created>
  <dcterms:modified xsi:type="dcterms:W3CDTF">2020-01-27T11:09:17Z</dcterms:modified>
</cp:coreProperties>
</file>