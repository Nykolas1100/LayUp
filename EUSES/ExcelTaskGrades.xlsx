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FDEE94C-6C95-4E4D-BBC3-80CBF0C1ABA7}" xr6:coauthVersionLast="45" xr6:coauthVersionMax="45" xr10:uidLastSave="{00000000-0000-0000-0000-000000000000}"/>
  <bookViews>
    <workbookView xWindow="1900" yWindow="1900" windowWidth="28800" windowHeight="15460"/>
  </bookViews>
  <sheets>
    <sheet name="Grades"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23" i="1" l="1"/>
  <c r="J23" i="1" s="1"/>
  <c r="K23" i="1" s="1"/>
  <c r="I24" i="1"/>
  <c r="J24" i="1" s="1"/>
  <c r="K24" i="1" s="1"/>
  <c r="I26" i="1"/>
  <c r="J26" i="1" s="1"/>
  <c r="K26" i="1" s="1"/>
  <c r="I34" i="1"/>
  <c r="J34" i="1" s="1"/>
  <c r="K34" i="1" s="1"/>
  <c r="H30" i="1"/>
  <c r="I30" i="1" s="1"/>
  <c r="J30" i="1" s="1"/>
  <c r="K30" i="1" s="1"/>
  <c r="H26" i="1"/>
  <c r="H23" i="1"/>
  <c r="H34" i="1"/>
  <c r="H24" i="1"/>
  <c r="H28" i="1"/>
  <c r="I28" i="1" s="1"/>
  <c r="J28" i="1" s="1"/>
  <c r="K28" i="1" s="1"/>
  <c r="H31" i="1"/>
  <c r="I31" i="1" s="1"/>
  <c r="J31" i="1" s="1"/>
  <c r="K31" i="1" s="1"/>
  <c r="H22" i="1"/>
  <c r="I22" i="1" s="1"/>
  <c r="J22" i="1" s="1"/>
  <c r="K22" i="1" s="1"/>
  <c r="H25" i="1"/>
  <c r="I25" i="1" s="1"/>
  <c r="J25" i="1" s="1"/>
  <c r="K25" i="1" s="1"/>
  <c r="H32" i="1"/>
  <c r="I32" i="1" s="1"/>
  <c r="J32" i="1" s="1"/>
  <c r="K32" i="1" s="1"/>
  <c r="H29" i="1"/>
  <c r="I29" i="1" s="1"/>
  <c r="J29" i="1" s="1"/>
  <c r="K29" i="1" s="1"/>
  <c r="H27" i="1"/>
  <c r="I27" i="1" s="1"/>
  <c r="J27" i="1" s="1"/>
  <c r="K27" i="1" s="1"/>
  <c r="H21" i="1"/>
  <c r="H39" i="1" s="1"/>
  <c r="H33" i="1"/>
  <c r="I33" i="1" s="1"/>
  <c r="J33" i="1" s="1"/>
  <c r="K33" i="1" s="1"/>
  <c r="D39" i="1"/>
  <c r="D40" i="1" s="1"/>
  <c r="D38" i="1"/>
  <c r="E39" i="1"/>
  <c r="E38" i="1"/>
  <c r="E40" i="1" s="1"/>
  <c r="F39" i="1"/>
  <c r="F38" i="1"/>
  <c r="F40" i="1"/>
  <c r="G39" i="1"/>
  <c r="G38" i="1"/>
  <c r="G40" i="1"/>
  <c r="C39" i="1"/>
  <c r="C38" i="1"/>
  <c r="C40" i="1"/>
  <c r="D37" i="1"/>
  <c r="E37" i="1"/>
  <c r="F37" i="1"/>
  <c r="G37" i="1"/>
  <c r="H37" i="1"/>
  <c r="C37" i="1"/>
  <c r="H36" i="1"/>
  <c r="G36" i="1"/>
  <c r="F36" i="1"/>
  <c r="E36" i="1"/>
  <c r="D36" i="1"/>
  <c r="C36" i="1"/>
  <c r="H19" i="1"/>
  <c r="H40" i="1" l="1"/>
  <c r="I21" i="1"/>
  <c r="J21" i="1" s="1"/>
  <c r="K21" i="1" s="1"/>
  <c r="H38" i="1"/>
  <c r="K37" i="1" l="1"/>
  <c r="K38" i="1"/>
  <c r="K36" i="1"/>
</calcChain>
</file>

<file path=xl/comments1.xml><?xml version="1.0" encoding="utf-8"?>
<comments xmlns="http://schemas.openxmlformats.org/spreadsheetml/2006/main">
  <authors>
    <author>Justin Makeig</author>
  </authors>
  <commentList>
    <comment ref="H19" authorId="0" shapeId="0">
      <text>
        <r>
          <rPr>
            <b/>
            <sz val="9"/>
            <color indexed="81"/>
            <rFont val="Geneva"/>
          </rPr>
          <t>Justin Makeig:</t>
        </r>
        <r>
          <rPr>
            <sz val="9"/>
            <color indexed="81"/>
            <rFont val="Geneva"/>
          </rPr>
          <t xml:space="preserve">
The sum of the points for the labs, project, midterms, and final</t>
        </r>
      </text>
    </comment>
    <comment ref="H21" authorId="0" shapeId="0">
      <text>
        <r>
          <rPr>
            <b/>
            <sz val="9"/>
            <color indexed="81"/>
            <rFont val="Geneva"/>
          </rPr>
          <t>Justin Makeig:</t>
        </r>
        <r>
          <rPr>
            <sz val="9"/>
            <color indexed="81"/>
            <rFont val="Geneva"/>
          </rPr>
          <t xml:space="preserve">
A sum of each student's total points</t>
        </r>
      </text>
    </comment>
    <comment ref="I21" authorId="0" shapeId="0">
      <text>
        <r>
          <rPr>
            <b/>
            <sz val="9"/>
            <color indexed="81"/>
            <rFont val="Geneva"/>
          </rPr>
          <t>Justin Makeig:</t>
        </r>
        <r>
          <rPr>
            <sz val="9"/>
            <color indexed="81"/>
            <rFont val="Geneva"/>
          </rPr>
          <t xml:space="preserve">
The percentage of total points that the student received</t>
        </r>
      </text>
    </comment>
    <comment ref="J21" authorId="0" shapeId="0">
      <text>
        <r>
          <rPr>
            <b/>
            <sz val="9"/>
            <color indexed="81"/>
            <rFont val="Geneva"/>
          </rPr>
          <t>Justin Makeig:</t>
        </r>
        <r>
          <rPr>
            <sz val="9"/>
            <color indexed="81"/>
            <rFont val="Geneva"/>
          </rPr>
          <t xml:space="preserve">
With the VLOOKUP function, lookup the Percentage in the Percentage Lookup Table to caculate the final letter grade. Use Excel's built-in help (F1) for more info on VLOOKUP.</t>
        </r>
      </text>
    </comment>
    <comment ref="K21" authorId="0" shapeId="0">
      <text>
        <r>
          <rPr>
            <b/>
            <sz val="9"/>
            <color indexed="81"/>
            <rFont val="Geneva"/>
          </rPr>
          <t>Justin Makeig:</t>
        </r>
        <r>
          <rPr>
            <sz val="9"/>
            <color indexed="81"/>
            <rFont val="Geneva"/>
          </rPr>
          <t xml:space="preserve">
Convert the final grade to a simple letter grade to be counted below. For example A- would be converted to A, C+ would be C, and B would stay B. Look at Excel's text functions for more info.</t>
        </r>
      </text>
    </comment>
    <comment ref="C36" authorId="0" shapeId="0">
      <text>
        <r>
          <rPr>
            <b/>
            <sz val="9"/>
            <color indexed="81"/>
            <rFont val="Geneva"/>
          </rPr>
          <t>Justin Makeig:</t>
        </r>
        <r>
          <rPr>
            <sz val="9"/>
            <color indexed="81"/>
            <rFont val="Geneva"/>
          </rPr>
          <t xml:space="preserve">
Calculate the average of each column.</t>
        </r>
      </text>
    </comment>
    <comment ref="K36" authorId="0" shapeId="0">
      <text>
        <r>
          <rPr>
            <b/>
            <sz val="9"/>
            <color indexed="81"/>
            <rFont val="Geneva"/>
          </rPr>
          <t>Justin Makeig:</t>
        </r>
        <r>
          <rPr>
            <sz val="9"/>
            <color indexed="81"/>
            <rFont val="Geneva"/>
          </rPr>
          <t xml:space="preserve">
Count the number of each letter grade above.</t>
        </r>
      </text>
    </comment>
    <comment ref="C37" authorId="0" shapeId="0">
      <text>
        <r>
          <rPr>
            <b/>
            <sz val="9"/>
            <color indexed="81"/>
            <rFont val="Geneva"/>
          </rPr>
          <t>Justin Makeig:</t>
        </r>
        <r>
          <rPr>
            <sz val="9"/>
            <color indexed="81"/>
            <rFont val="Geneva"/>
          </rPr>
          <t xml:space="preserve">
Calculate the standard deviation of each column.</t>
        </r>
      </text>
    </comment>
    <comment ref="C38" authorId="0" shapeId="0">
      <text>
        <r>
          <rPr>
            <b/>
            <sz val="9"/>
            <color indexed="81"/>
            <rFont val="Geneva"/>
          </rPr>
          <t>Justin Makeig:</t>
        </r>
        <r>
          <rPr>
            <sz val="9"/>
            <color indexed="81"/>
            <rFont val="Geneva"/>
          </rPr>
          <t xml:space="preserve">
Calculate the minimum value of each column.</t>
        </r>
      </text>
    </comment>
    <comment ref="C39" authorId="0" shapeId="0">
      <text>
        <r>
          <rPr>
            <b/>
            <sz val="9"/>
            <color indexed="81"/>
            <rFont val="Geneva"/>
          </rPr>
          <t>Justin Makeig:</t>
        </r>
        <r>
          <rPr>
            <sz val="9"/>
            <color indexed="81"/>
            <rFont val="Geneva"/>
          </rPr>
          <t xml:space="preserve">
Calculate the maximum value of each column.</t>
        </r>
      </text>
    </comment>
    <comment ref="C40" authorId="0" shapeId="0">
      <text>
        <r>
          <rPr>
            <b/>
            <sz val="9"/>
            <color indexed="81"/>
            <rFont val="Geneva"/>
          </rPr>
          <t>Justin Makeig:</t>
        </r>
        <r>
          <rPr>
            <sz val="9"/>
            <color indexed="81"/>
            <rFont val="Geneva"/>
          </rPr>
          <t xml:space="preserve">
Calculate the range of values in each column (i.e. the maximum value minus the minimum).</t>
        </r>
      </text>
    </comment>
  </commentList>
</comments>
</file>

<file path=xl/sharedStrings.xml><?xml version="1.0" encoding="utf-8"?>
<sst xmlns="http://schemas.openxmlformats.org/spreadsheetml/2006/main" count="64" uniqueCount="59">
  <si>
    <t>GSI For a Day!</t>
  </si>
  <si>
    <t>Calculate Grades</t>
  </si>
  <si>
    <t>SID</t>
  </si>
  <si>
    <t>Name</t>
  </si>
  <si>
    <t>Labs</t>
  </si>
  <si>
    <t>Project</t>
  </si>
  <si>
    <t>Midterm 1</t>
  </si>
  <si>
    <t>Midterm 2</t>
  </si>
  <si>
    <t>Final</t>
  </si>
  <si>
    <t>Total Points</t>
  </si>
  <si>
    <t>Percentage</t>
  </si>
  <si>
    <t>Grade</t>
  </si>
  <si>
    <t>Letter</t>
  </si>
  <si>
    <t>Possible points</t>
  </si>
  <si>
    <t>24484582</t>
  </si>
  <si>
    <t>Nichols, Nick</t>
  </si>
  <si>
    <t>56316867</t>
  </si>
  <si>
    <t>Ericson, Eric</t>
  </si>
  <si>
    <t>92744430</t>
  </si>
  <si>
    <t>Davidson, Dave</t>
  </si>
  <si>
    <t>88170768</t>
  </si>
  <si>
    <t>Albertson, Al</t>
  </si>
  <si>
    <t>42438404</t>
  </si>
  <si>
    <t>Johnson, Jon</t>
  </si>
  <si>
    <t>23970498</t>
  </si>
  <si>
    <t>Williams, Bill</t>
  </si>
  <si>
    <t>26447235</t>
  </si>
  <si>
    <t>Robertson, Bob</t>
  </si>
  <si>
    <t>32804082</t>
  </si>
  <si>
    <t>Franklin, Frank</t>
  </si>
  <si>
    <t>32328781</t>
  </si>
  <si>
    <t>Jackson, Jack</t>
  </si>
  <si>
    <t>93168726</t>
  </si>
  <si>
    <t>Edwards, Eddie</t>
  </si>
  <si>
    <t>60333279</t>
  </si>
  <si>
    <t>James, Jim</t>
  </si>
  <si>
    <t>14715233</t>
  </si>
  <si>
    <t>Donaldson, Don</t>
  </si>
  <si>
    <t>12923115</t>
  </si>
  <si>
    <t>Douglas, Doug</t>
  </si>
  <si>
    <t>50381114</t>
  </si>
  <si>
    <t>Peters, Peter</t>
  </si>
  <si>
    <t>Average</t>
  </si>
  <si>
    <t>Count</t>
  </si>
  <si>
    <t>A</t>
  </si>
  <si>
    <t>Std Dev</t>
  </si>
  <si>
    <t>B</t>
  </si>
  <si>
    <t>Min</t>
  </si>
  <si>
    <t>C</t>
  </si>
  <si>
    <t>Max</t>
  </si>
  <si>
    <t>Range</t>
  </si>
  <si>
    <t>Percentage Lookup Table</t>
  </si>
  <si>
    <t>D</t>
  </si>
  <si>
    <t>C-</t>
  </si>
  <si>
    <t>C+</t>
  </si>
  <si>
    <t>B-</t>
  </si>
  <si>
    <t>B+</t>
  </si>
  <si>
    <t>A-</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</si>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</sst>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
  </numFmts>
  <fonts count="8">
    <font>
      <sz val="10"/>
      <name val="Arial"/>
    </font>
    <font>
      <sz val="10"/>
      <name val="Arial"/>
    </font>
    <font>
      <i/>
      <sz val="10"/>
      <name val="Verdana"/>
      <family val="2"/>
    </font>
    <font>
      <b/>
      <sz val="18"/>
      <name val="Verdana"/>
      <family val="2"/>
    </font>
    <font>
      <b/>
      <i/>
      <sz val="12"/>
      <name val="Verdana"/>
      <family val="2"/>
    </font>
    <font>
      <b/>
      <sz val="10"/>
      <name val="Verdana"/>
      <family val="2"/>
    </font>
    <font>
      <b/>
      <sz val="9"/>
      <color indexed="81"/>
      <name val="Geneva"/>
    </font>
    <font>
      <sz val="9"/>
      <color indexed="81"/>
      <name val="Geneva"/>
    </font>
  </fonts>
  <fills count="3">
    <fill>
      <patternFill patternType="none"/>
    </fill>
    <fill>
      <patternFill patternType="gray125"/>
    </fill>
    <fill>
      <patternFill patternType="solid">
        <fgColor indexed="47"/>
        <bgColor indexed="64"/>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style="thin">
        <color indexed="10"/>
      </left>
      <right/>
      <top/>
      <bottom style="thin">
        <color indexed="10"/>
      </bottom>
      <diagonal/>
    </border>
    <border>
      <left style="thin">
        <color indexed="10"/>
      </left>
      <right style="thin">
        <color indexed="10"/>
      </right>
      <top style="thin">
        <color indexed="10"/>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3" fillId="0" borderId="0" xfId="0" applyFont="1"/>
    <xf numFmtId="0" fontId="4" fillId="0" borderId="0" xfId="0" applyFont="1"/>
    <xf numFmtId="0" fontId="5" fillId="0" borderId="0" xfId="0" applyFont="1"/>
    <xf numFmtId="0" fontId="2" fillId="0" borderId="0" xfId="0" applyFont="1"/>
    <xf numFmtId="0" fontId="0" fillId="2" borderId="1" xfId="0" applyFill="1" applyBorder="1"/>
    <xf numFmtId="172" fontId="0" fillId="0" borderId="0" xfId="0" applyNumberFormat="1"/>
    <xf numFmtId="172" fontId="0" fillId="2" borderId="2" xfId="0" applyNumberFormat="1" applyFill="1" applyBorder="1"/>
    <xf numFmtId="173" fontId="0" fillId="2" borderId="3" xfId="1" applyNumberFormat="1" applyFont="1" applyFill="1" applyBorder="1"/>
    <xf numFmtId="0" fontId="0" fillId="2" borderId="3" xfId="0" applyFill="1" applyBorder="1"/>
    <xf numFmtId="0" fontId="0" fillId="2" borderId="4" xfId="0" applyFill="1" applyBorder="1"/>
    <xf numFmtId="172" fontId="0" fillId="2" borderId="5" xfId="0" applyNumberFormat="1" applyFill="1" applyBorder="1"/>
    <xf numFmtId="172" fontId="0" fillId="2" borderId="6" xfId="0" applyNumberFormat="1" applyFill="1" applyBorder="1"/>
    <xf numFmtId="172" fontId="0" fillId="2" borderId="3" xfId="0" applyNumberFormat="1" applyFill="1" applyBorder="1"/>
    <xf numFmtId="172" fontId="0" fillId="2" borderId="4" xfId="0" applyNumberFormat="1" applyFill="1" applyBorder="1"/>
    <xf numFmtId="0" fontId="0" fillId="2" borderId="7" xfId="0" applyFill="1" applyBorder="1"/>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63500</xdr:rowOff>
    </xdr:from>
    <xdr:to>
      <xdr:col>10</xdr:col>
      <xdr:colOff>400050</xdr:colOff>
      <xdr:row>15</xdr:row>
      <xdr:rowOff>152400</xdr:rowOff>
    </xdr:to>
    <xdr:sp macro="" textlink="">
      <xdr:nvSpPr>
        <xdr:cNvPr id="1025" name="Text Box 1">
          <a:extLst>
            <a:ext uri="{FF2B5EF4-FFF2-40B4-BE49-F238E27FC236}">
              <a16:creationId xmlns:a16="http://schemas.microsoft.com/office/drawing/2014/main" id="{6EB18B54-8762-41CC-BBF7-E3DE2231B780}"/>
            </a:ext>
          </a:extLst>
        </xdr:cNvPr>
        <xdr:cNvSpPr txBox="1">
          <a:spLocks noChangeArrowheads="1"/>
        </xdr:cNvSpPr>
      </xdr:nvSpPr>
      <xdr:spPr bwMode="auto">
        <a:xfrm>
          <a:off x="0" y="704850"/>
          <a:ext cx="9385300" cy="1993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2004" rIns="0" bIns="0" anchor="t" upright="1"/>
        <a:lstStyle/>
        <a:p>
          <a:pPr algn="l" rtl="0">
            <a:defRPr sz="1000"/>
          </a:pPr>
          <a:r>
            <a:rPr lang="en-GB" sz="1000" b="0" i="0" u="none" strike="noStrike" baseline="0">
              <a:solidFill>
                <a:srgbClr val="000000"/>
              </a:solidFill>
              <a:latin typeface="Verdana"/>
              <a:ea typeface="Verdana"/>
            </a:rPr>
            <a:t>Below you will find a table of imaginary IDS grades for 14 fictional IDS110 students. Your job, as the fictional GSI, is to calculate each student's final grade as well as some descrptive statistics about each of the assignments (i.e. projects, midterms, etc.). Cells that need your attention have conveniently been shaded in pink. Helpful comments have been strategically placed throughout the worksheet.</a:t>
          </a:r>
        </a:p>
        <a:p>
          <a:pPr algn="l" rtl="0">
            <a:defRPr sz="1000"/>
          </a:pPr>
          <a:endParaRPr lang="en-GB" sz="1000" b="0" i="0" u="none" strike="noStrike" baseline="0">
            <a:solidFill>
              <a:srgbClr val="000000"/>
            </a:solidFill>
            <a:latin typeface="Verdana"/>
            <a:ea typeface="Verdana"/>
          </a:endParaRPr>
        </a:p>
        <a:p>
          <a:pPr algn="l" rtl="0">
            <a:defRPr sz="1000"/>
          </a:pPr>
          <a:r>
            <a:rPr lang="en-GB" sz="1000" b="0" i="0" u="none" strike="noStrike" baseline="0">
              <a:solidFill>
                <a:srgbClr val="000000"/>
              </a:solidFill>
              <a:latin typeface="Verdana"/>
              <a:ea typeface="Verdana"/>
            </a:rPr>
            <a:t>In order to calculate grades, you must calculate each student's total points and the percentage of the possible points that that sum represents. Using the Percentage Lookup Table, use Excel's </a:t>
          </a:r>
          <a:r>
            <a:rPr lang="en-GB" sz="1000" b="1" i="1" u="none" strike="noStrike" baseline="0">
              <a:solidFill>
                <a:srgbClr val="000000"/>
              </a:solidFill>
              <a:latin typeface="Verdana"/>
              <a:ea typeface="Verdana"/>
            </a:rPr>
            <a:t>VLOOKUP</a:t>
          </a:r>
          <a:r>
            <a:rPr lang="en-GB" sz="1000" b="0" i="0" u="none" strike="noStrike" baseline="0">
              <a:solidFill>
                <a:srgbClr val="000000"/>
              </a:solidFill>
              <a:latin typeface="Verdana"/>
              <a:ea typeface="Verdana"/>
            </a:rPr>
            <a:t> function to </a:t>
          </a:r>
          <a:r>
            <a:rPr lang="en-GB" sz="1000" b="0" i="1" u="none" strike="noStrike" baseline="0">
              <a:solidFill>
                <a:srgbClr val="000000"/>
              </a:solidFill>
              <a:latin typeface="Verdana"/>
              <a:ea typeface="Verdana"/>
            </a:rPr>
            <a:t>dynamically</a:t>
          </a:r>
          <a:r>
            <a:rPr lang="en-GB" sz="1000" b="0" i="0" u="none" strike="noStrike" baseline="0">
              <a:solidFill>
                <a:srgbClr val="000000"/>
              </a:solidFill>
              <a:latin typeface="Verdana"/>
              <a:ea typeface="Verdana"/>
            </a:rPr>
            <a:t> calculate each student's letter grade (with appropriate + or - qualifier, of course). Calculating letter grades by hand from the percentages is </a:t>
          </a:r>
          <a:r>
            <a:rPr lang="en-GB" sz="1000" b="0" i="1" u="none" strike="noStrike" baseline="0">
              <a:solidFill>
                <a:srgbClr val="000000"/>
              </a:solidFill>
              <a:latin typeface="Verdana"/>
              <a:ea typeface="Verdana"/>
            </a:rPr>
            <a:t>NOT</a:t>
          </a:r>
          <a:r>
            <a:rPr lang="en-GB" sz="1000" b="0" i="0" u="none" strike="noStrike" baseline="0">
              <a:solidFill>
                <a:srgbClr val="000000"/>
              </a:solidFill>
              <a:latin typeface="Verdana"/>
              <a:ea typeface="Verdana"/>
            </a:rPr>
            <a:t> acceptable. You must use the </a:t>
          </a:r>
          <a:r>
            <a:rPr lang="en-GB" sz="1000" b="1" i="1" u="none" strike="noStrike" baseline="0">
              <a:solidFill>
                <a:srgbClr val="000000"/>
              </a:solidFill>
              <a:latin typeface="Verdana"/>
              <a:ea typeface="Verdana"/>
            </a:rPr>
            <a:t>VLOOKUP</a:t>
          </a:r>
          <a:r>
            <a:rPr lang="en-GB" sz="1000" b="0" i="0" u="none" strike="noStrike" baseline="0">
              <a:solidFill>
                <a:srgbClr val="000000"/>
              </a:solidFill>
              <a:latin typeface="Verdana"/>
              <a:ea typeface="Verdana"/>
            </a:rPr>
            <a:t> function or some other Excel function such that any changes to the raw data will automatically be reflected in the letter grades.</a:t>
          </a:r>
        </a:p>
        <a:p>
          <a:pPr algn="l" rtl="0">
            <a:defRPr sz="1000"/>
          </a:pPr>
          <a:r>
            <a:rPr lang="en-GB" sz="1000" b="0" i="0" u="none" strike="noStrike" baseline="0">
              <a:solidFill>
                <a:srgbClr val="000000"/>
              </a:solidFill>
              <a:latin typeface="Verdana"/>
              <a:ea typeface="Verdana"/>
            </a:rPr>
            <a:t>Finally, sort the data by SID for easy entry into the campus grading aparatus.</a:t>
          </a:r>
        </a:p>
        <a:p>
          <a:pPr algn="l" rtl="0">
            <a:defRPr sz="1000"/>
          </a:pPr>
          <a:endParaRPr lang="en-GB" sz="1000" b="0" i="0" u="none" strike="noStrike" baseline="0">
            <a:solidFill>
              <a:srgbClr val="000000"/>
            </a:solidFill>
            <a:latin typeface="Verdana"/>
            <a:ea typeface="Verdana"/>
          </a:endParaRPr>
        </a:p>
        <a:p>
          <a:pPr algn="l" rtl="0">
            <a:defRPr sz="1000"/>
          </a:pPr>
          <a:r>
            <a:rPr lang="en-GB" sz="1000" b="0" i="1" u="none" strike="noStrike" baseline="0">
              <a:solidFill>
                <a:srgbClr val="000000"/>
              </a:solidFill>
              <a:latin typeface="Verdana"/>
              <a:ea typeface="Verdana"/>
            </a:rPr>
            <a:t>All of these data are purely fictional for illustration purposes only and DO NOT represent the actual percentage break-down of grades in IDS110. (Lighten up, this is just an exercise to teach you some of Excel's most important features.)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55"/>
  <sheetViews>
    <sheetView tabSelected="1" workbookViewId="0">
      <selection activeCell="I21" sqref="I21"/>
    </sheetView>
  </sheetViews>
  <sheetFormatPr defaultColWidth="12.54296875" defaultRowHeight="12.5"/>
  <cols>
    <col min="1" max="1" width="12.54296875" customWidth="1"/>
    <col min="2" max="2" width="15.7265625" bestFit="1" customWidth="1"/>
  </cols>
  <sheetData>
    <row r="1" spans="1:1" ht="23">
      <c r="A1" s="1" t="s">
        <v>0</v>
      </c>
    </row>
    <row r="2" spans="1:1" ht="15">
      <c r="A2" s="2" t="s">
        <v>1</v>
      </c>
    </row>
    <row r="18" spans="1:11" ht="13.5">
      <c r="A18" s="3" t="s">
        <v>2</v>
      </c>
      <c r="B18" s="3" t="s">
        <v>3</v>
      </c>
      <c r="C18" s="3" t="s">
        <v>4</v>
      </c>
      <c r="D18" s="3" t="s">
        <v>5</v>
      </c>
      <c r="E18" s="3" t="s">
        <v>6</v>
      </c>
      <c r="F18" s="3" t="s">
        <v>7</v>
      </c>
      <c r="G18" s="3" t="s">
        <v>8</v>
      </c>
      <c r="H18" s="3" t="s">
        <v>9</v>
      </c>
      <c r="I18" s="3" t="s">
        <v>10</v>
      </c>
      <c r="J18" s="3" t="s">
        <v>11</v>
      </c>
      <c r="K18" s="3" t="s">
        <v>12</v>
      </c>
    </row>
    <row r="19" spans="1:11" ht="13.5">
      <c r="A19" s="4" t="s">
        <v>13</v>
      </c>
      <c r="C19" s="4">
        <v>40</v>
      </c>
      <c r="D19" s="4">
        <v>80</v>
      </c>
      <c r="E19" s="4">
        <v>30</v>
      </c>
      <c r="F19" s="4">
        <v>30</v>
      </c>
      <c r="G19" s="4">
        <v>30</v>
      </c>
      <c r="H19" s="5">
        <f>C19+D19+E19+F19+G19</f>
        <v>210</v>
      </c>
    </row>
    <row r="21" spans="1:11">
      <c r="A21" t="s">
        <v>38</v>
      </c>
      <c r="B21" t="s">
        <v>39</v>
      </c>
      <c r="C21" s="6">
        <v>28</v>
      </c>
      <c r="D21">
        <v>45</v>
      </c>
      <c r="E21">
        <v>18</v>
      </c>
      <c r="F21">
        <v>20</v>
      </c>
      <c r="G21">
        <v>23</v>
      </c>
      <c r="H21" s="7">
        <f>C21+D21+E21+F21+G21</f>
        <v>134</v>
      </c>
      <c r="I21" s="8">
        <f>H21/$H$19</f>
        <v>0.63809523809523805</v>
      </c>
      <c r="J21" s="9" t="str">
        <f>VLOOKUP(I21,$A$46:$C$55,3,TRUE)</f>
        <v>C</v>
      </c>
      <c r="K21" s="10" t="str">
        <f t="shared" ref="K21:K34" si="0">LEFT(J21,1)</f>
        <v>C</v>
      </c>
    </row>
    <row r="22" spans="1:11">
      <c r="A22" t="s">
        <v>36</v>
      </c>
      <c r="B22" t="s">
        <v>37</v>
      </c>
      <c r="C22" s="6">
        <v>27.5</v>
      </c>
      <c r="D22">
        <v>60</v>
      </c>
      <c r="E22">
        <v>27</v>
      </c>
      <c r="F22">
        <v>24</v>
      </c>
      <c r="G22">
        <v>24</v>
      </c>
      <c r="H22" s="11">
        <f>C22+D22+E22+F22+G22</f>
        <v>162.5</v>
      </c>
      <c r="I22" s="8">
        <f t="shared" ref="I22:I34" si="1">H22/$H$19</f>
        <v>0.77380952380952384</v>
      </c>
      <c r="J22" s="9" t="str">
        <f t="shared" ref="J22:J34" si="2">VLOOKUP(I22,$A$46:$C$55,3,TRUE)</f>
        <v>B</v>
      </c>
      <c r="K22" s="10" t="str">
        <f t="shared" si="0"/>
        <v>B</v>
      </c>
    </row>
    <row r="23" spans="1:11">
      <c r="A23" t="s">
        <v>24</v>
      </c>
      <c r="B23" t="s">
        <v>25</v>
      </c>
      <c r="C23" s="6">
        <v>37.5</v>
      </c>
      <c r="D23">
        <v>58</v>
      </c>
      <c r="E23">
        <v>26</v>
      </c>
      <c r="F23">
        <v>21</v>
      </c>
      <c r="G23">
        <v>23</v>
      </c>
      <c r="H23" s="11">
        <f t="shared" ref="H23:H34" si="3">SUM(C23:G23)</f>
        <v>165.5</v>
      </c>
      <c r="I23" s="8">
        <f t="shared" si="1"/>
        <v>0.78809523809523807</v>
      </c>
      <c r="J23" s="9" t="str">
        <f t="shared" si="2"/>
        <v>B</v>
      </c>
      <c r="K23" s="10" t="str">
        <f t="shared" si="0"/>
        <v>B</v>
      </c>
    </row>
    <row r="24" spans="1:11">
      <c r="A24" t="s">
        <v>14</v>
      </c>
      <c r="B24" t="s">
        <v>15</v>
      </c>
      <c r="C24" s="6">
        <v>33.5</v>
      </c>
      <c r="D24">
        <v>73</v>
      </c>
      <c r="E24">
        <v>28</v>
      </c>
      <c r="F24">
        <v>28</v>
      </c>
      <c r="G24">
        <v>28</v>
      </c>
      <c r="H24" s="11">
        <f t="shared" si="3"/>
        <v>190.5</v>
      </c>
      <c r="I24" s="8">
        <f t="shared" si="1"/>
        <v>0.90714285714285714</v>
      </c>
      <c r="J24" s="9" t="str">
        <f t="shared" si="2"/>
        <v>A-</v>
      </c>
      <c r="K24" s="10" t="str">
        <f t="shared" si="0"/>
        <v>A</v>
      </c>
    </row>
    <row r="25" spans="1:11">
      <c r="A25" t="s">
        <v>26</v>
      </c>
      <c r="B25" t="s">
        <v>27</v>
      </c>
      <c r="C25" s="6">
        <v>37.9</v>
      </c>
      <c r="D25">
        <v>67</v>
      </c>
      <c r="E25">
        <v>25</v>
      </c>
      <c r="F25">
        <v>25</v>
      </c>
      <c r="G25">
        <v>28</v>
      </c>
      <c r="H25" s="11">
        <f t="shared" si="3"/>
        <v>182.9</v>
      </c>
      <c r="I25" s="8">
        <f t="shared" si="1"/>
        <v>0.87095238095238103</v>
      </c>
      <c r="J25" s="9" t="str">
        <f t="shared" si="2"/>
        <v>A-</v>
      </c>
      <c r="K25" s="10" t="str">
        <f t="shared" si="0"/>
        <v>A</v>
      </c>
    </row>
    <row r="26" spans="1:11">
      <c r="A26" t="s">
        <v>30</v>
      </c>
      <c r="B26" t="s">
        <v>31</v>
      </c>
      <c r="C26" s="6">
        <v>38.6</v>
      </c>
      <c r="D26">
        <v>64</v>
      </c>
      <c r="E26">
        <v>23</v>
      </c>
      <c r="F26">
        <v>17</v>
      </c>
      <c r="G26">
        <v>27</v>
      </c>
      <c r="H26" s="11">
        <f t="shared" si="3"/>
        <v>169.6</v>
      </c>
      <c r="I26" s="8">
        <f t="shared" si="1"/>
        <v>0.80761904761904757</v>
      </c>
      <c r="J26" s="9" t="str">
        <f t="shared" si="2"/>
        <v>B</v>
      </c>
      <c r="K26" s="10" t="str">
        <f t="shared" si="0"/>
        <v>B</v>
      </c>
    </row>
    <row r="27" spans="1:11">
      <c r="A27" t="s">
        <v>28</v>
      </c>
      <c r="B27" t="s">
        <v>29</v>
      </c>
      <c r="C27" s="6">
        <v>34.9</v>
      </c>
      <c r="D27">
        <v>64</v>
      </c>
      <c r="E27">
        <v>25</v>
      </c>
      <c r="F27">
        <v>24</v>
      </c>
      <c r="G27">
        <v>27</v>
      </c>
      <c r="H27" s="11">
        <f t="shared" si="3"/>
        <v>174.9</v>
      </c>
      <c r="I27" s="8">
        <f t="shared" si="1"/>
        <v>0.83285714285714285</v>
      </c>
      <c r="J27" s="9" t="str">
        <f t="shared" si="2"/>
        <v>B+</v>
      </c>
      <c r="K27" s="10" t="str">
        <f t="shared" si="0"/>
        <v>B</v>
      </c>
    </row>
    <row r="28" spans="1:11">
      <c r="A28" t="s">
        <v>22</v>
      </c>
      <c r="B28" t="s">
        <v>23</v>
      </c>
      <c r="C28" s="6">
        <v>33</v>
      </c>
      <c r="D28">
        <v>64</v>
      </c>
      <c r="E28">
        <v>25</v>
      </c>
      <c r="F28">
        <v>14</v>
      </c>
      <c r="G28">
        <v>25</v>
      </c>
      <c r="H28" s="11">
        <f t="shared" si="3"/>
        <v>161</v>
      </c>
      <c r="I28" s="8">
        <f t="shared" si="1"/>
        <v>0.76666666666666672</v>
      </c>
      <c r="J28" s="9" t="str">
        <f t="shared" si="2"/>
        <v>B</v>
      </c>
      <c r="K28" s="10" t="str">
        <f t="shared" si="0"/>
        <v>B</v>
      </c>
    </row>
    <row r="29" spans="1:11">
      <c r="A29" t="s">
        <v>40</v>
      </c>
      <c r="B29" t="s">
        <v>41</v>
      </c>
      <c r="C29" s="6">
        <v>31.1</v>
      </c>
      <c r="D29">
        <v>68</v>
      </c>
      <c r="E29">
        <v>30</v>
      </c>
      <c r="F29">
        <v>26</v>
      </c>
      <c r="G29">
        <v>25</v>
      </c>
      <c r="H29" s="11">
        <f t="shared" si="3"/>
        <v>180.1</v>
      </c>
      <c r="I29" s="8">
        <f t="shared" si="1"/>
        <v>0.85761904761904761</v>
      </c>
      <c r="J29" s="9" t="str">
        <f t="shared" si="2"/>
        <v>B+</v>
      </c>
      <c r="K29" s="10" t="str">
        <f t="shared" si="0"/>
        <v>B</v>
      </c>
    </row>
    <row r="30" spans="1:11">
      <c r="A30" t="s">
        <v>16</v>
      </c>
      <c r="B30" t="s">
        <v>17</v>
      </c>
      <c r="C30" s="6">
        <v>32.6</v>
      </c>
      <c r="D30">
        <v>64</v>
      </c>
      <c r="E30">
        <v>26</v>
      </c>
      <c r="F30">
        <v>27</v>
      </c>
      <c r="G30">
        <v>25</v>
      </c>
      <c r="H30" s="11">
        <f t="shared" si="3"/>
        <v>174.6</v>
      </c>
      <c r="I30" s="8">
        <f t="shared" si="1"/>
        <v>0.83142857142857141</v>
      </c>
      <c r="J30" s="9" t="str">
        <f t="shared" si="2"/>
        <v>B+</v>
      </c>
      <c r="K30" s="10" t="str">
        <f t="shared" si="0"/>
        <v>B</v>
      </c>
    </row>
    <row r="31" spans="1:11">
      <c r="A31" t="s">
        <v>34</v>
      </c>
      <c r="B31" t="s">
        <v>35</v>
      </c>
      <c r="C31" s="6">
        <v>36.9</v>
      </c>
      <c r="D31">
        <v>71</v>
      </c>
      <c r="E31">
        <v>27</v>
      </c>
      <c r="F31">
        <v>16</v>
      </c>
      <c r="G31">
        <v>30</v>
      </c>
      <c r="H31" s="11">
        <f t="shared" si="3"/>
        <v>180.9</v>
      </c>
      <c r="I31" s="8">
        <f t="shared" si="1"/>
        <v>0.86142857142857143</v>
      </c>
      <c r="J31" s="9" t="str">
        <f t="shared" si="2"/>
        <v>B+</v>
      </c>
      <c r="K31" s="10" t="str">
        <f t="shared" si="0"/>
        <v>B</v>
      </c>
    </row>
    <row r="32" spans="1:11">
      <c r="A32" t="s">
        <v>20</v>
      </c>
      <c r="B32" t="s">
        <v>21</v>
      </c>
      <c r="C32" s="6">
        <v>37</v>
      </c>
      <c r="D32">
        <v>66</v>
      </c>
      <c r="E32">
        <v>28</v>
      </c>
      <c r="F32">
        <v>26</v>
      </c>
      <c r="G32">
        <v>25</v>
      </c>
      <c r="H32" s="11">
        <f t="shared" si="3"/>
        <v>182</v>
      </c>
      <c r="I32" s="8">
        <f t="shared" si="1"/>
        <v>0.8666666666666667</v>
      </c>
      <c r="J32" s="9" t="str">
        <f t="shared" si="2"/>
        <v>A-</v>
      </c>
      <c r="K32" s="10" t="str">
        <f t="shared" si="0"/>
        <v>A</v>
      </c>
    </row>
    <row r="33" spans="1:11">
      <c r="A33" t="s">
        <v>18</v>
      </c>
      <c r="B33" t="s">
        <v>19</v>
      </c>
      <c r="C33" s="6">
        <v>30.6</v>
      </c>
      <c r="D33">
        <v>64</v>
      </c>
      <c r="E33">
        <v>20</v>
      </c>
      <c r="F33">
        <v>13</v>
      </c>
      <c r="G33">
        <v>26</v>
      </c>
      <c r="H33" s="11">
        <f t="shared" si="3"/>
        <v>153.6</v>
      </c>
      <c r="I33" s="8">
        <f t="shared" si="1"/>
        <v>0.73142857142857143</v>
      </c>
      <c r="J33" s="9" t="str">
        <f t="shared" si="2"/>
        <v>B-</v>
      </c>
      <c r="K33" s="10" t="str">
        <f t="shared" si="0"/>
        <v>B</v>
      </c>
    </row>
    <row r="34" spans="1:11">
      <c r="A34" t="s">
        <v>32</v>
      </c>
      <c r="B34" t="s">
        <v>33</v>
      </c>
      <c r="C34" s="6">
        <v>37.6</v>
      </c>
      <c r="D34">
        <v>60</v>
      </c>
      <c r="E34">
        <v>28</v>
      </c>
      <c r="F34">
        <v>23</v>
      </c>
      <c r="G34">
        <v>27</v>
      </c>
      <c r="H34" s="12">
        <f t="shared" si="3"/>
        <v>175.6</v>
      </c>
      <c r="I34" s="8">
        <f t="shared" si="1"/>
        <v>0.83619047619047615</v>
      </c>
      <c r="J34" s="9" t="str">
        <f t="shared" si="2"/>
        <v>B+</v>
      </c>
      <c r="K34" s="10" t="str">
        <f t="shared" si="0"/>
        <v>B</v>
      </c>
    </row>
    <row r="36" spans="1:11" ht="13.5">
      <c r="A36" s="3" t="s">
        <v>42</v>
      </c>
      <c r="C36" s="7">
        <f t="shared" ref="C36:H36" si="4">AVERAGE(C21:C35)</f>
        <v>34.050000000000004</v>
      </c>
      <c r="D36" s="13">
        <f t="shared" si="4"/>
        <v>63.428571428571431</v>
      </c>
      <c r="E36" s="13">
        <f t="shared" si="4"/>
        <v>25.428571428571427</v>
      </c>
      <c r="F36" s="13">
        <f t="shared" si="4"/>
        <v>21.714285714285715</v>
      </c>
      <c r="G36" s="13">
        <f t="shared" si="4"/>
        <v>25.928571428571427</v>
      </c>
      <c r="H36" s="14">
        <f t="shared" si="4"/>
        <v>170.54999999999998</v>
      </c>
      <c r="I36" s="3" t="s">
        <v>43</v>
      </c>
      <c r="J36" s="3" t="s">
        <v>44</v>
      </c>
      <c r="K36" s="15">
        <f>COUNTIF(K21:K34,J36)</f>
        <v>3</v>
      </c>
    </row>
    <row r="37" spans="1:11" ht="13.5">
      <c r="A37" s="3" t="s">
        <v>45</v>
      </c>
      <c r="C37" s="11">
        <f t="shared" ref="C37:H37" si="5">STDEV(C21:C34)</f>
        <v>3.7333733972209049</v>
      </c>
      <c r="D37" s="11">
        <f t="shared" si="5"/>
        <v>6.699188076111982</v>
      </c>
      <c r="E37" s="11">
        <f t="shared" si="5"/>
        <v>3.2513733362117168</v>
      </c>
      <c r="F37" s="11">
        <f t="shared" si="5"/>
        <v>4.9680296578541778</v>
      </c>
      <c r="G37" s="11">
        <f t="shared" si="5"/>
        <v>2.0177781274036475</v>
      </c>
      <c r="H37" s="11">
        <f t="shared" si="5"/>
        <v>14.534825552656416</v>
      </c>
      <c r="I37" s="3"/>
      <c r="J37" s="3" t="s">
        <v>46</v>
      </c>
      <c r="K37" s="15">
        <f>COUNTIF(K21:K34,J37)</f>
        <v>10</v>
      </c>
    </row>
    <row r="38" spans="1:11" ht="13.5">
      <c r="A38" s="3" t="s">
        <v>47</v>
      </c>
      <c r="C38" s="11">
        <f t="shared" ref="C38:H38" si="6">MIN(C21:C34)</f>
        <v>27.5</v>
      </c>
      <c r="D38" s="11">
        <f t="shared" si="6"/>
        <v>45</v>
      </c>
      <c r="E38" s="11">
        <f t="shared" si="6"/>
        <v>18</v>
      </c>
      <c r="F38" s="11">
        <f t="shared" si="6"/>
        <v>13</v>
      </c>
      <c r="G38" s="11">
        <f t="shared" si="6"/>
        <v>23</v>
      </c>
      <c r="H38" s="11">
        <f t="shared" si="6"/>
        <v>134</v>
      </c>
      <c r="I38" s="3"/>
      <c r="J38" s="3" t="s">
        <v>48</v>
      </c>
      <c r="K38" s="15">
        <f>COUNTIF(K21:K34,J38)</f>
        <v>1</v>
      </c>
    </row>
    <row r="39" spans="1:11" ht="13.5">
      <c r="A39" s="3" t="s">
        <v>49</v>
      </c>
      <c r="C39" s="11">
        <f t="shared" ref="C39:H39" si="7">MAX(C21:C34)</f>
        <v>38.6</v>
      </c>
      <c r="D39" s="11">
        <f t="shared" si="7"/>
        <v>73</v>
      </c>
      <c r="E39" s="11">
        <f t="shared" si="7"/>
        <v>30</v>
      </c>
      <c r="F39" s="11">
        <f t="shared" si="7"/>
        <v>28</v>
      </c>
      <c r="G39" s="11">
        <f t="shared" si="7"/>
        <v>30</v>
      </c>
      <c r="H39" s="11">
        <f t="shared" si="7"/>
        <v>190.5</v>
      </c>
      <c r="I39" s="6"/>
    </row>
    <row r="40" spans="1:11" ht="13.5">
      <c r="A40" s="3" t="s">
        <v>50</v>
      </c>
      <c r="C40" s="12">
        <f t="shared" ref="C40:H40" si="8">C39-C38</f>
        <v>11.100000000000001</v>
      </c>
      <c r="D40" s="12">
        <f t="shared" si="8"/>
        <v>28</v>
      </c>
      <c r="E40" s="12">
        <f t="shared" si="8"/>
        <v>12</v>
      </c>
      <c r="F40" s="12">
        <f t="shared" si="8"/>
        <v>15</v>
      </c>
      <c r="G40" s="12">
        <f t="shared" si="8"/>
        <v>7</v>
      </c>
      <c r="H40" s="12">
        <f t="shared" si="8"/>
        <v>56.5</v>
      </c>
      <c r="I40" s="6"/>
    </row>
    <row r="44" spans="1:11" ht="13.5">
      <c r="A44" s="3" t="s">
        <v>51</v>
      </c>
    </row>
    <row r="45" spans="1:11">
      <c r="A45" t="s">
        <v>47</v>
      </c>
      <c r="B45" t="s">
        <v>49</v>
      </c>
    </row>
    <row r="46" spans="1:11" ht="13.5">
      <c r="A46" s="16">
        <v>0.52857142857142858</v>
      </c>
      <c r="B46" s="16">
        <v>0.5714285714285714</v>
      </c>
      <c r="C46" s="3" t="s">
        <v>52</v>
      </c>
    </row>
    <row r="47" spans="1:11" ht="13.5">
      <c r="A47" s="16">
        <v>0.57619047619047614</v>
      </c>
      <c r="B47" s="16">
        <v>0.61904761904761907</v>
      </c>
      <c r="C47" s="3" t="s">
        <v>53</v>
      </c>
    </row>
    <row r="48" spans="1:11" ht="13.5">
      <c r="A48" s="16">
        <v>0.62380952380952381</v>
      </c>
      <c r="B48" s="16">
        <v>0.66666666666666663</v>
      </c>
      <c r="C48" s="3" t="s">
        <v>48</v>
      </c>
    </row>
    <row r="49" spans="1:3" ht="13.5">
      <c r="A49" s="16">
        <v>0.67142857142857137</v>
      </c>
      <c r="B49" s="16">
        <v>0.7142857142857143</v>
      </c>
      <c r="C49" s="3" t="s">
        <v>54</v>
      </c>
    </row>
    <row r="50" spans="1:3" ht="13.5">
      <c r="A50" s="16">
        <v>0.71904761904761905</v>
      </c>
      <c r="B50" s="16">
        <v>0.76190476190476186</v>
      </c>
      <c r="C50" s="3" t="s">
        <v>55</v>
      </c>
    </row>
    <row r="51" spans="1:3" ht="13.5">
      <c r="A51" s="16">
        <v>0.76666666666666672</v>
      </c>
      <c r="B51" s="16">
        <v>0.80952380952380953</v>
      </c>
      <c r="C51" s="3" t="s">
        <v>46</v>
      </c>
    </row>
    <row r="52" spans="1:3" ht="13.5">
      <c r="A52" s="16">
        <v>0.81428571428571428</v>
      </c>
      <c r="B52" s="16">
        <v>0.8571428571428571</v>
      </c>
      <c r="C52" s="3" t="s">
        <v>56</v>
      </c>
    </row>
    <row r="53" spans="1:3" ht="13.5">
      <c r="A53" s="16">
        <v>0.86190476190476195</v>
      </c>
      <c r="B53" s="16">
        <v>0.90476190476190477</v>
      </c>
      <c r="C53" s="3" t="s">
        <v>57</v>
      </c>
    </row>
    <row r="54" spans="1:3" ht="13.5">
      <c r="A54" s="16">
        <v>0.90952380952380951</v>
      </c>
      <c r="B54" s="16">
        <v>0.95238095238095233</v>
      </c>
      <c r="C54" s="3" t="s">
        <v>44</v>
      </c>
    </row>
    <row r="55" spans="1:3" ht="13.5">
      <c r="A55" s="16">
        <v>0.95714285714285718</v>
      </c>
      <c r="B55" s="16">
        <v>1</v>
      </c>
      <c r="C55" s="3" t="s">
        <v>58</v>
      </c>
    </row>
  </sheetData>
  <phoneticPr fontId="0" type="noConversion"/>
  <pageMargins left="0.75" right="0.75" top="1" bottom="1" header="0.5" footer="0.5"/>
  <pageSetup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Grades</vt:lpstr>
    </vt:vector>
  </TitlesOfParts>
  <Company>MSK Unlimited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S. Kim</dc:creator>
  <cp:lastModifiedBy>Carina Negreanu</cp:lastModifiedBy>
  <dcterms:created xsi:type="dcterms:W3CDTF">2003-08-28T06:44:39Z</dcterms:created>
  <dcterms:modified xsi:type="dcterms:W3CDTF">2020-01-27T11:32:22Z</dcterms:modified>
</cp:coreProperties>
</file>