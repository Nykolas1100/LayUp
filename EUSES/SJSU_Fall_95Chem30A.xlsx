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2.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trlProps/ctrlProp3.xml" ContentType="application/vnd.ms-excel.controlpropertie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56A51D3-9D3D-4774-B0F7-1583B4CBEC77}" xr6:coauthVersionLast="45" xr6:coauthVersionMax="45" xr10:uidLastSave="{00000000-0000-0000-0000-000000000000}"/>
  <bookViews>
    <workbookView xWindow="1520" yWindow="1520" windowWidth="28800" windowHeight="15460" firstSheet="1" activeTab="1"/>
  </bookViews>
  <sheets>
    <sheet name="buttons" sheetId="2" r:id="rId1"/>
    <sheet name="Intro" sheetId="3" r:id="rId2"/>
    <sheet name="Rel-Impact" sheetId="4" r:id="rId3"/>
    <sheet name="Before&amp;After" sheetId="5" r:id="rId4"/>
    <sheet name="Sheet5" sheetId="6" r:id="rId5"/>
    <sheet name="Sheet6" sheetId="7" r:id="rId6"/>
    <sheet name="Sheet7" sheetId="8" r:id="rId7"/>
    <sheet name="Sheet8" sheetId="9" r:id="rId8"/>
    <sheet name="Sheet9" sheetId="10" r:id="rId9"/>
    <sheet name="Sheet10" sheetId="11" r:id="rId10"/>
    <sheet name="Sheet11" sheetId="12" r:id="rId11"/>
    <sheet name="Sheet12" sheetId="13" r:id="rId12"/>
    <sheet name="Sheet13" sheetId="14" r:id="rId13"/>
    <sheet name="Sheet14" sheetId="15" r:id="rId14"/>
    <sheet name="Sheet15" sheetId="16" r:id="rId15"/>
    <sheet name="Sheet16" sheetId="17" r:id="rId16"/>
  </sheets>
  <calcPr calcId="0" iterate="1"/>
</workbook>
</file>

<file path=xl/calcChain.xml><?xml version="1.0" encoding="utf-8"?>
<calcChain xmlns="http://schemas.openxmlformats.org/spreadsheetml/2006/main">
  <c r="U4" i="5" l="1"/>
  <c r="J5" i="5"/>
  <c r="U5" i="5"/>
  <c r="J6" i="5"/>
  <c r="N8" i="5"/>
  <c r="O8" i="5"/>
  <c r="P8" i="5"/>
  <c r="Q8" i="5"/>
  <c r="R8" i="5"/>
  <c r="S8" i="5"/>
  <c r="T8" i="5"/>
  <c r="U8" i="5"/>
  <c r="C9" i="5"/>
  <c r="D9" i="5"/>
  <c r="E9" i="5"/>
  <c r="F9" i="5"/>
  <c r="G9" i="5"/>
  <c r="H9" i="5"/>
  <c r="I9" i="5"/>
  <c r="J9" i="5"/>
  <c r="N9" i="5"/>
  <c r="O9" i="5"/>
  <c r="P9" i="5"/>
  <c r="Q9" i="5"/>
  <c r="R9" i="5"/>
  <c r="S9" i="5"/>
  <c r="T9" i="5"/>
  <c r="U9" i="5"/>
  <c r="C10" i="5"/>
  <c r="D10" i="5"/>
  <c r="E10" i="5"/>
  <c r="F10" i="5"/>
  <c r="G10" i="5"/>
  <c r="H10" i="5"/>
  <c r="I10" i="5"/>
  <c r="J10" i="5"/>
  <c r="J23" i="5"/>
  <c r="U23" i="5"/>
  <c r="J24" i="5"/>
  <c r="U24" i="5"/>
  <c r="N27" i="5"/>
  <c r="O27" i="5"/>
  <c r="P27" i="5"/>
  <c r="Q27" i="5"/>
  <c r="R27" i="5"/>
  <c r="S27" i="5"/>
  <c r="T27" i="5"/>
  <c r="U27" i="5"/>
  <c r="N28" i="5"/>
  <c r="O28" i="5"/>
  <c r="P28" i="5"/>
  <c r="Q28" i="5"/>
  <c r="R28" i="5"/>
  <c r="S28" i="5"/>
  <c r="T28" i="5"/>
  <c r="U28" i="5"/>
  <c r="C29" i="5"/>
  <c r="D29" i="5"/>
  <c r="E29" i="5"/>
  <c r="F29" i="5"/>
  <c r="G29" i="5"/>
  <c r="H29" i="5"/>
  <c r="I29" i="5"/>
  <c r="J29" i="5"/>
  <c r="C30" i="5"/>
  <c r="D30" i="5"/>
  <c r="E30" i="5"/>
  <c r="F30" i="5"/>
  <c r="G30" i="5"/>
  <c r="H30" i="5"/>
  <c r="I30" i="5"/>
  <c r="J30" i="5"/>
  <c r="X4" i="4"/>
  <c r="L5" i="4"/>
  <c r="X5" i="4"/>
  <c r="L6" i="4"/>
  <c r="X6" i="4"/>
  <c r="L7" i="4"/>
  <c r="L8" i="4"/>
  <c r="O10" i="4"/>
  <c r="P10" i="4"/>
  <c r="Q10" i="4"/>
  <c r="R10" i="4"/>
  <c r="S10" i="4"/>
  <c r="T10" i="4"/>
  <c r="U10" i="4"/>
  <c r="V10" i="4"/>
  <c r="W10" i="4"/>
  <c r="X10" i="4"/>
  <c r="C11" i="4"/>
  <c r="D11" i="4"/>
  <c r="E11" i="4"/>
  <c r="F11" i="4"/>
  <c r="G11" i="4"/>
  <c r="H11" i="4"/>
  <c r="I11" i="4"/>
  <c r="J11" i="4"/>
  <c r="K11" i="4"/>
  <c r="L11" i="4"/>
  <c r="O11" i="4"/>
  <c r="P11" i="4"/>
  <c r="Q11" i="4"/>
  <c r="R11" i="4"/>
  <c r="S11" i="4"/>
  <c r="T11" i="4"/>
  <c r="U11" i="4"/>
  <c r="V11" i="4"/>
  <c r="W11" i="4"/>
  <c r="X11" i="4"/>
  <c r="C12" i="4"/>
  <c r="D12" i="4"/>
  <c r="E12" i="4"/>
  <c r="F12" i="4"/>
  <c r="G12" i="4"/>
  <c r="H12" i="4"/>
  <c r="I12" i="4"/>
  <c r="J12" i="4"/>
  <c r="K12" i="4"/>
  <c r="L12" i="4"/>
  <c r="O12" i="4"/>
  <c r="P12" i="4"/>
  <c r="Q12" i="4"/>
  <c r="R12" i="4"/>
  <c r="S12" i="4"/>
  <c r="T12" i="4"/>
  <c r="U12" i="4"/>
  <c r="V12" i="4"/>
  <c r="W12" i="4"/>
  <c r="X12" i="4"/>
  <c r="C13" i="4"/>
  <c r="D13" i="4"/>
  <c r="E13" i="4"/>
  <c r="F13" i="4"/>
  <c r="G13" i="4"/>
  <c r="H13" i="4"/>
  <c r="I13" i="4"/>
  <c r="J13" i="4"/>
  <c r="K13" i="4"/>
  <c r="L13" i="4"/>
  <c r="C14" i="4"/>
  <c r="D14" i="4"/>
  <c r="E14" i="4"/>
  <c r="F14" i="4"/>
  <c r="G14" i="4"/>
  <c r="H14" i="4"/>
  <c r="I14" i="4"/>
  <c r="J14" i="4"/>
  <c r="K14" i="4"/>
  <c r="L14" i="4"/>
  <c r="L23" i="4"/>
  <c r="X23" i="4"/>
  <c r="L24" i="4"/>
  <c r="X24" i="4"/>
  <c r="L25" i="4"/>
  <c r="X25" i="4"/>
  <c r="L26" i="4"/>
  <c r="C28" i="4"/>
  <c r="D28" i="4"/>
  <c r="E28" i="4"/>
  <c r="F28" i="4"/>
  <c r="G28" i="4"/>
  <c r="H28" i="4"/>
  <c r="I28" i="4"/>
  <c r="J28" i="4"/>
  <c r="K28" i="4"/>
  <c r="L28" i="4"/>
  <c r="C29" i="4"/>
  <c r="D29" i="4"/>
  <c r="E29" i="4"/>
  <c r="F29" i="4"/>
  <c r="G29" i="4"/>
  <c r="H29" i="4"/>
  <c r="I29" i="4"/>
  <c r="J29" i="4"/>
  <c r="K29" i="4"/>
  <c r="L29" i="4"/>
  <c r="O29" i="4"/>
  <c r="P29" i="4"/>
  <c r="Q29" i="4"/>
  <c r="R29" i="4"/>
  <c r="S29" i="4"/>
  <c r="T29" i="4"/>
  <c r="U29" i="4"/>
  <c r="V29" i="4"/>
  <c r="W29" i="4"/>
  <c r="X29" i="4"/>
  <c r="C30" i="4"/>
  <c r="D30" i="4"/>
  <c r="E30" i="4"/>
  <c r="F30" i="4"/>
  <c r="G30" i="4"/>
  <c r="H30" i="4"/>
  <c r="I30" i="4"/>
  <c r="J30" i="4"/>
  <c r="K30" i="4"/>
  <c r="L30" i="4"/>
  <c r="O30" i="4"/>
  <c r="P30" i="4"/>
  <c r="Q30" i="4"/>
  <c r="R30" i="4"/>
  <c r="S30" i="4"/>
  <c r="T30" i="4"/>
  <c r="U30" i="4"/>
  <c r="V30" i="4"/>
  <c r="W30" i="4"/>
  <c r="X30" i="4"/>
  <c r="C31" i="4"/>
  <c r="D31" i="4"/>
  <c r="E31" i="4"/>
  <c r="F31" i="4"/>
  <c r="G31" i="4"/>
  <c r="H31" i="4"/>
  <c r="I31" i="4"/>
  <c r="J31" i="4"/>
  <c r="K31" i="4"/>
  <c r="L31" i="4"/>
  <c r="O31" i="4"/>
  <c r="P31" i="4"/>
  <c r="Q31" i="4"/>
  <c r="R31" i="4"/>
  <c r="S31" i="4"/>
  <c r="T31" i="4"/>
  <c r="U31" i="4"/>
  <c r="V31" i="4"/>
  <c r="W31" i="4"/>
  <c r="X31" i="4"/>
  <c r="L43" i="4"/>
  <c r="L44" i="4"/>
  <c r="L45" i="4"/>
  <c r="C48" i="4"/>
  <c r="D48" i="4"/>
  <c r="E48" i="4"/>
  <c r="F48" i="4"/>
  <c r="G48" i="4"/>
  <c r="H48" i="4"/>
  <c r="I48" i="4"/>
  <c r="J48" i="4"/>
  <c r="K48" i="4"/>
  <c r="L48" i="4"/>
  <c r="C49" i="4"/>
  <c r="D49" i="4"/>
  <c r="E49" i="4"/>
  <c r="F49" i="4"/>
  <c r="G49" i="4"/>
  <c r="H49" i="4"/>
  <c r="I49" i="4"/>
  <c r="J49" i="4"/>
  <c r="K49" i="4"/>
  <c r="L49" i="4"/>
  <c r="C50" i="4"/>
  <c r="D50" i="4"/>
  <c r="E50" i="4"/>
  <c r="F50" i="4"/>
  <c r="G50" i="4"/>
  <c r="H50" i="4"/>
  <c r="I50" i="4"/>
  <c r="J50" i="4"/>
  <c r="K50" i="4"/>
  <c r="L50" i="4"/>
</calcChain>
</file>

<file path=xl/sharedStrings.xml><?xml version="1.0" encoding="utf-8"?>
<sst xmlns="http://schemas.openxmlformats.org/spreadsheetml/2006/main" count="244" uniqueCount="31">
  <si>
    <t>Relative impact of professor, TA, and friends on confidence</t>
  </si>
  <si>
    <t>S</t>
  </si>
  <si>
    <t>Relative impact oflecture, lab,etc. on confidence</t>
  </si>
  <si>
    <t>response</t>
  </si>
  <si>
    <t>0</t>
  </si>
  <si>
    <t>1</t>
  </si>
  <si>
    <t>2</t>
  </si>
  <si>
    <t>3</t>
  </si>
  <si>
    <t>4</t>
  </si>
  <si>
    <t>5</t>
  </si>
  <si>
    <t>6</t>
  </si>
  <si>
    <t>7</t>
  </si>
  <si>
    <t>blank</t>
  </si>
  <si>
    <t>total</t>
  </si>
  <si>
    <t>Professor</t>
  </si>
  <si>
    <t>Lecture</t>
  </si>
  <si>
    <t>TA</t>
  </si>
  <si>
    <t>Lab</t>
  </si>
  <si>
    <t>Friends</t>
  </si>
  <si>
    <t>Quizzes</t>
  </si>
  <si>
    <t>Homework</t>
  </si>
  <si>
    <t>enthusiasm for learning chemistry</t>
  </si>
  <si>
    <t>Relative impact of Lecture, Lab, Quizzes on Learning</t>
  </si>
  <si>
    <t>q58-59</t>
  </si>
  <si>
    <t>Confidence in ability to…solve chemistry problems</t>
  </si>
  <si>
    <t>Interest in studying chemistry in general</t>
  </si>
  <si>
    <t>Before</t>
  </si>
  <si>
    <t>After</t>
  </si>
  <si>
    <t>visualize key concepts</t>
  </si>
  <si>
    <t>qz</t>
  </si>
  <si>
    <t>qw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</si>
</sst>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ont>
    <font>
      <sz val="9"/>
      <name val="Arial"/>
      <family val="2"/>
    </font>
    <font>
      <sz val="10"/>
      <color indexed="8"/>
      <name val="Arial"/>
      <family val="2"/>
    </font>
    <font>
      <b/>
      <sz val="10"/>
      <color indexed="10"/>
      <name val="Arial"/>
      <family val="2"/>
    </font>
    <font>
      <b/>
      <sz val="12"/>
      <color indexed="10"/>
      <name val="Arial"/>
      <family val="2"/>
    </font>
    <font>
      <b/>
      <sz val="12"/>
      <color indexed="50"/>
      <name val="Arial"/>
      <family val="2"/>
    </font>
    <font>
      <b/>
      <sz val="12"/>
      <color indexed="8"/>
      <name val="Arial"/>
      <family val="2"/>
    </font>
  </fonts>
  <fills count="5">
    <fill>
      <patternFill patternType="none"/>
    </fill>
    <fill>
      <patternFill patternType="gray125"/>
    </fill>
    <fill>
      <patternFill patternType="solid">
        <fgColor indexed="40"/>
        <bgColor indexed="64"/>
      </patternFill>
    </fill>
    <fill>
      <patternFill patternType="solid">
        <fgColor indexed="9"/>
        <bgColor indexed="64"/>
      </patternFill>
    </fill>
    <fill>
      <patternFill patternType="solid">
        <fgColor indexed="13"/>
        <bgColor indexed="64"/>
      </patternFill>
    </fill>
  </fills>
  <borders count="23">
    <border>
      <left/>
      <right/>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ck">
        <color indexed="64"/>
      </right>
      <top style="hair">
        <color indexed="64"/>
      </top>
      <bottom style="hair">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ck">
        <color indexed="64"/>
      </right>
      <top style="hair">
        <color indexed="64"/>
      </top>
      <bottom style="thin">
        <color indexed="64"/>
      </bottom>
      <diagonal/>
    </border>
  </borders>
  <cellStyleXfs count="1">
    <xf numFmtId="0" fontId="0" fillId="0" borderId="0"/>
  </cellStyleXfs>
  <cellXfs count="4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NumberFormat="1" applyBorder="1"/>
    <xf numFmtId="0" fontId="0" fillId="0" borderId="6" xfId="0" applyNumberFormat="1" applyBorder="1"/>
    <xf numFmtId="0" fontId="0" fillId="3" borderId="7" xfId="0" applyFill="1" applyBorder="1"/>
    <xf numFmtId="0" fontId="1" fillId="0" borderId="8" xfId="0" applyFont="1" applyBorder="1"/>
    <xf numFmtId="0" fontId="0" fillId="0" borderId="9" xfId="0" applyBorder="1"/>
    <xf numFmtId="0" fontId="0" fillId="0" borderId="10" xfId="0" applyBorder="1"/>
    <xf numFmtId="9" fontId="0" fillId="0" borderId="5" xfId="0" applyNumberFormat="1" applyBorder="1"/>
    <xf numFmtId="0" fontId="1" fillId="4" borderId="0" xfId="0" applyFont="1" applyFill="1"/>
    <xf numFmtId="0" fontId="0" fillId="0" borderId="0" xfId="0" applyBorder="1"/>
    <xf numFmtId="0" fontId="0" fillId="0" borderId="0" xfId="0" applyAlignment="1">
      <alignment horizontal="left"/>
    </xf>
    <xf numFmtId="0" fontId="0" fillId="0" borderId="11" xfId="0" applyNumberFormat="1" applyBorder="1"/>
    <xf numFmtId="0" fontId="0" fillId="3" borderId="11" xfId="0" applyFill="1" applyBorder="1"/>
    <xf numFmtId="0" fontId="1" fillId="2" borderId="12" xfId="0" applyFont="1" applyFill="1" applyBorder="1"/>
    <xf numFmtId="0" fontId="1" fillId="2" borderId="13" xfId="0" applyFont="1" applyFill="1" applyBorder="1"/>
    <xf numFmtId="0" fontId="1" fillId="2" borderId="14" xfId="0" applyFont="1" applyFill="1" applyBorder="1"/>
    <xf numFmtId="0" fontId="1" fillId="2" borderId="15" xfId="0" applyFont="1" applyFill="1" applyBorder="1"/>
    <xf numFmtId="0" fontId="0" fillId="0" borderId="16" xfId="0" applyBorder="1" applyAlignment="1">
      <alignment horizontal="left"/>
    </xf>
    <xf numFmtId="0" fontId="1" fillId="2" borderId="17" xfId="0" applyFont="1" applyFill="1" applyBorder="1"/>
    <xf numFmtId="0" fontId="0" fillId="0" borderId="18" xfId="0" applyNumberFormat="1" applyBorder="1"/>
    <xf numFmtId="0" fontId="0" fillId="0" borderId="19" xfId="0" applyBorder="1" applyAlignment="1">
      <alignment horizontal="left"/>
    </xf>
    <xf numFmtId="9" fontId="0" fillId="0" borderId="11" xfId="0" applyNumberFormat="1" applyBorder="1"/>
    <xf numFmtId="9" fontId="0" fillId="0" borderId="16" xfId="0" applyNumberFormat="1" applyBorder="1" applyAlignment="1">
      <alignment horizontal="left"/>
    </xf>
    <xf numFmtId="9" fontId="0" fillId="0" borderId="18" xfId="0" applyNumberFormat="1" applyBorder="1"/>
    <xf numFmtId="9" fontId="0" fillId="0" borderId="19" xfId="0" applyNumberFormat="1" applyBorder="1" applyAlignment="1">
      <alignment horizontal="left"/>
    </xf>
    <xf numFmtId="0" fontId="0" fillId="0" borderId="16" xfId="0" applyBorder="1"/>
    <xf numFmtId="0" fontId="0" fillId="0" borderId="19" xfId="0" applyBorder="1"/>
    <xf numFmtId="9" fontId="0" fillId="0" borderId="16" xfId="0" applyNumberFormat="1" applyBorder="1"/>
    <xf numFmtId="9" fontId="0" fillId="0" borderId="19" xfId="0" applyNumberFormat="1" applyBorder="1"/>
    <xf numFmtId="0" fontId="0" fillId="3" borderId="18" xfId="0" applyFill="1" applyBorder="1"/>
    <xf numFmtId="0" fontId="0" fillId="0" borderId="20" xfId="0" applyBorder="1"/>
    <xf numFmtId="0" fontId="0" fillId="0" borderId="21" xfId="0" applyBorder="1"/>
    <xf numFmtId="0" fontId="0" fillId="3" borderId="22" xfId="0" applyFill="1" applyBorder="1"/>
    <xf numFmtId="9" fontId="2" fillId="0" borderId="11" xfId="0" applyNumberFormat="1" applyFont="1" applyBorder="1"/>
    <xf numFmtId="9" fontId="2" fillId="0" borderId="16" xfId="0" applyNumberFormat="1" applyFont="1" applyBorder="1"/>
    <xf numFmtId="9" fontId="2" fillId="0" borderId="18" xfId="0" applyNumberFormat="1" applyFont="1" applyBorder="1"/>
    <xf numFmtId="9" fontId="2" fillId="0" borderId="19" xfId="0" applyNumberFormat="1" applyFont="1" applyBorder="1"/>
    <xf numFmtId="0" fontId="1" fillId="3" borderId="0" xfId="0" applyFont="1" applyFill="1"/>
    <xf numFmtId="0" fontId="3"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Relative impact of:</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lecture, lab, and quizzes </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on students' </a:t>
            </a:r>
            <a:r>
              <a:rPr lang="en-GB" sz="1000" b="1" i="1" u="none" strike="noStrike" baseline="0">
                <a:solidFill>
                  <a:srgbClr val="000000"/>
                </a:solidFill>
                <a:latin typeface="Arial"/>
                <a:cs typeface="Arial"/>
              </a:rPr>
              <a:t>...learning of chemistry</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6925814359178457"/>
          <c:y val="2.4692195298023675E-2"/>
        </c:manualLayout>
      </c:layout>
      <c:overlay val="0"/>
      <c:spPr>
        <a:noFill/>
        <a:ln w="25400">
          <a:noFill/>
        </a:ln>
      </c:spPr>
    </c:title>
    <c:autoTitleDeleted val="0"/>
    <c:plotArea>
      <c:layout>
        <c:manualLayout>
          <c:layoutTarget val="inner"/>
          <c:xMode val="edge"/>
          <c:yMode val="edge"/>
          <c:x val="0.14669039111287996"/>
          <c:y val="0.35803683182134327"/>
          <c:w val="0.61638173958008213"/>
          <c:h val="0.45680561301343797"/>
        </c:manualLayout>
      </c:layout>
      <c:lineChart>
        <c:grouping val="standard"/>
        <c:varyColors val="0"/>
        <c:ser>
          <c:idx val="0"/>
          <c:order val="0"/>
          <c:tx>
            <c:strRef>
              <c:f>'Rel-Impact'!$B$48</c:f>
              <c:strCache>
                <c:ptCount val="1"/>
                <c:pt idx="0">
                  <c:v>Lecture</c:v>
                </c:pt>
              </c:strCache>
            </c:strRef>
          </c:tx>
          <c:spPr>
            <a:ln w="25400">
              <a:solidFill>
                <a:srgbClr val="0000FF"/>
              </a:solidFill>
              <a:prstDash val="solid"/>
            </a:ln>
          </c:spPr>
          <c:marker>
            <c:symbol val="diamond"/>
            <c:size val="5"/>
            <c:spPr>
              <a:solidFill>
                <a:srgbClr val="00CCFF"/>
              </a:solidFill>
              <a:ln>
                <a:solidFill>
                  <a:srgbClr val="0000FF"/>
                </a:solidFill>
                <a:prstDash val="solid"/>
              </a:ln>
            </c:spPr>
          </c:marker>
          <c:cat>
            <c:strRef>
              <c:f>'Rel-Impact'!$C$47:$K$47</c:f>
              <c:strCache>
                <c:ptCount val="9"/>
                <c:pt idx="0">
                  <c:v>0</c:v>
                </c:pt>
                <c:pt idx="1">
                  <c:v>1</c:v>
                </c:pt>
                <c:pt idx="2">
                  <c:v>2</c:v>
                </c:pt>
                <c:pt idx="3">
                  <c:v>3</c:v>
                </c:pt>
                <c:pt idx="4">
                  <c:v>4</c:v>
                </c:pt>
                <c:pt idx="5">
                  <c:v>5</c:v>
                </c:pt>
                <c:pt idx="6">
                  <c:v>6</c:v>
                </c:pt>
                <c:pt idx="7">
                  <c:v>7</c:v>
                </c:pt>
                <c:pt idx="8">
                  <c:v>blank</c:v>
                </c:pt>
              </c:strCache>
            </c:strRef>
          </c:cat>
          <c:val>
            <c:numRef>
              <c:f>'Rel-Impact'!$C$48:$K$48</c:f>
              <c:numCache>
                <c:formatCode>0%</c:formatCode>
                <c:ptCount val="9"/>
                <c:pt idx="0">
                  <c:v>0</c:v>
                </c:pt>
                <c:pt idx="1">
                  <c:v>0</c:v>
                </c:pt>
                <c:pt idx="2">
                  <c:v>3.6363636363636362E-2</c:v>
                </c:pt>
                <c:pt idx="3">
                  <c:v>1.8181818181818181E-2</c:v>
                </c:pt>
                <c:pt idx="4">
                  <c:v>9.0909090909090912E-2</c:v>
                </c:pt>
                <c:pt idx="5">
                  <c:v>0.21818181818181817</c:v>
                </c:pt>
                <c:pt idx="6">
                  <c:v>0.29090909090909089</c:v>
                </c:pt>
                <c:pt idx="7">
                  <c:v>0.34545454545454546</c:v>
                </c:pt>
                <c:pt idx="8">
                  <c:v>0</c:v>
                </c:pt>
              </c:numCache>
            </c:numRef>
          </c:val>
          <c:smooth val="0"/>
          <c:extLst>
            <c:ext xmlns:c16="http://schemas.microsoft.com/office/drawing/2014/chart" uri="{C3380CC4-5D6E-409C-BE32-E72D297353CC}">
              <c16:uniqueId val="{00000000-4CBD-4633-B162-DD0EDA64277B}"/>
            </c:ext>
          </c:extLst>
        </c:ser>
        <c:ser>
          <c:idx val="1"/>
          <c:order val="1"/>
          <c:tx>
            <c:strRef>
              <c:f>'Rel-Impact'!$B$49</c:f>
              <c:strCache>
                <c:ptCount val="1"/>
                <c:pt idx="0">
                  <c:v>Lab</c:v>
                </c:pt>
              </c:strCache>
            </c:strRef>
          </c:tx>
          <c:spPr>
            <a:ln w="25400">
              <a:solidFill>
                <a:srgbClr val="339933"/>
              </a:solidFill>
              <a:prstDash val="solid"/>
            </a:ln>
          </c:spPr>
          <c:marker>
            <c:symbol val="square"/>
            <c:size val="5"/>
            <c:spPr>
              <a:solidFill>
                <a:srgbClr val="00FF00"/>
              </a:solidFill>
              <a:ln>
                <a:solidFill>
                  <a:srgbClr val="339933"/>
                </a:solidFill>
                <a:prstDash val="solid"/>
              </a:ln>
            </c:spPr>
          </c:marker>
          <c:cat>
            <c:strRef>
              <c:f>'Rel-Impact'!$C$47:$K$47</c:f>
              <c:strCache>
                <c:ptCount val="9"/>
                <c:pt idx="0">
                  <c:v>0</c:v>
                </c:pt>
                <c:pt idx="1">
                  <c:v>1</c:v>
                </c:pt>
                <c:pt idx="2">
                  <c:v>2</c:v>
                </c:pt>
                <c:pt idx="3">
                  <c:v>3</c:v>
                </c:pt>
                <c:pt idx="4">
                  <c:v>4</c:v>
                </c:pt>
                <c:pt idx="5">
                  <c:v>5</c:v>
                </c:pt>
                <c:pt idx="6">
                  <c:v>6</c:v>
                </c:pt>
                <c:pt idx="7">
                  <c:v>7</c:v>
                </c:pt>
                <c:pt idx="8">
                  <c:v>blank</c:v>
                </c:pt>
              </c:strCache>
            </c:strRef>
          </c:cat>
          <c:val>
            <c:numRef>
              <c:f>'Rel-Impact'!$C$49:$K$49</c:f>
              <c:numCache>
                <c:formatCode>0%</c:formatCode>
                <c:ptCount val="9"/>
                <c:pt idx="0">
                  <c:v>0</c:v>
                </c:pt>
                <c:pt idx="1">
                  <c:v>1.8018018018018018E-2</c:v>
                </c:pt>
                <c:pt idx="2">
                  <c:v>9.0090090090090086E-2</c:v>
                </c:pt>
                <c:pt idx="3">
                  <c:v>0.14414414414414414</c:v>
                </c:pt>
                <c:pt idx="4">
                  <c:v>0.22522522522522523</c:v>
                </c:pt>
                <c:pt idx="5">
                  <c:v>0.28828828828828829</c:v>
                </c:pt>
                <c:pt idx="6">
                  <c:v>0.17117117117117117</c:v>
                </c:pt>
                <c:pt idx="7">
                  <c:v>5.4054054054054057E-2</c:v>
                </c:pt>
                <c:pt idx="8">
                  <c:v>9.0090090090090089E-3</c:v>
                </c:pt>
              </c:numCache>
            </c:numRef>
          </c:val>
          <c:smooth val="0"/>
          <c:extLst>
            <c:ext xmlns:c16="http://schemas.microsoft.com/office/drawing/2014/chart" uri="{C3380CC4-5D6E-409C-BE32-E72D297353CC}">
              <c16:uniqueId val="{00000001-4CBD-4633-B162-DD0EDA64277B}"/>
            </c:ext>
          </c:extLst>
        </c:ser>
        <c:ser>
          <c:idx val="2"/>
          <c:order val="2"/>
          <c:tx>
            <c:strRef>
              <c:f>'Rel-Impact'!$B$50</c:f>
              <c:strCache>
                <c:ptCount val="1"/>
                <c:pt idx="0">
                  <c:v>Quizzes</c:v>
                </c:pt>
              </c:strCache>
            </c:strRef>
          </c:tx>
          <c:spPr>
            <a:ln w="25400">
              <a:solidFill>
                <a:srgbClr val="FF0000"/>
              </a:solidFill>
              <a:prstDash val="solid"/>
            </a:ln>
          </c:spPr>
          <c:marker>
            <c:symbol val="triangle"/>
            <c:size val="5"/>
            <c:spPr>
              <a:solidFill>
                <a:srgbClr val="FFFF00"/>
              </a:solidFill>
              <a:ln>
                <a:solidFill>
                  <a:srgbClr val="FF0000"/>
                </a:solidFill>
                <a:prstDash val="solid"/>
              </a:ln>
            </c:spPr>
          </c:marker>
          <c:cat>
            <c:strRef>
              <c:f>'Rel-Impact'!$C$47:$K$47</c:f>
              <c:strCache>
                <c:ptCount val="9"/>
                <c:pt idx="0">
                  <c:v>0</c:v>
                </c:pt>
                <c:pt idx="1">
                  <c:v>1</c:v>
                </c:pt>
                <c:pt idx="2">
                  <c:v>2</c:v>
                </c:pt>
                <c:pt idx="3">
                  <c:v>3</c:v>
                </c:pt>
                <c:pt idx="4">
                  <c:v>4</c:v>
                </c:pt>
                <c:pt idx="5">
                  <c:v>5</c:v>
                </c:pt>
                <c:pt idx="6">
                  <c:v>6</c:v>
                </c:pt>
                <c:pt idx="7">
                  <c:v>7</c:v>
                </c:pt>
                <c:pt idx="8">
                  <c:v>blank</c:v>
                </c:pt>
              </c:strCache>
            </c:strRef>
          </c:cat>
          <c:val>
            <c:numRef>
              <c:f>'Rel-Impact'!$C$50:$K$50</c:f>
              <c:numCache>
                <c:formatCode>0%</c:formatCode>
                <c:ptCount val="9"/>
                <c:pt idx="0">
                  <c:v>0</c:v>
                </c:pt>
                <c:pt idx="1">
                  <c:v>2.7272727272727271E-2</c:v>
                </c:pt>
                <c:pt idx="2">
                  <c:v>3.6363636363636362E-2</c:v>
                </c:pt>
                <c:pt idx="3">
                  <c:v>0.12727272727272726</c:v>
                </c:pt>
                <c:pt idx="4">
                  <c:v>0.25454545454545452</c:v>
                </c:pt>
                <c:pt idx="5">
                  <c:v>0.25454545454545452</c:v>
                </c:pt>
                <c:pt idx="6">
                  <c:v>0.21818181818181817</c:v>
                </c:pt>
                <c:pt idx="7">
                  <c:v>7.2727272727272724E-2</c:v>
                </c:pt>
                <c:pt idx="8">
                  <c:v>9.0909090909090905E-3</c:v>
                </c:pt>
              </c:numCache>
            </c:numRef>
          </c:val>
          <c:smooth val="0"/>
          <c:extLst>
            <c:ext xmlns:c16="http://schemas.microsoft.com/office/drawing/2014/chart" uri="{C3380CC4-5D6E-409C-BE32-E72D297353CC}">
              <c16:uniqueId val="{00000002-4CBD-4633-B162-DD0EDA64277B}"/>
            </c:ext>
          </c:extLst>
        </c:ser>
        <c:dLbls>
          <c:showLegendKey val="0"/>
          <c:showVal val="0"/>
          <c:showCatName val="0"/>
          <c:showSerName val="0"/>
          <c:showPercent val="0"/>
          <c:showBubbleSize val="0"/>
        </c:dLbls>
        <c:marker val="1"/>
        <c:smooth val="0"/>
        <c:axId val="949635967"/>
        <c:axId val="1"/>
      </c:lineChart>
      <c:catAx>
        <c:axId val="949635967"/>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9493566838083066"/>
              <c:y val="0.88891903072885226"/>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max val="0.4"/>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8083082308151529E-2"/>
              <c:y val="0.4259403688909084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49635967"/>
        <c:crosses val="autoZero"/>
        <c:crossBetween val="midCat"/>
      </c:valAx>
      <c:spPr>
        <a:solidFill>
          <a:srgbClr val="C0C0C0"/>
        </a:solidFill>
        <a:ln w="3175">
          <a:solidFill>
            <a:srgbClr val="000000"/>
          </a:solidFill>
          <a:prstDash val="solid"/>
        </a:ln>
      </c:spPr>
    </c:plotArea>
    <c:legend>
      <c:legendPos val="r"/>
      <c:layout>
        <c:manualLayout>
          <c:xMode val="edge"/>
          <c:yMode val="edge"/>
          <c:x val="0.82231248095008669"/>
          <c:y val="0.47120939360395181"/>
          <c:w val="0.15938475188226381"/>
          <c:h val="0.15638390355414994"/>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&amp;C&amp;
</c:oddHeader>
      <c:oddFooter>Page &amp;P</c:oddFooter>
    </c:headerFooter>
    <c:pageMargins b="1" l="0.75" r="0.75" t="1" header="0.5" footer="0.5"/>
    <c:pageSetup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Relative impact of: </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professor, TA, and friends on students' </a:t>
            </a:r>
            <a:r>
              <a:rPr lang="en-GB" sz="1000" b="1" i="1" u="none" strike="noStrike" baseline="0">
                <a:solidFill>
                  <a:srgbClr val="000000"/>
                </a:solidFill>
                <a:latin typeface="Arial"/>
                <a:cs typeface="Arial"/>
              </a:rPr>
              <a:t>…</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confidence in their ability to do chemistry</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6027894433329104"/>
          <c:y val="2.2313101128462954E-2"/>
        </c:manualLayout>
      </c:layout>
      <c:overlay val="0"/>
      <c:spPr>
        <a:noFill/>
        <a:ln w="25400">
          <a:noFill/>
        </a:ln>
      </c:spPr>
    </c:title>
    <c:autoTitleDeleted val="0"/>
    <c:plotArea>
      <c:layout>
        <c:manualLayout>
          <c:layoutTarget val="inner"/>
          <c:xMode val="edge"/>
          <c:yMode val="edge"/>
          <c:x val="0.14247017274070317"/>
          <c:y val="0.32861112571009077"/>
          <c:w val="0.61234776168359917"/>
          <c:h val="0.48885976108723378"/>
        </c:manualLayout>
      </c:layout>
      <c:lineChart>
        <c:grouping val="standard"/>
        <c:varyColors val="0"/>
        <c:ser>
          <c:idx val="0"/>
          <c:order val="0"/>
          <c:tx>
            <c:strRef>
              <c:f>'Rel-Impact'!$N$10</c:f>
              <c:strCache>
                <c:ptCount val="1"/>
                <c:pt idx="0">
                  <c:v>Professor</c:v>
                </c:pt>
              </c:strCache>
            </c:strRef>
          </c:tx>
          <c:spPr>
            <a:ln w="25400">
              <a:solidFill>
                <a:srgbClr val="0000FF"/>
              </a:solidFill>
              <a:prstDash val="solid"/>
            </a:ln>
          </c:spPr>
          <c:marker>
            <c:symbol val="diamond"/>
            <c:size val="5"/>
            <c:spPr>
              <a:solidFill>
                <a:srgbClr val="00CCFF"/>
              </a:solidFill>
              <a:ln>
                <a:solidFill>
                  <a:srgbClr val="0000FF"/>
                </a:solidFill>
                <a:prstDash val="solid"/>
              </a:ln>
            </c:spPr>
          </c:marker>
          <c:cat>
            <c:strRef>
              <c:f>'Rel-Impact'!$O$9:$W$9</c:f>
              <c:strCache>
                <c:ptCount val="9"/>
                <c:pt idx="0">
                  <c:v>0</c:v>
                </c:pt>
                <c:pt idx="1">
                  <c:v>1</c:v>
                </c:pt>
                <c:pt idx="2">
                  <c:v>2</c:v>
                </c:pt>
                <c:pt idx="3">
                  <c:v>3</c:v>
                </c:pt>
                <c:pt idx="4">
                  <c:v>4</c:v>
                </c:pt>
                <c:pt idx="5">
                  <c:v>5</c:v>
                </c:pt>
                <c:pt idx="6">
                  <c:v>6</c:v>
                </c:pt>
                <c:pt idx="7">
                  <c:v>7</c:v>
                </c:pt>
                <c:pt idx="8">
                  <c:v>blank</c:v>
                </c:pt>
              </c:strCache>
            </c:strRef>
          </c:cat>
          <c:val>
            <c:numRef>
              <c:f>'Rel-Impact'!$O$10:$W$10</c:f>
              <c:numCache>
                <c:formatCode>0%</c:formatCode>
                <c:ptCount val="9"/>
                <c:pt idx="0">
                  <c:v>0</c:v>
                </c:pt>
                <c:pt idx="1">
                  <c:v>0</c:v>
                </c:pt>
                <c:pt idx="2">
                  <c:v>1.8181818181818181E-2</c:v>
                </c:pt>
                <c:pt idx="3">
                  <c:v>2.7272727272727271E-2</c:v>
                </c:pt>
                <c:pt idx="4">
                  <c:v>0.15454545454545454</c:v>
                </c:pt>
                <c:pt idx="5">
                  <c:v>0.26363636363636361</c:v>
                </c:pt>
                <c:pt idx="6">
                  <c:v>0.23636363636363636</c:v>
                </c:pt>
                <c:pt idx="7">
                  <c:v>0.3</c:v>
                </c:pt>
                <c:pt idx="8">
                  <c:v>0</c:v>
                </c:pt>
              </c:numCache>
            </c:numRef>
          </c:val>
          <c:smooth val="0"/>
          <c:extLst>
            <c:ext xmlns:c16="http://schemas.microsoft.com/office/drawing/2014/chart" uri="{C3380CC4-5D6E-409C-BE32-E72D297353CC}">
              <c16:uniqueId val="{00000000-3D52-4222-AD6C-3E966D9CFF61}"/>
            </c:ext>
          </c:extLst>
        </c:ser>
        <c:ser>
          <c:idx val="1"/>
          <c:order val="1"/>
          <c:tx>
            <c:strRef>
              <c:f>'Rel-Impact'!$N$11</c:f>
              <c:strCache>
                <c:ptCount val="1"/>
                <c:pt idx="0">
                  <c:v>TA</c:v>
                </c:pt>
              </c:strCache>
            </c:strRef>
          </c:tx>
          <c:spPr>
            <a:ln w="25400">
              <a:solidFill>
                <a:srgbClr val="339933"/>
              </a:solidFill>
              <a:prstDash val="solid"/>
            </a:ln>
          </c:spPr>
          <c:marker>
            <c:symbol val="square"/>
            <c:size val="5"/>
            <c:spPr>
              <a:solidFill>
                <a:srgbClr val="00FF00"/>
              </a:solidFill>
              <a:ln>
                <a:solidFill>
                  <a:srgbClr val="339933"/>
                </a:solidFill>
                <a:prstDash val="solid"/>
              </a:ln>
            </c:spPr>
          </c:marker>
          <c:cat>
            <c:strRef>
              <c:f>'Rel-Impact'!$O$9:$W$9</c:f>
              <c:strCache>
                <c:ptCount val="9"/>
                <c:pt idx="0">
                  <c:v>0</c:v>
                </c:pt>
                <c:pt idx="1">
                  <c:v>1</c:v>
                </c:pt>
                <c:pt idx="2">
                  <c:v>2</c:v>
                </c:pt>
                <c:pt idx="3">
                  <c:v>3</c:v>
                </c:pt>
                <c:pt idx="4">
                  <c:v>4</c:v>
                </c:pt>
                <c:pt idx="5">
                  <c:v>5</c:v>
                </c:pt>
                <c:pt idx="6">
                  <c:v>6</c:v>
                </c:pt>
                <c:pt idx="7">
                  <c:v>7</c:v>
                </c:pt>
                <c:pt idx="8">
                  <c:v>blank</c:v>
                </c:pt>
              </c:strCache>
            </c:strRef>
          </c:cat>
          <c:val>
            <c:numRef>
              <c:f>'Rel-Impact'!$O$11:$W$11</c:f>
              <c:numCache>
                <c:formatCode>0%</c:formatCode>
                <c:ptCount val="9"/>
                <c:pt idx="0">
                  <c:v>9.0090090090090089E-3</c:v>
                </c:pt>
                <c:pt idx="1">
                  <c:v>0.12612612612612611</c:v>
                </c:pt>
                <c:pt idx="2">
                  <c:v>3.6036036036036036E-2</c:v>
                </c:pt>
                <c:pt idx="3">
                  <c:v>8.1081081081081086E-2</c:v>
                </c:pt>
                <c:pt idx="4">
                  <c:v>0.1981981981981982</c:v>
                </c:pt>
                <c:pt idx="5">
                  <c:v>0.23423423423423423</c:v>
                </c:pt>
                <c:pt idx="6">
                  <c:v>0.14414414414414414</c:v>
                </c:pt>
                <c:pt idx="7">
                  <c:v>0.16216216216216217</c:v>
                </c:pt>
                <c:pt idx="8">
                  <c:v>9.0090090090090089E-3</c:v>
                </c:pt>
              </c:numCache>
            </c:numRef>
          </c:val>
          <c:smooth val="0"/>
          <c:extLst>
            <c:ext xmlns:c16="http://schemas.microsoft.com/office/drawing/2014/chart" uri="{C3380CC4-5D6E-409C-BE32-E72D297353CC}">
              <c16:uniqueId val="{00000001-3D52-4222-AD6C-3E966D9CFF61}"/>
            </c:ext>
          </c:extLst>
        </c:ser>
        <c:ser>
          <c:idx val="2"/>
          <c:order val="2"/>
          <c:tx>
            <c:strRef>
              <c:f>'Rel-Impact'!$N$12</c:f>
              <c:strCache>
                <c:ptCount val="1"/>
                <c:pt idx="0">
                  <c:v>Friends</c:v>
                </c:pt>
              </c:strCache>
            </c:strRef>
          </c:tx>
          <c:spPr>
            <a:ln w="25400">
              <a:solidFill>
                <a:srgbClr val="FF0000"/>
              </a:solidFill>
              <a:prstDash val="solid"/>
            </a:ln>
          </c:spPr>
          <c:marker>
            <c:symbol val="triangle"/>
            <c:size val="5"/>
            <c:spPr>
              <a:solidFill>
                <a:srgbClr val="FFFF00"/>
              </a:solidFill>
              <a:ln>
                <a:solidFill>
                  <a:srgbClr val="FF0000"/>
                </a:solidFill>
                <a:prstDash val="solid"/>
              </a:ln>
            </c:spPr>
          </c:marker>
          <c:cat>
            <c:strRef>
              <c:f>'Rel-Impact'!$O$9:$W$9</c:f>
              <c:strCache>
                <c:ptCount val="9"/>
                <c:pt idx="0">
                  <c:v>0</c:v>
                </c:pt>
                <c:pt idx="1">
                  <c:v>1</c:v>
                </c:pt>
                <c:pt idx="2">
                  <c:v>2</c:v>
                </c:pt>
                <c:pt idx="3">
                  <c:v>3</c:v>
                </c:pt>
                <c:pt idx="4">
                  <c:v>4</c:v>
                </c:pt>
                <c:pt idx="5">
                  <c:v>5</c:v>
                </c:pt>
                <c:pt idx="6">
                  <c:v>6</c:v>
                </c:pt>
                <c:pt idx="7">
                  <c:v>7</c:v>
                </c:pt>
                <c:pt idx="8">
                  <c:v>blank</c:v>
                </c:pt>
              </c:strCache>
            </c:strRef>
          </c:cat>
          <c:val>
            <c:numRef>
              <c:f>'Rel-Impact'!$O$12:$W$12</c:f>
              <c:numCache>
                <c:formatCode>0%</c:formatCode>
                <c:ptCount val="9"/>
                <c:pt idx="0">
                  <c:v>0</c:v>
                </c:pt>
                <c:pt idx="1">
                  <c:v>0</c:v>
                </c:pt>
                <c:pt idx="2">
                  <c:v>0</c:v>
                </c:pt>
                <c:pt idx="3">
                  <c:v>9.7087378640776691E-3</c:v>
                </c:pt>
                <c:pt idx="4">
                  <c:v>0.26213592233009708</c:v>
                </c:pt>
                <c:pt idx="5">
                  <c:v>0.35922330097087379</c:v>
                </c:pt>
                <c:pt idx="6">
                  <c:v>0.17475728155339806</c:v>
                </c:pt>
                <c:pt idx="7">
                  <c:v>0.18446601941747573</c:v>
                </c:pt>
                <c:pt idx="8">
                  <c:v>9.7087378640776691E-3</c:v>
                </c:pt>
              </c:numCache>
            </c:numRef>
          </c:val>
          <c:smooth val="0"/>
          <c:extLst>
            <c:ext xmlns:c16="http://schemas.microsoft.com/office/drawing/2014/chart" uri="{C3380CC4-5D6E-409C-BE32-E72D297353CC}">
              <c16:uniqueId val="{00000002-3D52-4222-AD6C-3E966D9CFF61}"/>
            </c:ext>
          </c:extLst>
        </c:ser>
        <c:dLbls>
          <c:showLegendKey val="0"/>
          <c:showVal val="0"/>
          <c:showCatName val="0"/>
          <c:showSerName val="0"/>
          <c:showPercent val="0"/>
          <c:showBubbleSize val="0"/>
        </c:dLbls>
        <c:marker val="1"/>
        <c:smooth val="0"/>
        <c:axId val="591447119"/>
        <c:axId val="1"/>
      </c:lineChart>
      <c:catAx>
        <c:axId val="59144711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9042306952981154"/>
              <c:y val="0.89049558139956697"/>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Number of Students</a:t>
                </a:r>
              </a:p>
            </c:rich>
          </c:tx>
          <c:layout>
            <c:manualLayout>
              <c:xMode val="edge"/>
              <c:yMode val="edge"/>
              <c:x val="3.6987448692297933E-2"/>
              <c:y val="0.41177813900708904"/>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91447119"/>
        <c:crosses val="autoZero"/>
        <c:crossBetween val="midCat"/>
      </c:valAx>
      <c:spPr>
        <a:solidFill>
          <a:srgbClr val="C0C0C0"/>
        </a:solidFill>
        <a:ln w="3175">
          <a:solidFill>
            <a:srgbClr val="000000"/>
          </a:solidFill>
          <a:prstDash val="solid"/>
        </a:ln>
      </c:spPr>
    </c:plotArea>
    <c:legend>
      <c:legendPos val="r"/>
      <c:layout>
        <c:manualLayout>
          <c:xMode val="edge"/>
          <c:yMode val="edge"/>
          <c:x val="0.81098406021631031"/>
          <c:y val="0.46654665995877082"/>
          <c:w val="0.17260809389739037"/>
          <c:h val="0.1541632441602894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&amp;C&amp;
</c:oddHeader>
      <c:oddFooter>Page &amp;P</c:oddFooter>
    </c:headerFooter>
    <c:pageMargins b="1" l="0.75" r="0.75" t="1" header="0.5" footer="0.5"/>
    <c:pageSetup orientation="landscape" horizontalDpi="30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Relative impact of:</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lecture, lab, quizzes and homework on students'... </a:t>
            </a:r>
            <a:r>
              <a:rPr lang="en-GB" sz="1000" b="1" i="1" u="none" strike="noStrike" baseline="0">
                <a:solidFill>
                  <a:srgbClr val="000000"/>
                </a:solidFill>
                <a:latin typeface="Arial"/>
                <a:cs typeface="Arial"/>
              </a:rPr>
              <a:t>confidence in their ability to do chemistry</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67375102822968"/>
          <c:y val="1.8293271829749606E-2"/>
        </c:manualLayout>
      </c:layout>
      <c:overlay val="0"/>
      <c:spPr>
        <a:noFill/>
        <a:ln w="25400">
          <a:noFill/>
        </a:ln>
      </c:spPr>
    </c:title>
    <c:autoTitleDeleted val="0"/>
    <c:plotArea>
      <c:layout>
        <c:manualLayout>
          <c:layoutTarget val="inner"/>
          <c:xMode val="edge"/>
          <c:yMode val="edge"/>
          <c:x val="0.14627740078645943"/>
          <c:y val="0.32724630717663183"/>
          <c:w val="0.59636171089864232"/>
          <c:h val="0.48985316788551719"/>
        </c:manualLayout>
      </c:layout>
      <c:lineChart>
        <c:grouping val="standard"/>
        <c:varyColors val="0"/>
        <c:ser>
          <c:idx val="0"/>
          <c:order val="0"/>
          <c:tx>
            <c:strRef>
              <c:f>'Rel-Impact'!$B$11</c:f>
              <c:strCache>
                <c:ptCount val="1"/>
                <c:pt idx="0">
                  <c:v>Lecture</c:v>
                </c:pt>
              </c:strCache>
            </c:strRef>
          </c:tx>
          <c:spPr>
            <a:ln w="25400">
              <a:solidFill>
                <a:srgbClr val="0000FF"/>
              </a:solidFill>
              <a:prstDash val="solid"/>
            </a:ln>
          </c:spPr>
          <c:marker>
            <c:symbol val="diamond"/>
            <c:size val="5"/>
            <c:spPr>
              <a:solidFill>
                <a:srgbClr val="00CCFF"/>
              </a:solidFill>
              <a:ln>
                <a:solidFill>
                  <a:srgbClr val="0000FF"/>
                </a:solidFill>
                <a:prstDash val="solid"/>
              </a:ln>
            </c:spPr>
          </c:marker>
          <c:cat>
            <c:strRef>
              <c:f>'Rel-Impact'!$C$10:$K$10</c:f>
              <c:strCache>
                <c:ptCount val="9"/>
                <c:pt idx="0">
                  <c:v>0</c:v>
                </c:pt>
                <c:pt idx="1">
                  <c:v>1</c:v>
                </c:pt>
                <c:pt idx="2">
                  <c:v>2</c:v>
                </c:pt>
                <c:pt idx="3">
                  <c:v>3</c:v>
                </c:pt>
                <c:pt idx="4">
                  <c:v>4</c:v>
                </c:pt>
                <c:pt idx="5">
                  <c:v>5</c:v>
                </c:pt>
                <c:pt idx="6">
                  <c:v>6</c:v>
                </c:pt>
                <c:pt idx="7">
                  <c:v>7</c:v>
                </c:pt>
                <c:pt idx="8">
                  <c:v>blank</c:v>
                </c:pt>
              </c:strCache>
            </c:strRef>
          </c:cat>
          <c:val>
            <c:numRef>
              <c:f>'Rel-Impact'!$C$11:$K$11</c:f>
              <c:numCache>
                <c:formatCode>0%</c:formatCode>
                <c:ptCount val="9"/>
                <c:pt idx="0">
                  <c:v>0</c:v>
                </c:pt>
                <c:pt idx="1">
                  <c:v>0</c:v>
                </c:pt>
                <c:pt idx="2">
                  <c:v>1.8181818181818181E-2</c:v>
                </c:pt>
                <c:pt idx="3">
                  <c:v>5.4545454545454543E-2</c:v>
                </c:pt>
                <c:pt idx="4">
                  <c:v>0.12727272727272726</c:v>
                </c:pt>
                <c:pt idx="5">
                  <c:v>0.34545454545454546</c:v>
                </c:pt>
                <c:pt idx="6">
                  <c:v>0.21818181818181817</c:v>
                </c:pt>
                <c:pt idx="7">
                  <c:v>0.23636363636363636</c:v>
                </c:pt>
                <c:pt idx="8">
                  <c:v>0</c:v>
                </c:pt>
              </c:numCache>
            </c:numRef>
          </c:val>
          <c:smooth val="0"/>
          <c:extLst>
            <c:ext xmlns:c16="http://schemas.microsoft.com/office/drawing/2014/chart" uri="{C3380CC4-5D6E-409C-BE32-E72D297353CC}">
              <c16:uniqueId val="{00000000-F1C1-4D12-9975-0FEE139A3DA1}"/>
            </c:ext>
          </c:extLst>
        </c:ser>
        <c:ser>
          <c:idx val="1"/>
          <c:order val="1"/>
          <c:tx>
            <c:strRef>
              <c:f>'Rel-Impact'!$B$12</c:f>
              <c:strCache>
                <c:ptCount val="1"/>
                <c:pt idx="0">
                  <c:v>Lab</c:v>
                </c:pt>
              </c:strCache>
            </c:strRef>
          </c:tx>
          <c:spPr>
            <a:ln w="25400">
              <a:solidFill>
                <a:srgbClr val="339933"/>
              </a:solidFill>
              <a:prstDash val="solid"/>
            </a:ln>
          </c:spPr>
          <c:marker>
            <c:symbol val="square"/>
            <c:size val="5"/>
            <c:spPr>
              <a:solidFill>
                <a:srgbClr val="00FF00"/>
              </a:solidFill>
              <a:ln>
                <a:solidFill>
                  <a:srgbClr val="339933"/>
                </a:solidFill>
                <a:prstDash val="solid"/>
              </a:ln>
            </c:spPr>
          </c:marker>
          <c:cat>
            <c:strRef>
              <c:f>'Rel-Impact'!$C$10:$K$10</c:f>
              <c:strCache>
                <c:ptCount val="9"/>
                <c:pt idx="0">
                  <c:v>0</c:v>
                </c:pt>
                <c:pt idx="1">
                  <c:v>1</c:v>
                </c:pt>
                <c:pt idx="2">
                  <c:v>2</c:v>
                </c:pt>
                <c:pt idx="3">
                  <c:v>3</c:v>
                </c:pt>
                <c:pt idx="4">
                  <c:v>4</c:v>
                </c:pt>
                <c:pt idx="5">
                  <c:v>5</c:v>
                </c:pt>
                <c:pt idx="6">
                  <c:v>6</c:v>
                </c:pt>
                <c:pt idx="7">
                  <c:v>7</c:v>
                </c:pt>
                <c:pt idx="8">
                  <c:v>blank</c:v>
                </c:pt>
              </c:strCache>
            </c:strRef>
          </c:cat>
          <c:val>
            <c:numRef>
              <c:f>'Rel-Impact'!$C$12:$K$12</c:f>
              <c:numCache>
                <c:formatCode>0%</c:formatCode>
                <c:ptCount val="9"/>
                <c:pt idx="0">
                  <c:v>9.0090090090090089E-3</c:v>
                </c:pt>
                <c:pt idx="1">
                  <c:v>0.12612612612612611</c:v>
                </c:pt>
                <c:pt idx="2">
                  <c:v>3.6036036036036036E-2</c:v>
                </c:pt>
                <c:pt idx="3">
                  <c:v>8.1081081081081086E-2</c:v>
                </c:pt>
                <c:pt idx="4">
                  <c:v>0.1981981981981982</c:v>
                </c:pt>
                <c:pt idx="5">
                  <c:v>0.23423423423423423</c:v>
                </c:pt>
                <c:pt idx="6">
                  <c:v>0.14414414414414414</c:v>
                </c:pt>
                <c:pt idx="7">
                  <c:v>0.16216216216216217</c:v>
                </c:pt>
                <c:pt idx="8">
                  <c:v>9.0090090090090089E-3</c:v>
                </c:pt>
              </c:numCache>
            </c:numRef>
          </c:val>
          <c:smooth val="0"/>
          <c:extLst>
            <c:ext xmlns:c16="http://schemas.microsoft.com/office/drawing/2014/chart" uri="{C3380CC4-5D6E-409C-BE32-E72D297353CC}">
              <c16:uniqueId val="{00000001-F1C1-4D12-9975-0FEE139A3DA1}"/>
            </c:ext>
          </c:extLst>
        </c:ser>
        <c:ser>
          <c:idx val="2"/>
          <c:order val="2"/>
          <c:tx>
            <c:strRef>
              <c:f>'Rel-Impact'!$B$13</c:f>
              <c:strCache>
                <c:ptCount val="1"/>
                <c:pt idx="0">
                  <c:v>Quizzes</c:v>
                </c:pt>
              </c:strCache>
            </c:strRef>
          </c:tx>
          <c:spPr>
            <a:ln w="25400">
              <a:solidFill>
                <a:srgbClr val="FF0000"/>
              </a:solidFill>
              <a:prstDash val="solid"/>
            </a:ln>
          </c:spPr>
          <c:marker>
            <c:symbol val="triangle"/>
            <c:size val="5"/>
            <c:spPr>
              <a:solidFill>
                <a:srgbClr val="FFFF00"/>
              </a:solidFill>
              <a:ln>
                <a:solidFill>
                  <a:srgbClr val="FF0000"/>
                </a:solidFill>
                <a:prstDash val="solid"/>
              </a:ln>
            </c:spPr>
          </c:marker>
          <c:cat>
            <c:strRef>
              <c:f>'Rel-Impact'!$C$10:$K$10</c:f>
              <c:strCache>
                <c:ptCount val="9"/>
                <c:pt idx="0">
                  <c:v>0</c:v>
                </c:pt>
                <c:pt idx="1">
                  <c:v>1</c:v>
                </c:pt>
                <c:pt idx="2">
                  <c:v>2</c:v>
                </c:pt>
                <c:pt idx="3">
                  <c:v>3</c:v>
                </c:pt>
                <c:pt idx="4">
                  <c:v>4</c:v>
                </c:pt>
                <c:pt idx="5">
                  <c:v>5</c:v>
                </c:pt>
                <c:pt idx="6">
                  <c:v>6</c:v>
                </c:pt>
                <c:pt idx="7">
                  <c:v>7</c:v>
                </c:pt>
                <c:pt idx="8">
                  <c:v>blank</c:v>
                </c:pt>
              </c:strCache>
            </c:strRef>
          </c:cat>
          <c:val>
            <c:numRef>
              <c:f>'Rel-Impact'!$C$13:$K$13</c:f>
              <c:numCache>
                <c:formatCode>0%</c:formatCode>
                <c:ptCount val="9"/>
                <c:pt idx="0">
                  <c:v>9.0090090090090089E-3</c:v>
                </c:pt>
                <c:pt idx="1">
                  <c:v>4.5045045045045043E-2</c:v>
                </c:pt>
                <c:pt idx="2">
                  <c:v>8.1081081081081086E-2</c:v>
                </c:pt>
                <c:pt idx="3">
                  <c:v>0.11711711711711711</c:v>
                </c:pt>
                <c:pt idx="4">
                  <c:v>0.26126126126126126</c:v>
                </c:pt>
                <c:pt idx="5">
                  <c:v>0.26126126126126126</c:v>
                </c:pt>
                <c:pt idx="6">
                  <c:v>0.15315315315315314</c:v>
                </c:pt>
                <c:pt idx="7">
                  <c:v>6.3063063063063057E-2</c:v>
                </c:pt>
                <c:pt idx="8">
                  <c:v>9.0090090090090089E-3</c:v>
                </c:pt>
              </c:numCache>
            </c:numRef>
          </c:val>
          <c:smooth val="0"/>
          <c:extLst>
            <c:ext xmlns:c16="http://schemas.microsoft.com/office/drawing/2014/chart" uri="{C3380CC4-5D6E-409C-BE32-E72D297353CC}">
              <c16:uniqueId val="{00000002-F1C1-4D12-9975-0FEE139A3DA1}"/>
            </c:ext>
          </c:extLst>
        </c:ser>
        <c:ser>
          <c:idx val="3"/>
          <c:order val="3"/>
          <c:tx>
            <c:strRef>
              <c:f>'Rel-Impact'!$B$14</c:f>
              <c:strCache>
                <c:ptCount val="1"/>
                <c:pt idx="0">
                  <c:v>Homework</c:v>
                </c:pt>
              </c:strCache>
            </c:strRef>
          </c:tx>
          <c:spPr>
            <a:ln w="25400">
              <a:solidFill>
                <a:srgbClr val="000000"/>
              </a:solidFill>
              <a:prstDash val="solid"/>
            </a:ln>
          </c:spPr>
          <c:marker>
            <c:symbol val="x"/>
            <c:size val="5"/>
            <c:spPr>
              <a:noFill/>
              <a:ln>
                <a:solidFill>
                  <a:srgbClr val="000000"/>
                </a:solidFill>
                <a:prstDash val="solid"/>
              </a:ln>
            </c:spPr>
          </c:marker>
          <c:cat>
            <c:strRef>
              <c:f>'Rel-Impact'!$C$10:$K$10</c:f>
              <c:strCache>
                <c:ptCount val="9"/>
                <c:pt idx="0">
                  <c:v>0</c:v>
                </c:pt>
                <c:pt idx="1">
                  <c:v>1</c:v>
                </c:pt>
                <c:pt idx="2">
                  <c:v>2</c:v>
                </c:pt>
                <c:pt idx="3">
                  <c:v>3</c:v>
                </c:pt>
                <c:pt idx="4">
                  <c:v>4</c:v>
                </c:pt>
                <c:pt idx="5">
                  <c:v>5</c:v>
                </c:pt>
                <c:pt idx="6">
                  <c:v>6</c:v>
                </c:pt>
                <c:pt idx="7">
                  <c:v>7</c:v>
                </c:pt>
                <c:pt idx="8">
                  <c:v>blank</c:v>
                </c:pt>
              </c:strCache>
            </c:strRef>
          </c:cat>
          <c:val>
            <c:numRef>
              <c:f>'Rel-Impact'!$C$14:$K$14</c:f>
              <c:numCache>
                <c:formatCode>0%</c:formatCode>
                <c:ptCount val="9"/>
                <c:pt idx="0">
                  <c:v>3.6363636363636362E-2</c:v>
                </c:pt>
                <c:pt idx="1">
                  <c:v>1.8181818181818181E-2</c:v>
                </c:pt>
                <c:pt idx="2">
                  <c:v>1.8181818181818181E-2</c:v>
                </c:pt>
                <c:pt idx="3">
                  <c:v>8.1818181818181818E-2</c:v>
                </c:pt>
                <c:pt idx="4">
                  <c:v>0.20909090909090908</c:v>
                </c:pt>
                <c:pt idx="5">
                  <c:v>0.32727272727272727</c:v>
                </c:pt>
                <c:pt idx="6">
                  <c:v>0.19090909090909092</c:v>
                </c:pt>
                <c:pt idx="7">
                  <c:v>0.11818181818181818</c:v>
                </c:pt>
                <c:pt idx="8">
                  <c:v>0</c:v>
                </c:pt>
              </c:numCache>
            </c:numRef>
          </c:val>
          <c:smooth val="0"/>
          <c:extLst>
            <c:ext xmlns:c16="http://schemas.microsoft.com/office/drawing/2014/chart" uri="{C3380CC4-5D6E-409C-BE32-E72D297353CC}">
              <c16:uniqueId val="{00000003-F1C1-4D12-9975-0FEE139A3DA1}"/>
            </c:ext>
          </c:extLst>
        </c:ser>
        <c:dLbls>
          <c:showLegendKey val="0"/>
          <c:showVal val="0"/>
          <c:showCatName val="0"/>
          <c:showSerName val="0"/>
          <c:showPercent val="0"/>
          <c:showBubbleSize val="0"/>
        </c:dLbls>
        <c:marker val="1"/>
        <c:smooth val="0"/>
        <c:axId val="591446319"/>
        <c:axId val="1"/>
      </c:lineChart>
      <c:catAx>
        <c:axId val="59144631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8538469053355656"/>
              <c:y val="0.89027256238114738"/>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max val="0.4"/>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Number of Students</a:t>
                </a:r>
              </a:p>
            </c:rich>
          </c:tx>
          <c:layout>
            <c:manualLayout>
              <c:xMode val="edge"/>
              <c:yMode val="edge"/>
              <c:x val="3.7975863665715426E-2"/>
              <c:y val="0.4105823232899355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91446319"/>
        <c:crosses val="autoZero"/>
        <c:crossBetween val="midCat"/>
      </c:valAx>
      <c:spPr>
        <a:solidFill>
          <a:srgbClr val="C0C0C0"/>
        </a:solidFill>
        <a:ln w="3175">
          <a:solidFill>
            <a:srgbClr val="000000"/>
          </a:solidFill>
          <a:prstDash val="solid"/>
        </a:ln>
      </c:spPr>
    </c:plotArea>
    <c:legend>
      <c:legendPos val="r"/>
      <c:layout>
        <c:manualLayout>
          <c:xMode val="edge"/>
          <c:yMode val="edge"/>
          <c:x val="0.79608662351092341"/>
          <c:y val="0.43497335239626839"/>
          <c:w val="0.187066291390376"/>
          <c:h val="0.2052911616449677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&amp;C&amp;
</c:oddHeader>
      <c:oddFooter>Page &amp;P</c:oddFooter>
    </c:headerFooter>
    <c:pageMargins b="1" l="0.75" r="0.75" t="1" header="0.5" footer="0.5"/>
    <c:pageSetup orientation="landscape" horizontalDpi="30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Relative impact of:</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professor, TA, and friends on students' </a:t>
            </a:r>
            <a:r>
              <a:rPr lang="en-GB" sz="1000" b="1" i="1" u="none" strike="noStrike" baseline="0">
                <a:solidFill>
                  <a:srgbClr val="000000"/>
                </a:solidFill>
                <a:latin typeface="Arial"/>
                <a:cs typeface="Arial"/>
              </a:rPr>
              <a:t>…</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enthuisiasm for learning chemistry</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9.0788948826096658E-2"/>
          <c:y val="1.5905093653810355E-2"/>
        </c:manualLayout>
      </c:layout>
      <c:overlay val="0"/>
      <c:spPr>
        <a:noFill/>
        <a:ln w="25400">
          <a:noFill/>
        </a:ln>
      </c:spPr>
    </c:title>
    <c:autoTitleDeleted val="0"/>
    <c:plotArea>
      <c:layout>
        <c:manualLayout>
          <c:layoutTarget val="inner"/>
          <c:xMode val="edge"/>
          <c:yMode val="edge"/>
          <c:x val="0.14092612952110525"/>
          <c:y val="0.32406628319638603"/>
          <c:w val="0.61790687559253843"/>
          <c:h val="0.49703417668157363"/>
        </c:manualLayout>
      </c:layout>
      <c:lineChart>
        <c:grouping val="standard"/>
        <c:varyColors val="0"/>
        <c:ser>
          <c:idx val="0"/>
          <c:order val="0"/>
          <c:tx>
            <c:strRef>
              <c:f>'Rel-Impact'!$N$29</c:f>
              <c:strCache>
                <c:ptCount val="1"/>
                <c:pt idx="0">
                  <c:v>Professor</c:v>
                </c:pt>
              </c:strCache>
            </c:strRef>
          </c:tx>
          <c:spPr>
            <a:ln w="25400">
              <a:solidFill>
                <a:srgbClr val="0000FF"/>
              </a:solidFill>
              <a:prstDash val="solid"/>
            </a:ln>
          </c:spPr>
          <c:marker>
            <c:symbol val="diamond"/>
            <c:size val="5"/>
            <c:spPr>
              <a:solidFill>
                <a:srgbClr val="00CCFF"/>
              </a:solidFill>
              <a:ln>
                <a:solidFill>
                  <a:srgbClr val="0000FF"/>
                </a:solidFill>
                <a:prstDash val="solid"/>
              </a:ln>
            </c:spPr>
          </c:marker>
          <c:cat>
            <c:strRef>
              <c:f>'Rel-Impact'!$O$28:$W$28</c:f>
              <c:strCache>
                <c:ptCount val="9"/>
                <c:pt idx="0">
                  <c:v>0</c:v>
                </c:pt>
                <c:pt idx="1">
                  <c:v>1</c:v>
                </c:pt>
                <c:pt idx="2">
                  <c:v>2</c:v>
                </c:pt>
                <c:pt idx="3">
                  <c:v>3</c:v>
                </c:pt>
                <c:pt idx="4">
                  <c:v>4</c:v>
                </c:pt>
                <c:pt idx="5">
                  <c:v>5</c:v>
                </c:pt>
                <c:pt idx="6">
                  <c:v>6</c:v>
                </c:pt>
                <c:pt idx="7">
                  <c:v>7</c:v>
                </c:pt>
                <c:pt idx="8">
                  <c:v>blank</c:v>
                </c:pt>
              </c:strCache>
            </c:strRef>
          </c:cat>
          <c:val>
            <c:numRef>
              <c:f>'Rel-Impact'!$O$29:$W$29</c:f>
              <c:numCache>
                <c:formatCode>0%</c:formatCode>
                <c:ptCount val="9"/>
                <c:pt idx="0">
                  <c:v>0</c:v>
                </c:pt>
                <c:pt idx="1">
                  <c:v>0</c:v>
                </c:pt>
                <c:pt idx="2">
                  <c:v>2.7272727272727271E-2</c:v>
                </c:pt>
                <c:pt idx="3">
                  <c:v>9.0909090909090905E-3</c:v>
                </c:pt>
                <c:pt idx="4">
                  <c:v>0.11818181818181818</c:v>
                </c:pt>
                <c:pt idx="5">
                  <c:v>0.24545454545454545</c:v>
                </c:pt>
                <c:pt idx="6">
                  <c:v>0.22727272727272727</c:v>
                </c:pt>
                <c:pt idx="7">
                  <c:v>0.36363636363636365</c:v>
                </c:pt>
                <c:pt idx="8">
                  <c:v>9.0909090909090905E-3</c:v>
                </c:pt>
              </c:numCache>
            </c:numRef>
          </c:val>
          <c:smooth val="0"/>
          <c:extLst>
            <c:ext xmlns:c16="http://schemas.microsoft.com/office/drawing/2014/chart" uri="{C3380CC4-5D6E-409C-BE32-E72D297353CC}">
              <c16:uniqueId val="{00000000-ACA8-43CF-8CAB-B1C7CE7AD495}"/>
            </c:ext>
          </c:extLst>
        </c:ser>
        <c:ser>
          <c:idx val="1"/>
          <c:order val="1"/>
          <c:tx>
            <c:strRef>
              <c:f>'Rel-Impact'!$N$30</c:f>
              <c:strCache>
                <c:ptCount val="1"/>
                <c:pt idx="0">
                  <c:v>TA</c:v>
                </c:pt>
              </c:strCache>
            </c:strRef>
          </c:tx>
          <c:spPr>
            <a:ln w="25400">
              <a:solidFill>
                <a:srgbClr val="339933"/>
              </a:solidFill>
              <a:prstDash val="solid"/>
            </a:ln>
          </c:spPr>
          <c:marker>
            <c:symbol val="square"/>
            <c:size val="5"/>
            <c:spPr>
              <a:solidFill>
                <a:srgbClr val="00FF00"/>
              </a:solidFill>
              <a:ln>
                <a:solidFill>
                  <a:srgbClr val="339933"/>
                </a:solidFill>
                <a:prstDash val="solid"/>
              </a:ln>
            </c:spPr>
          </c:marker>
          <c:cat>
            <c:strRef>
              <c:f>'Rel-Impact'!$O$28:$W$28</c:f>
              <c:strCache>
                <c:ptCount val="9"/>
                <c:pt idx="0">
                  <c:v>0</c:v>
                </c:pt>
                <c:pt idx="1">
                  <c:v>1</c:v>
                </c:pt>
                <c:pt idx="2">
                  <c:v>2</c:v>
                </c:pt>
                <c:pt idx="3">
                  <c:v>3</c:v>
                </c:pt>
                <c:pt idx="4">
                  <c:v>4</c:v>
                </c:pt>
                <c:pt idx="5">
                  <c:v>5</c:v>
                </c:pt>
                <c:pt idx="6">
                  <c:v>6</c:v>
                </c:pt>
                <c:pt idx="7">
                  <c:v>7</c:v>
                </c:pt>
                <c:pt idx="8">
                  <c:v>blank</c:v>
                </c:pt>
              </c:strCache>
            </c:strRef>
          </c:cat>
          <c:val>
            <c:numRef>
              <c:f>'Rel-Impact'!$O$30:$W$30</c:f>
              <c:numCache>
                <c:formatCode>0%</c:formatCode>
                <c:ptCount val="9"/>
                <c:pt idx="0">
                  <c:v>9.0090090090090089E-3</c:v>
                </c:pt>
                <c:pt idx="1">
                  <c:v>0.10909090909090909</c:v>
                </c:pt>
                <c:pt idx="2">
                  <c:v>4.5454545454545456E-2</c:v>
                </c:pt>
                <c:pt idx="3">
                  <c:v>0.1</c:v>
                </c:pt>
                <c:pt idx="4">
                  <c:v>0.26363636363636361</c:v>
                </c:pt>
                <c:pt idx="5">
                  <c:v>0.21818181818181817</c:v>
                </c:pt>
                <c:pt idx="6">
                  <c:v>0.10909090909090909</c:v>
                </c:pt>
                <c:pt idx="7">
                  <c:v>0.14545454545454545</c:v>
                </c:pt>
                <c:pt idx="8">
                  <c:v>0</c:v>
                </c:pt>
              </c:numCache>
            </c:numRef>
          </c:val>
          <c:smooth val="0"/>
          <c:extLst>
            <c:ext xmlns:c16="http://schemas.microsoft.com/office/drawing/2014/chart" uri="{C3380CC4-5D6E-409C-BE32-E72D297353CC}">
              <c16:uniqueId val="{00000001-ACA8-43CF-8CAB-B1C7CE7AD495}"/>
            </c:ext>
          </c:extLst>
        </c:ser>
        <c:ser>
          <c:idx val="2"/>
          <c:order val="2"/>
          <c:tx>
            <c:strRef>
              <c:f>'Rel-Impact'!$N$31</c:f>
              <c:strCache>
                <c:ptCount val="1"/>
                <c:pt idx="0">
                  <c:v>Friends</c:v>
                </c:pt>
              </c:strCache>
            </c:strRef>
          </c:tx>
          <c:spPr>
            <a:ln w="25400">
              <a:solidFill>
                <a:srgbClr val="FF0000"/>
              </a:solidFill>
              <a:prstDash val="solid"/>
            </a:ln>
          </c:spPr>
          <c:marker>
            <c:symbol val="triangle"/>
            <c:size val="5"/>
            <c:spPr>
              <a:solidFill>
                <a:srgbClr val="FFFF00"/>
              </a:solidFill>
              <a:ln>
                <a:solidFill>
                  <a:srgbClr val="FF0000"/>
                </a:solidFill>
                <a:prstDash val="solid"/>
              </a:ln>
            </c:spPr>
          </c:marker>
          <c:cat>
            <c:strRef>
              <c:f>'Rel-Impact'!$O$28:$W$28</c:f>
              <c:strCache>
                <c:ptCount val="9"/>
                <c:pt idx="0">
                  <c:v>0</c:v>
                </c:pt>
                <c:pt idx="1">
                  <c:v>1</c:v>
                </c:pt>
                <c:pt idx="2">
                  <c:v>2</c:v>
                </c:pt>
                <c:pt idx="3">
                  <c:v>3</c:v>
                </c:pt>
                <c:pt idx="4">
                  <c:v>4</c:v>
                </c:pt>
                <c:pt idx="5">
                  <c:v>5</c:v>
                </c:pt>
                <c:pt idx="6">
                  <c:v>6</c:v>
                </c:pt>
                <c:pt idx="7">
                  <c:v>7</c:v>
                </c:pt>
                <c:pt idx="8">
                  <c:v>blank</c:v>
                </c:pt>
              </c:strCache>
            </c:strRef>
          </c:cat>
          <c:val>
            <c:numRef>
              <c:f>'Rel-Impact'!$O$31:$W$31</c:f>
              <c:numCache>
                <c:formatCode>0%</c:formatCode>
                <c:ptCount val="9"/>
                <c:pt idx="0">
                  <c:v>6.3063063063063057E-2</c:v>
                </c:pt>
                <c:pt idx="1">
                  <c:v>0</c:v>
                </c:pt>
                <c:pt idx="2">
                  <c:v>2.7027027027027029E-2</c:v>
                </c:pt>
                <c:pt idx="3">
                  <c:v>6.3063063063063057E-2</c:v>
                </c:pt>
                <c:pt idx="4">
                  <c:v>0.28828828828828829</c:v>
                </c:pt>
                <c:pt idx="5">
                  <c:v>0.2072072072072072</c:v>
                </c:pt>
                <c:pt idx="6">
                  <c:v>0.23423423423423423</c:v>
                </c:pt>
                <c:pt idx="7">
                  <c:v>0.10810810810810811</c:v>
                </c:pt>
                <c:pt idx="8">
                  <c:v>9.0090090090090089E-3</c:v>
                </c:pt>
              </c:numCache>
            </c:numRef>
          </c:val>
          <c:smooth val="0"/>
          <c:extLst>
            <c:ext xmlns:c16="http://schemas.microsoft.com/office/drawing/2014/chart" uri="{C3380CC4-5D6E-409C-BE32-E72D297353CC}">
              <c16:uniqueId val="{00000002-ACA8-43CF-8CAB-B1C7CE7AD495}"/>
            </c:ext>
          </c:extLst>
        </c:ser>
        <c:dLbls>
          <c:showLegendKey val="0"/>
          <c:showVal val="0"/>
          <c:showCatName val="0"/>
          <c:showSerName val="0"/>
          <c:showPercent val="0"/>
          <c:showBubbleSize val="0"/>
        </c:dLbls>
        <c:marker val="1"/>
        <c:smooth val="0"/>
        <c:axId val="591446719"/>
        <c:axId val="1"/>
      </c:lineChart>
      <c:catAx>
        <c:axId val="59144671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9296709193385121"/>
              <c:y val="0.89267338132010632"/>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6586591317979249E-2"/>
              <c:y val="0.41750870841252186"/>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91446719"/>
        <c:crosses val="autoZero"/>
        <c:crossBetween val="midCat"/>
      </c:valAx>
      <c:spPr>
        <a:solidFill>
          <a:srgbClr val="C0C0C0"/>
        </a:solidFill>
        <a:ln w="3175">
          <a:solidFill>
            <a:srgbClr val="000000"/>
          </a:solidFill>
          <a:prstDash val="solid"/>
        </a:ln>
      </c:spPr>
    </c:plotArea>
    <c:legend>
      <c:legendPos val="r"/>
      <c:layout>
        <c:manualLayout>
          <c:xMode val="edge"/>
          <c:yMode val="edge"/>
          <c:x val="0.81303536262176113"/>
          <c:y val="0.46522398937395293"/>
          <c:w val="0.17073742615056983"/>
          <c:h val="0.15109838971119838"/>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&amp;C&amp;
</c:oddHeader>
      <c:oddFooter>&amp;CFall 1995</c:oddFooter>
    </c:headerFooter>
    <c:pageMargins b="1" l="0.75" r="0.75" t="1" header="0.5" footer="0.5"/>
    <c:pageSetup orientation="landscape" horizontalDpi="300" verticalDpi="30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Relative impact of:</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lecture, lab, quizzes, and homework</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on students' </a:t>
            </a:r>
            <a:r>
              <a:rPr lang="en-GB" sz="1000" b="1" i="1" u="none" strike="noStrike" baseline="0">
                <a:solidFill>
                  <a:srgbClr val="000000"/>
                </a:solidFill>
                <a:latin typeface="Arial"/>
                <a:cs typeface="Arial"/>
              </a:rPr>
              <a:t>...enthuisiasm for learning chemistry</a:t>
            </a:r>
            <a:endParaRPr lang="en-GB" sz="1000" b="1" i="0" u="none" strike="noStrike" baseline="0">
              <a:solidFill>
                <a:srgbClr val="000000"/>
              </a:solidFill>
              <a:latin typeface="Arial"/>
              <a:cs typeface="Arial"/>
            </a:endParaRP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5471648160106286"/>
          <c:y val="1.5905093653810355E-2"/>
        </c:manualLayout>
      </c:layout>
      <c:overlay val="0"/>
      <c:spPr>
        <a:noFill/>
        <a:ln w="25400">
          <a:noFill/>
        </a:ln>
      </c:spPr>
    </c:title>
    <c:autoTitleDeleted val="0"/>
    <c:plotArea>
      <c:layout>
        <c:manualLayout>
          <c:layoutTarget val="inner"/>
          <c:xMode val="edge"/>
          <c:yMode val="edge"/>
          <c:x val="0.14768391425555999"/>
          <c:y val="0.32009000978293345"/>
          <c:w val="0.59354868396044114"/>
          <c:h val="0.50101045009502621"/>
        </c:manualLayout>
      </c:layout>
      <c:lineChart>
        <c:grouping val="standard"/>
        <c:varyColors val="0"/>
        <c:ser>
          <c:idx val="0"/>
          <c:order val="0"/>
          <c:tx>
            <c:strRef>
              <c:f>'Rel-Impact'!$B$28</c:f>
              <c:strCache>
                <c:ptCount val="1"/>
                <c:pt idx="0">
                  <c:v>Lecture</c:v>
                </c:pt>
              </c:strCache>
            </c:strRef>
          </c:tx>
          <c:spPr>
            <a:ln w="25400">
              <a:solidFill>
                <a:srgbClr val="0000FF"/>
              </a:solidFill>
              <a:prstDash val="solid"/>
            </a:ln>
          </c:spPr>
          <c:marker>
            <c:symbol val="diamond"/>
            <c:size val="5"/>
            <c:spPr>
              <a:solidFill>
                <a:srgbClr val="69FFFF"/>
              </a:solidFill>
              <a:ln>
                <a:solidFill>
                  <a:srgbClr val="0000FF"/>
                </a:solidFill>
                <a:prstDash val="solid"/>
              </a:ln>
            </c:spPr>
          </c:marker>
          <c:cat>
            <c:strRef>
              <c:f>'Rel-Impact'!$C$27:$K$27</c:f>
              <c:strCache>
                <c:ptCount val="9"/>
                <c:pt idx="0">
                  <c:v>0</c:v>
                </c:pt>
                <c:pt idx="1">
                  <c:v>1</c:v>
                </c:pt>
                <c:pt idx="2">
                  <c:v>2</c:v>
                </c:pt>
                <c:pt idx="3">
                  <c:v>3</c:v>
                </c:pt>
                <c:pt idx="4">
                  <c:v>4</c:v>
                </c:pt>
                <c:pt idx="5">
                  <c:v>5</c:v>
                </c:pt>
                <c:pt idx="6">
                  <c:v>6</c:v>
                </c:pt>
                <c:pt idx="7">
                  <c:v>7</c:v>
                </c:pt>
                <c:pt idx="8">
                  <c:v>blank</c:v>
                </c:pt>
              </c:strCache>
            </c:strRef>
          </c:cat>
          <c:val>
            <c:numRef>
              <c:f>'Rel-Impact'!$C$28:$K$28</c:f>
              <c:numCache>
                <c:formatCode>0%</c:formatCode>
                <c:ptCount val="9"/>
                <c:pt idx="0">
                  <c:v>0</c:v>
                </c:pt>
                <c:pt idx="1">
                  <c:v>9.0909090909090905E-3</c:v>
                </c:pt>
                <c:pt idx="2">
                  <c:v>0</c:v>
                </c:pt>
                <c:pt idx="3">
                  <c:v>6.363636363636363E-2</c:v>
                </c:pt>
                <c:pt idx="4">
                  <c:v>0.16363636363636364</c:v>
                </c:pt>
                <c:pt idx="5">
                  <c:v>0.35454545454545455</c:v>
                </c:pt>
                <c:pt idx="6">
                  <c:v>0.21818181818181817</c:v>
                </c:pt>
                <c:pt idx="7">
                  <c:v>0.19090909090909092</c:v>
                </c:pt>
                <c:pt idx="8">
                  <c:v>0</c:v>
                </c:pt>
              </c:numCache>
            </c:numRef>
          </c:val>
          <c:smooth val="0"/>
          <c:extLst>
            <c:ext xmlns:c16="http://schemas.microsoft.com/office/drawing/2014/chart" uri="{C3380CC4-5D6E-409C-BE32-E72D297353CC}">
              <c16:uniqueId val="{00000000-8F52-41FD-94CF-D458FF1A8169}"/>
            </c:ext>
          </c:extLst>
        </c:ser>
        <c:ser>
          <c:idx val="1"/>
          <c:order val="1"/>
          <c:tx>
            <c:strRef>
              <c:f>'Rel-Impact'!$B$29</c:f>
              <c:strCache>
                <c:ptCount val="1"/>
                <c:pt idx="0">
                  <c:v>Lab</c:v>
                </c:pt>
              </c:strCache>
            </c:strRef>
          </c:tx>
          <c:spPr>
            <a:ln w="25400">
              <a:solidFill>
                <a:srgbClr val="339933"/>
              </a:solidFill>
              <a:prstDash val="solid"/>
            </a:ln>
          </c:spPr>
          <c:marker>
            <c:symbol val="square"/>
            <c:size val="5"/>
            <c:spPr>
              <a:solidFill>
                <a:srgbClr val="00FF00"/>
              </a:solidFill>
              <a:ln>
                <a:solidFill>
                  <a:srgbClr val="339933"/>
                </a:solidFill>
                <a:prstDash val="solid"/>
              </a:ln>
            </c:spPr>
          </c:marker>
          <c:cat>
            <c:strRef>
              <c:f>'Rel-Impact'!$C$27:$K$27</c:f>
              <c:strCache>
                <c:ptCount val="9"/>
                <c:pt idx="0">
                  <c:v>0</c:v>
                </c:pt>
                <c:pt idx="1">
                  <c:v>1</c:v>
                </c:pt>
                <c:pt idx="2">
                  <c:v>2</c:v>
                </c:pt>
                <c:pt idx="3">
                  <c:v>3</c:v>
                </c:pt>
                <c:pt idx="4">
                  <c:v>4</c:v>
                </c:pt>
                <c:pt idx="5">
                  <c:v>5</c:v>
                </c:pt>
                <c:pt idx="6">
                  <c:v>6</c:v>
                </c:pt>
                <c:pt idx="7">
                  <c:v>7</c:v>
                </c:pt>
                <c:pt idx="8">
                  <c:v>blank</c:v>
                </c:pt>
              </c:strCache>
            </c:strRef>
          </c:cat>
          <c:val>
            <c:numRef>
              <c:f>'Rel-Impact'!$C$29:$K$29</c:f>
              <c:numCache>
                <c:formatCode>0%</c:formatCode>
                <c:ptCount val="9"/>
                <c:pt idx="0">
                  <c:v>0</c:v>
                </c:pt>
                <c:pt idx="1">
                  <c:v>7.2727272727272724E-2</c:v>
                </c:pt>
                <c:pt idx="2">
                  <c:v>5.4545454545454543E-2</c:v>
                </c:pt>
                <c:pt idx="3">
                  <c:v>0.1</c:v>
                </c:pt>
                <c:pt idx="4">
                  <c:v>0.25454545454545452</c:v>
                </c:pt>
                <c:pt idx="5">
                  <c:v>0.32727272727272727</c:v>
                </c:pt>
                <c:pt idx="6">
                  <c:v>0.14545454545454545</c:v>
                </c:pt>
                <c:pt idx="7">
                  <c:v>4.5454545454545456E-2</c:v>
                </c:pt>
                <c:pt idx="8">
                  <c:v>0</c:v>
                </c:pt>
              </c:numCache>
            </c:numRef>
          </c:val>
          <c:smooth val="0"/>
          <c:extLst>
            <c:ext xmlns:c16="http://schemas.microsoft.com/office/drawing/2014/chart" uri="{C3380CC4-5D6E-409C-BE32-E72D297353CC}">
              <c16:uniqueId val="{00000001-8F52-41FD-94CF-D458FF1A8169}"/>
            </c:ext>
          </c:extLst>
        </c:ser>
        <c:ser>
          <c:idx val="2"/>
          <c:order val="2"/>
          <c:tx>
            <c:strRef>
              <c:f>'Rel-Impact'!$B$30</c:f>
              <c:strCache>
                <c:ptCount val="1"/>
                <c:pt idx="0">
                  <c:v>Quizzes</c:v>
                </c:pt>
              </c:strCache>
            </c:strRef>
          </c:tx>
          <c:spPr>
            <a:ln w="25400">
              <a:solidFill>
                <a:srgbClr val="FF0000"/>
              </a:solidFill>
              <a:prstDash val="solid"/>
            </a:ln>
          </c:spPr>
          <c:marker>
            <c:symbol val="triangle"/>
            <c:size val="5"/>
            <c:spPr>
              <a:solidFill>
                <a:srgbClr val="FFFF00"/>
              </a:solidFill>
              <a:ln>
                <a:solidFill>
                  <a:srgbClr val="FF0000"/>
                </a:solidFill>
                <a:prstDash val="solid"/>
              </a:ln>
            </c:spPr>
          </c:marker>
          <c:cat>
            <c:strRef>
              <c:f>'Rel-Impact'!$C$27:$K$27</c:f>
              <c:strCache>
                <c:ptCount val="9"/>
                <c:pt idx="0">
                  <c:v>0</c:v>
                </c:pt>
                <c:pt idx="1">
                  <c:v>1</c:v>
                </c:pt>
                <c:pt idx="2">
                  <c:v>2</c:v>
                </c:pt>
                <c:pt idx="3">
                  <c:v>3</c:v>
                </c:pt>
                <c:pt idx="4">
                  <c:v>4</c:v>
                </c:pt>
                <c:pt idx="5">
                  <c:v>5</c:v>
                </c:pt>
                <c:pt idx="6">
                  <c:v>6</c:v>
                </c:pt>
                <c:pt idx="7">
                  <c:v>7</c:v>
                </c:pt>
                <c:pt idx="8">
                  <c:v>blank</c:v>
                </c:pt>
              </c:strCache>
            </c:strRef>
          </c:cat>
          <c:val>
            <c:numRef>
              <c:f>'Rel-Impact'!$C$30:$K$30</c:f>
              <c:numCache>
                <c:formatCode>0%</c:formatCode>
                <c:ptCount val="9"/>
                <c:pt idx="0">
                  <c:v>0</c:v>
                </c:pt>
                <c:pt idx="1">
                  <c:v>0.1</c:v>
                </c:pt>
                <c:pt idx="2">
                  <c:v>6.363636363636363E-2</c:v>
                </c:pt>
                <c:pt idx="3">
                  <c:v>0.19090909090909092</c:v>
                </c:pt>
                <c:pt idx="4">
                  <c:v>0.3</c:v>
                </c:pt>
                <c:pt idx="5">
                  <c:v>0.16363636363636364</c:v>
                </c:pt>
                <c:pt idx="6">
                  <c:v>0.13636363636363635</c:v>
                </c:pt>
                <c:pt idx="7">
                  <c:v>4.5454545454545456E-2</c:v>
                </c:pt>
                <c:pt idx="8">
                  <c:v>0</c:v>
                </c:pt>
              </c:numCache>
            </c:numRef>
          </c:val>
          <c:smooth val="0"/>
          <c:extLst>
            <c:ext xmlns:c16="http://schemas.microsoft.com/office/drawing/2014/chart" uri="{C3380CC4-5D6E-409C-BE32-E72D297353CC}">
              <c16:uniqueId val="{00000002-8F52-41FD-94CF-D458FF1A8169}"/>
            </c:ext>
          </c:extLst>
        </c:ser>
        <c:ser>
          <c:idx val="3"/>
          <c:order val="3"/>
          <c:tx>
            <c:strRef>
              <c:f>'Rel-Impact'!$B$31</c:f>
              <c:strCache>
                <c:ptCount val="1"/>
                <c:pt idx="0">
                  <c:v>Homework</c:v>
                </c:pt>
              </c:strCache>
            </c:strRef>
          </c:tx>
          <c:spPr>
            <a:ln w="25400">
              <a:solidFill>
                <a:srgbClr val="000000"/>
              </a:solidFill>
              <a:prstDash val="solid"/>
            </a:ln>
          </c:spPr>
          <c:marker>
            <c:symbol val="x"/>
            <c:size val="5"/>
            <c:spPr>
              <a:noFill/>
              <a:ln>
                <a:solidFill>
                  <a:srgbClr val="000000"/>
                </a:solidFill>
                <a:prstDash val="solid"/>
              </a:ln>
            </c:spPr>
          </c:marker>
          <c:cat>
            <c:strRef>
              <c:f>'Rel-Impact'!$C$27:$K$27</c:f>
              <c:strCache>
                <c:ptCount val="9"/>
                <c:pt idx="0">
                  <c:v>0</c:v>
                </c:pt>
                <c:pt idx="1">
                  <c:v>1</c:v>
                </c:pt>
                <c:pt idx="2">
                  <c:v>2</c:v>
                </c:pt>
                <c:pt idx="3">
                  <c:v>3</c:v>
                </c:pt>
                <c:pt idx="4">
                  <c:v>4</c:v>
                </c:pt>
                <c:pt idx="5">
                  <c:v>5</c:v>
                </c:pt>
                <c:pt idx="6">
                  <c:v>6</c:v>
                </c:pt>
                <c:pt idx="7">
                  <c:v>7</c:v>
                </c:pt>
                <c:pt idx="8">
                  <c:v>blank</c:v>
                </c:pt>
              </c:strCache>
            </c:strRef>
          </c:cat>
          <c:val>
            <c:numRef>
              <c:f>'Rel-Impact'!$C$31:$K$31</c:f>
              <c:numCache>
                <c:formatCode>0%</c:formatCode>
                <c:ptCount val="9"/>
                <c:pt idx="0">
                  <c:v>3.6363636363636362E-2</c:v>
                </c:pt>
                <c:pt idx="1">
                  <c:v>3.6363636363636362E-2</c:v>
                </c:pt>
                <c:pt idx="2">
                  <c:v>1.8181818181818181E-2</c:v>
                </c:pt>
                <c:pt idx="3">
                  <c:v>0.10909090909090909</c:v>
                </c:pt>
                <c:pt idx="4">
                  <c:v>0.30909090909090908</c:v>
                </c:pt>
                <c:pt idx="5">
                  <c:v>0.27272727272727271</c:v>
                </c:pt>
                <c:pt idx="6">
                  <c:v>0.11818181818181818</c:v>
                </c:pt>
                <c:pt idx="7">
                  <c:v>0.1</c:v>
                </c:pt>
                <c:pt idx="8">
                  <c:v>0</c:v>
                </c:pt>
              </c:numCache>
            </c:numRef>
          </c:val>
          <c:smooth val="0"/>
          <c:extLst>
            <c:ext xmlns:c16="http://schemas.microsoft.com/office/drawing/2014/chart" uri="{C3380CC4-5D6E-409C-BE32-E72D297353CC}">
              <c16:uniqueId val="{00000003-8F52-41FD-94CF-D458FF1A8169}"/>
            </c:ext>
          </c:extLst>
        </c:ser>
        <c:dLbls>
          <c:showLegendKey val="0"/>
          <c:showVal val="0"/>
          <c:showCatName val="0"/>
          <c:showSerName val="0"/>
          <c:showPercent val="0"/>
          <c:showBubbleSize val="0"/>
        </c:dLbls>
        <c:marker val="1"/>
        <c:smooth val="0"/>
        <c:axId val="591445919"/>
        <c:axId val="1"/>
      </c:lineChart>
      <c:catAx>
        <c:axId val="591445919"/>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8538469053355656"/>
              <c:y val="0.89267338132010632"/>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max val="0.4"/>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9382377134816002E-2"/>
              <c:y val="0.4155205717057955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91445919"/>
        <c:crosses val="autoZero"/>
        <c:crossBetween val="midCat"/>
      </c:valAx>
      <c:spPr>
        <a:solidFill>
          <a:srgbClr val="C0C0C0"/>
        </a:solidFill>
        <a:ln w="3175">
          <a:solidFill>
            <a:srgbClr val="000000"/>
          </a:solidFill>
          <a:prstDash val="solid"/>
        </a:ln>
      </c:spPr>
    </c:plotArea>
    <c:legend>
      <c:legendPos val="r"/>
      <c:layout>
        <c:manualLayout>
          <c:xMode val="edge"/>
          <c:yMode val="edge"/>
          <c:x val="0.79608662351092341"/>
          <c:y val="0.43341380206633223"/>
          <c:w val="0.187066291390376"/>
          <c:h val="0.20080180737935574"/>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&amp;C&amp;
</c:oddHeader>
      <c:oddFooter>&amp;CFall 1995</c:oddFooter>
    </c:headerFooter>
    <c:pageMargins b="1" l="0.75" r="0.75" t="1" header="0.5" footer="0.5"/>
    <c:pageSetup orientation="landscape" horizontalDpi="300"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Students' Interest in...</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studying chemistry in general</a:t>
            </a:r>
            <a:endParaRPr lang="en-GB" sz="1000" b="1" i="0" u="none" strike="noStrike" baseline="0">
              <a:solidFill>
                <a:srgbClr val="000000"/>
              </a:solidFill>
              <a:latin typeface="Arial"/>
              <a:cs typeface="Arial"/>
            </a:endParaRP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Before and After taking Chem 30A</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`97 general chemistry: N=110 respondents</a:t>
            </a:r>
          </a:p>
        </c:rich>
      </c:tx>
      <c:layout>
        <c:manualLayout>
          <c:xMode val="edge"/>
          <c:yMode val="edge"/>
          <c:x val="0.16087498702959216"/>
          <c:y val="4.1667962114554979E-2"/>
        </c:manualLayout>
      </c:layout>
      <c:overlay val="0"/>
      <c:spPr>
        <a:noFill/>
        <a:ln w="25400">
          <a:noFill/>
        </a:ln>
      </c:spPr>
    </c:title>
    <c:autoTitleDeleted val="0"/>
    <c:plotArea>
      <c:layout>
        <c:manualLayout>
          <c:layoutTarget val="inner"/>
          <c:xMode val="edge"/>
          <c:yMode val="edge"/>
          <c:x val="0.14783106916232794"/>
          <c:y val="0.36667806660808383"/>
          <c:w val="0.6159627881763664"/>
          <c:h val="0.46043098136583249"/>
        </c:manualLayout>
      </c:layout>
      <c:lineChart>
        <c:grouping val="standard"/>
        <c:varyColors val="0"/>
        <c:ser>
          <c:idx val="0"/>
          <c:order val="0"/>
          <c:tx>
            <c:strRef>
              <c:f>'Before&amp;After'!$B$9</c:f>
              <c:strCache>
                <c:ptCount val="1"/>
                <c:pt idx="0">
                  <c:v>Before</c:v>
                </c:pt>
              </c:strCache>
            </c:strRef>
          </c:tx>
          <c:spPr>
            <a:ln w="25400">
              <a:solidFill>
                <a:srgbClr val="008000"/>
              </a:solidFill>
              <a:prstDash val="solid"/>
            </a:ln>
          </c:spPr>
          <c:marker>
            <c:symbol val="diamond"/>
            <c:size val="5"/>
            <c:spPr>
              <a:solidFill>
                <a:srgbClr val="00FF00"/>
              </a:solidFill>
              <a:ln>
                <a:solidFill>
                  <a:srgbClr val="008000"/>
                </a:solidFill>
                <a:prstDash val="solid"/>
              </a:ln>
            </c:spPr>
          </c:marker>
          <c:cat>
            <c:strRef>
              <c:f>'Before&amp;After'!$C$8:$I$8</c:f>
              <c:strCache>
                <c:ptCount val="7"/>
                <c:pt idx="0">
                  <c:v>0</c:v>
                </c:pt>
                <c:pt idx="1">
                  <c:v>1</c:v>
                </c:pt>
                <c:pt idx="2">
                  <c:v>2</c:v>
                </c:pt>
                <c:pt idx="3">
                  <c:v>3</c:v>
                </c:pt>
                <c:pt idx="4">
                  <c:v>4</c:v>
                </c:pt>
                <c:pt idx="5">
                  <c:v>5</c:v>
                </c:pt>
                <c:pt idx="6">
                  <c:v>blank</c:v>
                </c:pt>
              </c:strCache>
            </c:strRef>
          </c:cat>
          <c:val>
            <c:numRef>
              <c:f>'Before&amp;After'!$C$9:$I$9</c:f>
              <c:numCache>
                <c:formatCode>0%</c:formatCode>
                <c:ptCount val="7"/>
                <c:pt idx="0">
                  <c:v>0.24545454545454545</c:v>
                </c:pt>
                <c:pt idx="1">
                  <c:v>0.18181818181818182</c:v>
                </c:pt>
                <c:pt idx="2">
                  <c:v>0.23636363636363636</c:v>
                </c:pt>
                <c:pt idx="3">
                  <c:v>0.21818181818181817</c:v>
                </c:pt>
                <c:pt idx="4">
                  <c:v>8.1818181818181818E-2</c:v>
                </c:pt>
                <c:pt idx="5">
                  <c:v>3.6363636363636362E-2</c:v>
                </c:pt>
                <c:pt idx="6">
                  <c:v>0</c:v>
                </c:pt>
              </c:numCache>
            </c:numRef>
          </c:val>
          <c:smooth val="0"/>
          <c:extLst>
            <c:ext xmlns:c16="http://schemas.microsoft.com/office/drawing/2014/chart" uri="{C3380CC4-5D6E-409C-BE32-E72D297353CC}">
              <c16:uniqueId val="{00000000-AD3C-457C-A53D-82B033C80938}"/>
            </c:ext>
          </c:extLst>
        </c:ser>
        <c:ser>
          <c:idx val="1"/>
          <c:order val="1"/>
          <c:tx>
            <c:strRef>
              <c:f>'Before&amp;After'!$B$10</c:f>
              <c:strCache>
                <c:ptCount val="1"/>
                <c:pt idx="0">
                  <c:v>After</c:v>
                </c:pt>
              </c:strCache>
            </c:strRef>
          </c:tx>
          <c:spPr>
            <a:ln w="25400">
              <a:solidFill>
                <a:srgbClr val="0000FF"/>
              </a:solidFill>
              <a:prstDash val="solid"/>
            </a:ln>
          </c:spPr>
          <c:marker>
            <c:symbol val="square"/>
            <c:size val="5"/>
            <c:spPr>
              <a:solidFill>
                <a:srgbClr val="00CCFF"/>
              </a:solidFill>
              <a:ln>
                <a:solidFill>
                  <a:srgbClr val="3366FF"/>
                </a:solidFill>
                <a:prstDash val="solid"/>
              </a:ln>
            </c:spPr>
          </c:marker>
          <c:cat>
            <c:strRef>
              <c:f>'Before&amp;After'!$C$8:$I$8</c:f>
              <c:strCache>
                <c:ptCount val="7"/>
                <c:pt idx="0">
                  <c:v>0</c:v>
                </c:pt>
                <c:pt idx="1">
                  <c:v>1</c:v>
                </c:pt>
                <c:pt idx="2">
                  <c:v>2</c:v>
                </c:pt>
                <c:pt idx="3">
                  <c:v>3</c:v>
                </c:pt>
                <c:pt idx="4">
                  <c:v>4</c:v>
                </c:pt>
                <c:pt idx="5">
                  <c:v>5</c:v>
                </c:pt>
                <c:pt idx="6">
                  <c:v>blank</c:v>
                </c:pt>
              </c:strCache>
            </c:strRef>
          </c:cat>
          <c:val>
            <c:numRef>
              <c:f>'Before&amp;After'!$C$10:$I$10</c:f>
              <c:numCache>
                <c:formatCode>0%</c:formatCode>
                <c:ptCount val="7"/>
                <c:pt idx="0">
                  <c:v>5.4545454545454543E-2</c:v>
                </c:pt>
                <c:pt idx="1">
                  <c:v>9.0909090909090912E-2</c:v>
                </c:pt>
                <c:pt idx="2">
                  <c:v>0.13636363636363635</c:v>
                </c:pt>
                <c:pt idx="3">
                  <c:v>0.32727272727272727</c:v>
                </c:pt>
                <c:pt idx="4">
                  <c:v>0.23636363636363636</c:v>
                </c:pt>
                <c:pt idx="5">
                  <c:v>0.15454545454545454</c:v>
                </c:pt>
                <c:pt idx="6">
                  <c:v>0</c:v>
                </c:pt>
              </c:numCache>
            </c:numRef>
          </c:val>
          <c:smooth val="0"/>
          <c:extLst>
            <c:ext xmlns:c16="http://schemas.microsoft.com/office/drawing/2014/chart" uri="{C3380CC4-5D6E-409C-BE32-E72D297353CC}">
              <c16:uniqueId val="{00000001-AD3C-457C-A53D-82B033C80938}"/>
            </c:ext>
          </c:extLst>
        </c:ser>
        <c:dLbls>
          <c:showLegendKey val="0"/>
          <c:showVal val="0"/>
          <c:showCatName val="0"/>
          <c:showSerName val="0"/>
          <c:showPercent val="0"/>
          <c:showBubbleSize val="0"/>
        </c:dLbls>
        <c:marker val="1"/>
        <c:smooth val="0"/>
        <c:axId val="698212623"/>
        <c:axId val="1"/>
      </c:lineChart>
      <c:catAx>
        <c:axId val="69821262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9421618443287448"/>
              <c:y val="0.90211137978011524"/>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max val="0.4"/>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6233105186845083E-2"/>
              <c:y val="0.43334680599137176"/>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8212623"/>
        <c:crosses val="autoZero"/>
        <c:crossBetween val="midCat"/>
      </c:valAx>
      <c:spPr>
        <a:solidFill>
          <a:srgbClr val="C0C0C0"/>
        </a:solidFill>
        <a:ln w="3175">
          <a:solidFill>
            <a:srgbClr val="000000"/>
          </a:solidFill>
          <a:prstDash val="solid"/>
        </a:ln>
      </c:spPr>
    </c:plotArea>
    <c:legend>
      <c:legendPos val="r"/>
      <c:layout>
        <c:manualLayout>
          <c:xMode val="edge"/>
          <c:yMode val="edge"/>
          <c:x val="0.78698304465827518"/>
          <c:y val="0.47709816621165452"/>
          <c:w val="0.19131079538654203"/>
          <c:h val="0.17292204277540316"/>
        </c:manualLayout>
      </c:layout>
      <c:overlay val="0"/>
      <c:spPr>
        <a:solidFill>
          <a:srgbClr val="FFFFFF"/>
        </a:solidFill>
        <a:ln w="3175">
          <a:solidFill>
            <a:srgbClr val="000000"/>
          </a:solidFill>
          <a:prstDash val="solid"/>
        </a:ln>
      </c:spPr>
      <c:txPr>
        <a:bodyPr/>
        <a:lstStyle/>
        <a:p>
          <a:pPr>
            <a:defRPr sz="735"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
</c:oddHeader>
      <c:oddFooter>&amp;CFall 1995
</c:oddFooter>
    </c:headerFooter>
    <c:pageMargins b="1" l="0.75" r="0.75" t="1" header="0.5" footer="0.5"/>
    <c:pageSetup orientation="landscape" horizontalDpi="300" verticalDpi="30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Students' Confidence in their ability to... </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solve chemistry problems</a:t>
            </a:r>
            <a:endParaRPr lang="en-GB" sz="1000" b="1" i="0" u="none" strike="noStrike" baseline="0">
              <a:solidFill>
                <a:srgbClr val="000000"/>
              </a:solidFill>
              <a:latin typeface="Arial"/>
              <a:cs typeface="Arial"/>
            </a:endParaRP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Before and After taking Chem 30A</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chemsitry: N=110 respondents</a:t>
            </a:r>
          </a:p>
        </c:rich>
      </c:tx>
      <c:layout>
        <c:manualLayout>
          <c:xMode val="edge"/>
          <c:yMode val="edge"/>
          <c:x val="0.15000463500039482"/>
          <c:y val="2.9167573480188485E-2"/>
        </c:manualLayout>
      </c:layout>
      <c:overlay val="0"/>
      <c:spPr>
        <a:noFill/>
        <a:ln w="25400">
          <a:noFill/>
        </a:ln>
      </c:spPr>
    </c:title>
    <c:autoTitleDeleted val="0"/>
    <c:plotArea>
      <c:layout>
        <c:manualLayout>
          <c:layoutTarget val="inner"/>
          <c:xMode val="edge"/>
          <c:yMode val="edge"/>
          <c:x val="0.12639279430588823"/>
          <c:y val="0.34584408555080631"/>
          <c:w val="0.6680761984739807"/>
          <c:h val="0.49168195295174877"/>
        </c:manualLayout>
      </c:layout>
      <c:lineChart>
        <c:grouping val="standard"/>
        <c:varyColors val="0"/>
        <c:ser>
          <c:idx val="0"/>
          <c:order val="0"/>
          <c:tx>
            <c:strRef>
              <c:f>'Before&amp;After'!$M$8</c:f>
              <c:strCache>
                <c:ptCount val="1"/>
                <c:pt idx="0">
                  <c:v>Before</c:v>
                </c:pt>
              </c:strCache>
            </c:strRef>
          </c:tx>
          <c:spPr>
            <a:ln w="25400">
              <a:solidFill>
                <a:srgbClr val="008000"/>
              </a:solidFill>
              <a:prstDash val="solid"/>
            </a:ln>
          </c:spPr>
          <c:marker>
            <c:symbol val="diamond"/>
            <c:size val="5"/>
            <c:spPr>
              <a:solidFill>
                <a:srgbClr val="00FF00"/>
              </a:solidFill>
              <a:ln>
                <a:solidFill>
                  <a:srgbClr val="008000"/>
                </a:solidFill>
                <a:prstDash val="solid"/>
              </a:ln>
            </c:spPr>
          </c:marker>
          <c:cat>
            <c:strRef>
              <c:f>'Before&amp;After'!$N$7:$T$7</c:f>
              <c:strCache>
                <c:ptCount val="7"/>
                <c:pt idx="0">
                  <c:v>0</c:v>
                </c:pt>
                <c:pt idx="1">
                  <c:v>1</c:v>
                </c:pt>
                <c:pt idx="2">
                  <c:v>2</c:v>
                </c:pt>
                <c:pt idx="3">
                  <c:v>3</c:v>
                </c:pt>
                <c:pt idx="4">
                  <c:v>4</c:v>
                </c:pt>
                <c:pt idx="5">
                  <c:v>5</c:v>
                </c:pt>
                <c:pt idx="6">
                  <c:v>blank</c:v>
                </c:pt>
              </c:strCache>
            </c:strRef>
          </c:cat>
          <c:val>
            <c:numRef>
              <c:f>'Before&amp;After'!$N$8:$T$8</c:f>
              <c:numCache>
                <c:formatCode>0%</c:formatCode>
                <c:ptCount val="7"/>
                <c:pt idx="0">
                  <c:v>0.24770642201834864</c:v>
                </c:pt>
                <c:pt idx="1">
                  <c:v>0.14678899082568808</c:v>
                </c:pt>
                <c:pt idx="2">
                  <c:v>0.22935779816513763</c:v>
                </c:pt>
                <c:pt idx="3">
                  <c:v>0.20183486238532111</c:v>
                </c:pt>
                <c:pt idx="4">
                  <c:v>0.11009174311926606</c:v>
                </c:pt>
                <c:pt idx="5">
                  <c:v>5.5045871559633031E-2</c:v>
                </c:pt>
                <c:pt idx="6">
                  <c:v>9.1743119266055051E-3</c:v>
                </c:pt>
              </c:numCache>
            </c:numRef>
          </c:val>
          <c:smooth val="0"/>
          <c:extLst>
            <c:ext xmlns:c16="http://schemas.microsoft.com/office/drawing/2014/chart" uri="{C3380CC4-5D6E-409C-BE32-E72D297353CC}">
              <c16:uniqueId val="{00000000-6773-45D8-BEA8-2AD91623B108}"/>
            </c:ext>
          </c:extLst>
        </c:ser>
        <c:ser>
          <c:idx val="1"/>
          <c:order val="1"/>
          <c:tx>
            <c:strRef>
              <c:f>'Before&amp;After'!$M$9</c:f>
              <c:strCache>
                <c:ptCount val="1"/>
                <c:pt idx="0">
                  <c:v>After</c:v>
                </c:pt>
              </c:strCache>
            </c:strRef>
          </c:tx>
          <c:spPr>
            <a:ln w="25400">
              <a:solidFill>
                <a:srgbClr val="0000FF"/>
              </a:solidFill>
              <a:prstDash val="solid"/>
            </a:ln>
          </c:spPr>
          <c:marker>
            <c:symbol val="square"/>
            <c:size val="5"/>
            <c:spPr>
              <a:solidFill>
                <a:srgbClr val="00CCFF"/>
              </a:solidFill>
              <a:ln>
                <a:solidFill>
                  <a:srgbClr val="0000FF"/>
                </a:solidFill>
                <a:prstDash val="solid"/>
              </a:ln>
            </c:spPr>
          </c:marker>
          <c:cat>
            <c:strRef>
              <c:f>'Before&amp;After'!$N$7:$T$7</c:f>
              <c:strCache>
                <c:ptCount val="7"/>
                <c:pt idx="0">
                  <c:v>0</c:v>
                </c:pt>
                <c:pt idx="1">
                  <c:v>1</c:v>
                </c:pt>
                <c:pt idx="2">
                  <c:v>2</c:v>
                </c:pt>
                <c:pt idx="3">
                  <c:v>3</c:v>
                </c:pt>
                <c:pt idx="4">
                  <c:v>4</c:v>
                </c:pt>
                <c:pt idx="5">
                  <c:v>5</c:v>
                </c:pt>
                <c:pt idx="6">
                  <c:v>blank</c:v>
                </c:pt>
              </c:strCache>
            </c:strRef>
          </c:cat>
          <c:val>
            <c:numRef>
              <c:f>'Before&amp;After'!$N$9:$T$9</c:f>
              <c:numCache>
                <c:formatCode>0%</c:formatCode>
                <c:ptCount val="7"/>
                <c:pt idx="0">
                  <c:v>1.8181818181818181E-2</c:v>
                </c:pt>
                <c:pt idx="1">
                  <c:v>9.0909090909090905E-3</c:v>
                </c:pt>
                <c:pt idx="2">
                  <c:v>0.12727272727272726</c:v>
                </c:pt>
                <c:pt idx="3">
                  <c:v>0.27272727272727271</c:v>
                </c:pt>
                <c:pt idx="4">
                  <c:v>0.35454545454545455</c:v>
                </c:pt>
                <c:pt idx="5">
                  <c:v>0.2</c:v>
                </c:pt>
                <c:pt idx="6">
                  <c:v>1.8181818181818181E-2</c:v>
                </c:pt>
              </c:numCache>
            </c:numRef>
          </c:val>
          <c:smooth val="0"/>
          <c:extLst>
            <c:ext xmlns:c16="http://schemas.microsoft.com/office/drawing/2014/chart" uri="{C3380CC4-5D6E-409C-BE32-E72D297353CC}">
              <c16:uniqueId val="{00000001-6773-45D8-BEA8-2AD91623B108}"/>
            </c:ext>
          </c:extLst>
        </c:ser>
        <c:dLbls>
          <c:showLegendKey val="0"/>
          <c:showVal val="0"/>
          <c:showCatName val="0"/>
          <c:showSerName val="0"/>
          <c:showPercent val="0"/>
          <c:showBubbleSize val="0"/>
        </c:dLbls>
        <c:marker val="1"/>
        <c:smooth val="0"/>
        <c:axId val="698209023"/>
        <c:axId val="1"/>
      </c:lineChart>
      <c:catAx>
        <c:axId val="69820902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4014012918066121"/>
              <c:y val="0.912528370308754"/>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Number of Students</a:t>
                </a:r>
              </a:p>
            </c:rich>
          </c:tx>
          <c:layout>
            <c:manualLayout>
              <c:xMode val="edge"/>
              <c:yMode val="edge"/>
              <c:x val="1.9445045277828959E-2"/>
              <c:y val="0.4270966116741885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8209023"/>
        <c:crosses val="autoZero"/>
        <c:crossBetween val="midCat"/>
      </c:valAx>
      <c:spPr>
        <a:solidFill>
          <a:srgbClr val="C0C0C0"/>
        </a:solidFill>
        <a:ln w="3175">
          <a:solidFill>
            <a:srgbClr val="000000"/>
          </a:solidFill>
          <a:prstDash val="solid"/>
        </a:ln>
      </c:spPr>
    </c:plotArea>
    <c:legend>
      <c:legendPos val="r"/>
      <c:layout>
        <c:manualLayout>
          <c:xMode val="edge"/>
          <c:yMode val="edge"/>
          <c:x val="0.8125251062521387"/>
          <c:y val="0.47918156431738224"/>
          <c:w val="0.17778327111157907"/>
          <c:h val="0.17292204277540316"/>
        </c:manualLayout>
      </c:layout>
      <c:overlay val="0"/>
      <c:spPr>
        <a:solidFill>
          <a:srgbClr val="FFFFFF"/>
        </a:solidFill>
        <a:ln w="3175">
          <a:solidFill>
            <a:srgbClr val="000000"/>
          </a:solidFill>
          <a:prstDash val="solid"/>
        </a:ln>
      </c:spPr>
      <c:txPr>
        <a:bodyPr/>
        <a:lstStyle/>
        <a:p>
          <a:pPr>
            <a:defRPr sz="735"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Students' confidence in their ability to... </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Visualize key concepts of chemistry</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Before and After taking Chem 30A</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0885704137316142"/>
          <c:y val="2.6087757849113408E-2"/>
        </c:manualLayout>
      </c:layout>
      <c:overlay val="0"/>
      <c:spPr>
        <a:noFill/>
        <a:ln w="25400">
          <a:noFill/>
        </a:ln>
      </c:spPr>
    </c:title>
    <c:autoTitleDeleted val="0"/>
    <c:plotArea>
      <c:layout>
        <c:manualLayout>
          <c:layoutTarget val="inner"/>
          <c:xMode val="edge"/>
          <c:yMode val="edge"/>
          <c:x val="0.14804557626749953"/>
          <c:y val="0.34566279150075263"/>
          <c:w val="0.61395371334463034"/>
          <c:h val="0.45870974218024407"/>
        </c:manualLayout>
      </c:layout>
      <c:lineChart>
        <c:grouping val="standard"/>
        <c:varyColors val="0"/>
        <c:ser>
          <c:idx val="0"/>
          <c:order val="0"/>
          <c:tx>
            <c:strRef>
              <c:f>'Before&amp;After'!$B$29</c:f>
              <c:strCache>
                <c:ptCount val="1"/>
                <c:pt idx="0">
                  <c:v>Before</c:v>
                </c:pt>
              </c:strCache>
            </c:strRef>
          </c:tx>
          <c:spPr>
            <a:ln w="25400">
              <a:solidFill>
                <a:srgbClr val="008000"/>
              </a:solidFill>
              <a:prstDash val="solid"/>
            </a:ln>
          </c:spPr>
          <c:marker>
            <c:symbol val="diamond"/>
            <c:size val="5"/>
            <c:spPr>
              <a:solidFill>
                <a:srgbClr val="00FF00"/>
              </a:solidFill>
              <a:ln>
                <a:solidFill>
                  <a:srgbClr val="008000"/>
                </a:solidFill>
                <a:prstDash val="solid"/>
              </a:ln>
            </c:spPr>
          </c:marker>
          <c:cat>
            <c:strRef>
              <c:f>'Before&amp;After'!$C$28:$I$28</c:f>
              <c:strCache>
                <c:ptCount val="7"/>
                <c:pt idx="0">
                  <c:v>0</c:v>
                </c:pt>
                <c:pt idx="1">
                  <c:v>1</c:v>
                </c:pt>
                <c:pt idx="2">
                  <c:v>2</c:v>
                </c:pt>
                <c:pt idx="3">
                  <c:v>3</c:v>
                </c:pt>
                <c:pt idx="4">
                  <c:v>4</c:v>
                </c:pt>
                <c:pt idx="5">
                  <c:v>5</c:v>
                </c:pt>
                <c:pt idx="6">
                  <c:v>blank</c:v>
                </c:pt>
              </c:strCache>
            </c:strRef>
          </c:cat>
          <c:val>
            <c:numRef>
              <c:f>'Before&amp;After'!$C$29:$I$29</c:f>
              <c:numCache>
                <c:formatCode>0%</c:formatCode>
                <c:ptCount val="7"/>
                <c:pt idx="0">
                  <c:v>0.20909090909090908</c:v>
                </c:pt>
                <c:pt idx="1">
                  <c:v>0.17272727272727273</c:v>
                </c:pt>
                <c:pt idx="2">
                  <c:v>0.26363636363636361</c:v>
                </c:pt>
                <c:pt idx="3">
                  <c:v>0.2</c:v>
                </c:pt>
                <c:pt idx="4">
                  <c:v>0.11818181818181818</c:v>
                </c:pt>
                <c:pt idx="5">
                  <c:v>2.7272727272727271E-2</c:v>
                </c:pt>
                <c:pt idx="6">
                  <c:v>9.0909090909090905E-3</c:v>
                </c:pt>
              </c:numCache>
            </c:numRef>
          </c:val>
          <c:smooth val="0"/>
          <c:extLst>
            <c:ext xmlns:c16="http://schemas.microsoft.com/office/drawing/2014/chart" uri="{C3380CC4-5D6E-409C-BE32-E72D297353CC}">
              <c16:uniqueId val="{00000000-223D-47CC-A829-CFB4D4822ACF}"/>
            </c:ext>
          </c:extLst>
        </c:ser>
        <c:ser>
          <c:idx val="1"/>
          <c:order val="1"/>
          <c:tx>
            <c:strRef>
              <c:f>'Before&amp;After'!$B$30</c:f>
              <c:strCache>
                <c:ptCount val="1"/>
                <c:pt idx="0">
                  <c:v>After</c:v>
                </c:pt>
              </c:strCache>
            </c:strRef>
          </c:tx>
          <c:spPr>
            <a:ln w="25400">
              <a:solidFill>
                <a:srgbClr val="0000FF"/>
              </a:solidFill>
              <a:prstDash val="solid"/>
            </a:ln>
          </c:spPr>
          <c:marker>
            <c:symbol val="square"/>
            <c:size val="5"/>
            <c:spPr>
              <a:solidFill>
                <a:srgbClr val="00CCFF"/>
              </a:solidFill>
              <a:ln>
                <a:solidFill>
                  <a:srgbClr val="0000FF"/>
                </a:solidFill>
                <a:prstDash val="solid"/>
              </a:ln>
            </c:spPr>
          </c:marker>
          <c:cat>
            <c:strRef>
              <c:f>'Before&amp;After'!$C$28:$I$28</c:f>
              <c:strCache>
                <c:ptCount val="7"/>
                <c:pt idx="0">
                  <c:v>0</c:v>
                </c:pt>
                <c:pt idx="1">
                  <c:v>1</c:v>
                </c:pt>
                <c:pt idx="2">
                  <c:v>2</c:v>
                </c:pt>
                <c:pt idx="3">
                  <c:v>3</c:v>
                </c:pt>
                <c:pt idx="4">
                  <c:v>4</c:v>
                </c:pt>
                <c:pt idx="5">
                  <c:v>5</c:v>
                </c:pt>
                <c:pt idx="6">
                  <c:v>blank</c:v>
                </c:pt>
              </c:strCache>
            </c:strRef>
          </c:cat>
          <c:val>
            <c:numRef>
              <c:f>'Before&amp;After'!$C$30:$I$30</c:f>
              <c:numCache>
                <c:formatCode>0%</c:formatCode>
                <c:ptCount val="7"/>
                <c:pt idx="0">
                  <c:v>1.834862385321101E-2</c:v>
                </c:pt>
                <c:pt idx="1">
                  <c:v>3.669724770642202E-2</c:v>
                </c:pt>
                <c:pt idx="2">
                  <c:v>0.10091743119266056</c:v>
                </c:pt>
                <c:pt idx="3">
                  <c:v>0.32110091743119268</c:v>
                </c:pt>
                <c:pt idx="4">
                  <c:v>0.27522935779816515</c:v>
                </c:pt>
                <c:pt idx="5">
                  <c:v>0.22935779816513763</c:v>
                </c:pt>
                <c:pt idx="6">
                  <c:v>1.834862385321101E-2</c:v>
                </c:pt>
              </c:numCache>
            </c:numRef>
          </c:val>
          <c:smooth val="0"/>
          <c:extLst>
            <c:ext xmlns:c16="http://schemas.microsoft.com/office/drawing/2014/chart" uri="{C3380CC4-5D6E-409C-BE32-E72D297353CC}">
              <c16:uniqueId val="{00000001-223D-47CC-A829-CFB4D4822ACF}"/>
            </c:ext>
          </c:extLst>
        </c:ser>
        <c:dLbls>
          <c:showLegendKey val="0"/>
          <c:showVal val="0"/>
          <c:showCatName val="0"/>
          <c:showSerName val="0"/>
          <c:showPercent val="0"/>
          <c:showBubbleSize val="0"/>
        </c:dLbls>
        <c:marker val="1"/>
        <c:smooth val="0"/>
        <c:axId val="698210623"/>
        <c:axId val="1"/>
      </c:lineChart>
      <c:catAx>
        <c:axId val="69821062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39333677616168994"/>
              <c:y val="0.8826358072283369"/>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max val="0.4"/>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6285680457720473E-2"/>
              <c:y val="0.4043602466612578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8210623"/>
        <c:crosses val="autoZero"/>
        <c:crossBetween val="midCat"/>
      </c:valAx>
      <c:spPr>
        <a:solidFill>
          <a:srgbClr val="C0C0C0"/>
        </a:solidFill>
        <a:ln w="3175">
          <a:solidFill>
            <a:srgbClr val="000000"/>
          </a:solidFill>
          <a:prstDash val="solid"/>
        </a:ln>
      </c:spPr>
    </c:plotArea>
    <c:legend>
      <c:legendPos val="r"/>
      <c:layout>
        <c:manualLayout>
          <c:xMode val="edge"/>
          <c:yMode val="edge"/>
          <c:x val="0.79538211563323269"/>
          <c:y val="0.46088372200100353"/>
          <c:w val="0.18578268394352881"/>
          <c:h val="0.1804403251230344"/>
        </c:manualLayout>
      </c:layout>
      <c:overlay val="0"/>
      <c:spPr>
        <a:solidFill>
          <a:srgbClr val="FFFFFF"/>
        </a:solidFill>
        <a:ln w="3175">
          <a:solidFill>
            <a:srgbClr val="000000"/>
          </a:solidFill>
          <a:prstDash val="solid"/>
        </a:ln>
      </c:spPr>
      <c:txPr>
        <a:bodyPr/>
        <a:lstStyle/>
        <a:p>
          <a:pPr>
            <a:defRPr sz="735"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Students' Confidence in  their ability to…</a:t>
            </a:r>
          </a:p>
          <a:p>
            <a:pPr algn="l">
              <a:defRPr sz="1000" b="1" i="0" u="none" strike="noStrike" baseline="0">
                <a:solidFill>
                  <a:srgbClr val="000000"/>
                </a:solidFill>
                <a:latin typeface="Arial"/>
                <a:ea typeface="Arial"/>
                <a:cs typeface="Arial"/>
              </a:defRPr>
            </a:pPr>
            <a:r>
              <a:rPr lang="en-GB" sz="1000" b="1" i="1" u="none" strike="noStrike" baseline="0">
                <a:solidFill>
                  <a:srgbClr val="000000"/>
                </a:solidFill>
                <a:latin typeface="Arial"/>
                <a:cs typeface="Arial"/>
              </a:rPr>
              <a:t>apply their knowledge of chemistry to the real world</a:t>
            </a:r>
            <a:endParaRPr lang="en-GB" sz="1000" b="1" i="0" u="none" strike="noStrike" baseline="0">
              <a:solidFill>
                <a:srgbClr val="000000"/>
              </a:solidFill>
              <a:latin typeface="Arial"/>
              <a:cs typeface="Arial"/>
            </a:endParaRP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Before and After taking Chem 30A</a:t>
            </a:r>
          </a:p>
          <a:p>
            <a:pPr algn="l">
              <a:defRPr sz="1000" b="1" i="0" u="none" strike="noStrike" baseline="0">
                <a:solidFill>
                  <a:srgbClr val="000000"/>
                </a:solidFill>
                <a:latin typeface="Arial"/>
                <a:ea typeface="Arial"/>
                <a:cs typeface="Arial"/>
              </a:defRPr>
            </a:pPr>
            <a:r>
              <a:rPr lang="en-GB" sz="1000" b="1" i="0" u="none" strike="noStrike" baseline="0">
                <a:solidFill>
                  <a:srgbClr val="000000"/>
                </a:solidFill>
                <a:latin typeface="Arial"/>
                <a:cs typeface="Arial"/>
              </a:rPr>
              <a:t>Fall '95 general chemistry: N=110 respondents</a:t>
            </a:r>
          </a:p>
        </c:rich>
      </c:tx>
      <c:layout>
        <c:manualLayout>
          <c:xMode val="edge"/>
          <c:yMode val="edge"/>
          <c:x val="0.14702261685517679"/>
          <c:y val="1.7506065491346035E-2"/>
        </c:manualLayout>
      </c:layout>
      <c:overlay val="0"/>
      <c:spPr>
        <a:noFill/>
        <a:ln w="25400">
          <a:noFill/>
        </a:ln>
      </c:spPr>
    </c:title>
    <c:autoTitleDeleted val="0"/>
    <c:plotArea>
      <c:layout>
        <c:manualLayout>
          <c:layoutTarget val="inner"/>
          <c:xMode val="edge"/>
          <c:yMode val="edge"/>
          <c:x val="0.14147459357762296"/>
          <c:y val="0.35449782619975723"/>
          <c:w val="0.63524866527991486"/>
          <c:h val="0.44859292821574215"/>
        </c:manualLayout>
      </c:layout>
      <c:lineChart>
        <c:grouping val="standard"/>
        <c:varyColors val="0"/>
        <c:ser>
          <c:idx val="0"/>
          <c:order val="0"/>
          <c:tx>
            <c:strRef>
              <c:f>'Before&amp;After'!$M$27</c:f>
              <c:strCache>
                <c:ptCount val="1"/>
                <c:pt idx="0">
                  <c:v>Before</c:v>
                </c:pt>
              </c:strCache>
            </c:strRef>
          </c:tx>
          <c:spPr>
            <a:ln w="25400">
              <a:solidFill>
                <a:srgbClr val="339933"/>
              </a:solidFill>
              <a:prstDash val="solid"/>
            </a:ln>
          </c:spPr>
          <c:marker>
            <c:symbol val="diamond"/>
            <c:size val="5"/>
            <c:spPr>
              <a:solidFill>
                <a:srgbClr val="00FF00"/>
              </a:solidFill>
              <a:ln>
                <a:solidFill>
                  <a:srgbClr val="008000"/>
                </a:solidFill>
                <a:prstDash val="solid"/>
              </a:ln>
            </c:spPr>
          </c:marker>
          <c:cat>
            <c:strRef>
              <c:f>'Before&amp;After'!$N$26:$T$26</c:f>
              <c:strCache>
                <c:ptCount val="7"/>
                <c:pt idx="0">
                  <c:v>0</c:v>
                </c:pt>
                <c:pt idx="1">
                  <c:v>1</c:v>
                </c:pt>
                <c:pt idx="2">
                  <c:v>2</c:v>
                </c:pt>
                <c:pt idx="3">
                  <c:v>3</c:v>
                </c:pt>
                <c:pt idx="4">
                  <c:v>4</c:v>
                </c:pt>
                <c:pt idx="5">
                  <c:v>5</c:v>
                </c:pt>
                <c:pt idx="6">
                  <c:v>blank</c:v>
                </c:pt>
              </c:strCache>
            </c:strRef>
          </c:cat>
          <c:val>
            <c:numRef>
              <c:f>'Before&amp;After'!$N$27:$T$27</c:f>
              <c:numCache>
                <c:formatCode>0%</c:formatCode>
                <c:ptCount val="7"/>
                <c:pt idx="0">
                  <c:v>0.20909090909090908</c:v>
                </c:pt>
                <c:pt idx="1">
                  <c:v>0.25454545454545452</c:v>
                </c:pt>
                <c:pt idx="2">
                  <c:v>0.24545454545454545</c:v>
                </c:pt>
                <c:pt idx="3">
                  <c:v>0.2</c:v>
                </c:pt>
                <c:pt idx="4">
                  <c:v>5.4545454545454543E-2</c:v>
                </c:pt>
                <c:pt idx="5">
                  <c:v>2.7272727272727271E-2</c:v>
                </c:pt>
                <c:pt idx="6">
                  <c:v>9.0909090909090905E-3</c:v>
                </c:pt>
              </c:numCache>
            </c:numRef>
          </c:val>
          <c:smooth val="0"/>
          <c:extLst>
            <c:ext xmlns:c16="http://schemas.microsoft.com/office/drawing/2014/chart" uri="{C3380CC4-5D6E-409C-BE32-E72D297353CC}">
              <c16:uniqueId val="{00000000-612A-419C-A577-A398EEDB4EA5}"/>
            </c:ext>
          </c:extLst>
        </c:ser>
        <c:ser>
          <c:idx val="1"/>
          <c:order val="1"/>
          <c:tx>
            <c:strRef>
              <c:f>'Before&amp;After'!$M$28</c:f>
              <c:strCache>
                <c:ptCount val="1"/>
                <c:pt idx="0">
                  <c:v>After</c:v>
                </c:pt>
              </c:strCache>
            </c:strRef>
          </c:tx>
          <c:spPr>
            <a:ln w="25400">
              <a:solidFill>
                <a:srgbClr val="0000FF"/>
              </a:solidFill>
              <a:prstDash val="solid"/>
            </a:ln>
          </c:spPr>
          <c:marker>
            <c:symbol val="square"/>
            <c:size val="5"/>
            <c:spPr>
              <a:solidFill>
                <a:srgbClr val="00CCFF"/>
              </a:solidFill>
              <a:ln>
                <a:solidFill>
                  <a:srgbClr val="0000FF"/>
                </a:solidFill>
                <a:prstDash val="solid"/>
              </a:ln>
            </c:spPr>
          </c:marker>
          <c:cat>
            <c:strRef>
              <c:f>'Before&amp;After'!$N$26:$T$26</c:f>
              <c:strCache>
                <c:ptCount val="7"/>
                <c:pt idx="0">
                  <c:v>0</c:v>
                </c:pt>
                <c:pt idx="1">
                  <c:v>1</c:v>
                </c:pt>
                <c:pt idx="2">
                  <c:v>2</c:v>
                </c:pt>
                <c:pt idx="3">
                  <c:v>3</c:v>
                </c:pt>
                <c:pt idx="4">
                  <c:v>4</c:v>
                </c:pt>
                <c:pt idx="5">
                  <c:v>5</c:v>
                </c:pt>
                <c:pt idx="6">
                  <c:v>blank</c:v>
                </c:pt>
              </c:strCache>
            </c:strRef>
          </c:cat>
          <c:val>
            <c:numRef>
              <c:f>'Before&amp;After'!$N$28:$T$28</c:f>
              <c:numCache>
                <c:formatCode>0%</c:formatCode>
                <c:ptCount val="7"/>
                <c:pt idx="0">
                  <c:v>9.0909090909090905E-3</c:v>
                </c:pt>
                <c:pt idx="1">
                  <c:v>3.6363636363636362E-2</c:v>
                </c:pt>
                <c:pt idx="2">
                  <c:v>3.6363636363636362E-2</c:v>
                </c:pt>
                <c:pt idx="3">
                  <c:v>0.27272727272727271</c:v>
                </c:pt>
                <c:pt idx="4">
                  <c:v>0.42727272727272725</c:v>
                </c:pt>
                <c:pt idx="5">
                  <c:v>0.21818181818181817</c:v>
                </c:pt>
                <c:pt idx="6">
                  <c:v>0</c:v>
                </c:pt>
              </c:numCache>
            </c:numRef>
          </c:val>
          <c:smooth val="0"/>
          <c:extLst>
            <c:ext xmlns:c16="http://schemas.microsoft.com/office/drawing/2014/chart" uri="{C3380CC4-5D6E-409C-BE32-E72D297353CC}">
              <c16:uniqueId val="{00000001-612A-419C-A577-A398EEDB4EA5}"/>
            </c:ext>
          </c:extLst>
        </c:ser>
        <c:dLbls>
          <c:showLegendKey val="0"/>
          <c:showVal val="0"/>
          <c:showCatName val="0"/>
          <c:showSerName val="0"/>
          <c:showPercent val="0"/>
          <c:showBubbleSize val="0"/>
        </c:dLbls>
        <c:marker val="1"/>
        <c:smooth val="0"/>
        <c:axId val="698211423"/>
        <c:axId val="1"/>
      </c:lineChart>
      <c:catAx>
        <c:axId val="698211423"/>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GB"/>
                  <a:t>Response</a:t>
                </a:r>
              </a:p>
            </c:rich>
          </c:tx>
          <c:layout>
            <c:manualLayout>
              <c:xMode val="edge"/>
              <c:yMode val="edge"/>
              <c:x val="0.40084468180326505"/>
              <c:y val="0.88186804912655659"/>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ysDash"/>
            </a:ln>
          </c:spPr>
        </c:majorGridlines>
        <c:title>
          <c:tx>
            <c:rich>
              <a:bodyPr/>
              <a:lstStyle/>
              <a:p>
                <a:pPr>
                  <a:defRPr sz="800" b="1" i="0" u="none" strike="noStrike" baseline="0">
                    <a:solidFill>
                      <a:srgbClr val="000000"/>
                    </a:solidFill>
                    <a:latin typeface="Arial"/>
                    <a:ea typeface="Arial"/>
                    <a:cs typeface="Arial"/>
                  </a:defRPr>
                </a:pPr>
                <a:r>
                  <a:rPr lang="en-GB"/>
                  <a:t>Percent of Students</a:t>
                </a:r>
              </a:p>
            </c:rich>
          </c:tx>
          <c:layout>
            <c:manualLayout>
              <c:xMode val="edge"/>
              <c:yMode val="edge"/>
              <c:x val="3.4675145484711505E-2"/>
              <c:y val="0.40701602267379533"/>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698211423"/>
        <c:crosses val="autoZero"/>
        <c:crossBetween val="midCat"/>
      </c:valAx>
      <c:spPr>
        <a:solidFill>
          <a:srgbClr val="C0C0C0"/>
        </a:solidFill>
        <a:ln w="3175">
          <a:solidFill>
            <a:srgbClr val="000000"/>
          </a:solidFill>
          <a:prstDash val="solid"/>
        </a:ln>
      </c:spPr>
    </c:plotArea>
    <c:legend>
      <c:legendPos val="r"/>
      <c:layout>
        <c:manualLayout>
          <c:xMode val="edge"/>
          <c:yMode val="edge"/>
          <c:x val="0.80723738688408386"/>
          <c:y val="0.47047551007992472"/>
          <c:w val="0.17198872160416909"/>
          <c:h val="0.16411936398136909"/>
        </c:manualLayout>
      </c:layout>
      <c:overlay val="0"/>
      <c:spPr>
        <a:solidFill>
          <a:srgbClr val="FFFFFF"/>
        </a:solidFill>
        <a:ln w="3175">
          <a:solidFill>
            <a:srgbClr val="000000"/>
          </a:solidFill>
          <a:prstDash val="solid"/>
        </a:ln>
      </c:spPr>
      <c:txPr>
        <a:bodyPr/>
        <a:lstStyle/>
        <a:p>
          <a:pPr>
            <a:defRPr sz="735"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&amp;C
</c:oddHeader>
      <c:oddFooter>&amp;CFall 1995
</c:oddFooter>
    </c:headerFooter>
    <c:pageMargins b="1" l="0.75" r="0.75" t="1" header="0.5" footer="0.5"/>
    <c:pageSetup orientation="landscape" horizontalDpi="300" verticalDpi="300"/>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4</xdr:col>
      <xdr:colOff>361950</xdr:colOff>
      <xdr:row>3</xdr:row>
      <xdr:rowOff>139700</xdr:rowOff>
    </xdr:to>
    <xdr:pic>
      <xdr:nvPicPr>
        <xdr:cNvPr id="1027" name="Picture 3">
          <a:extLst>
            <a:ext uri="{FF2B5EF4-FFF2-40B4-BE49-F238E27FC236}">
              <a16:creationId xmlns:a16="http://schemas.microsoft.com/office/drawing/2014/main" id="{EE3DEFC0-D2C6-498B-A70A-29872C708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17500"/>
          <a:ext cx="971550" cy="2984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pic>
    <xdr:clientData/>
  </xdr:twoCellAnchor>
  <xdr:twoCellAnchor editAs="oneCell">
    <xdr:from>
      <xdr:col>3</xdr:col>
      <xdr:colOff>0</xdr:colOff>
      <xdr:row>5</xdr:row>
      <xdr:rowOff>0</xdr:rowOff>
    </xdr:from>
    <xdr:to>
      <xdr:col>4</xdr:col>
      <xdr:colOff>419100</xdr:colOff>
      <xdr:row>6</xdr:row>
      <xdr:rowOff>82550</xdr:rowOff>
    </xdr:to>
    <xdr:pic>
      <xdr:nvPicPr>
        <xdr:cNvPr id="1028" name="Picture 4">
          <a:extLst>
            <a:ext uri="{FF2B5EF4-FFF2-40B4-BE49-F238E27FC236}">
              <a16:creationId xmlns:a16="http://schemas.microsoft.com/office/drawing/2014/main" id="{269B9E38-7D7F-49DC-8E06-5E0F64D211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3750"/>
          <a:ext cx="1028700" cy="2413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438150</xdr:colOff>
          <xdr:row>7</xdr:row>
          <xdr:rowOff>120650</xdr:rowOff>
        </xdr:from>
        <xdr:to>
          <xdr:col>2</xdr:col>
          <xdr:colOff>12700</xdr:colOff>
          <xdr:row>10</xdr:row>
          <xdr:rowOff>82550</xdr:rowOff>
        </xdr:to>
        <xdr:sp macro="" textlink="">
          <xdr:nvSpPr>
            <xdr:cNvPr id="1029" name="Button 5" hidden="1">
              <a:extLst>
                <a:ext uri="{63B3BB69-23CF-44E3-9099-C40C66FF867C}">
                  <a14:compatExt spid="_x0000_s1029"/>
                </a:ext>
                <a:ext uri="{FF2B5EF4-FFF2-40B4-BE49-F238E27FC236}">
                  <a16:creationId xmlns:a16="http://schemas.microsoft.com/office/drawing/2014/main" id="{6C141E1F-B56E-4CD7-9D22-7088FC071E0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32004" rIns="36576" bIns="32004" anchor="ctr" upright="1"/>
            <a:lstStyle/>
            <a:p>
              <a:pPr algn="ctr" rtl="0">
                <a:defRPr sz="1000"/>
              </a:pPr>
              <a:r>
                <a:rPr lang="en-GB" sz="1000" b="1" i="0" u="none" strike="noStrike" baseline="0">
                  <a:solidFill>
                    <a:srgbClr val="FF0000"/>
                  </a:solidFill>
                  <a:latin typeface="Arial"/>
                  <a:cs typeface="Arial"/>
                </a:rPr>
                <a:t>Show/Hide</a:t>
              </a:r>
            </a:p>
            <a:p>
              <a:pPr algn="ctr" rtl="0">
                <a:defRPr sz="1000"/>
              </a:pPr>
              <a:r>
                <a:rPr lang="en-GB" sz="1000" b="1" i="0" u="none" strike="noStrike" baseline="0">
                  <a:solidFill>
                    <a:srgbClr val="FF0000"/>
                  </a:solidFill>
                  <a:latin typeface="Arial"/>
                  <a:cs typeface="Arial"/>
                </a:rPr>
                <a:t>Notes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11</xdr:col>
      <xdr:colOff>285750</xdr:colOff>
      <xdr:row>17</xdr:row>
      <xdr:rowOff>76200</xdr:rowOff>
    </xdr:to>
    <xdr:sp macro="" textlink="">
      <xdr:nvSpPr>
        <xdr:cNvPr id="2049" name="Text 1">
          <a:extLst>
            <a:ext uri="{FF2B5EF4-FFF2-40B4-BE49-F238E27FC236}">
              <a16:creationId xmlns:a16="http://schemas.microsoft.com/office/drawing/2014/main" id="{530E47CF-6B0E-424E-9E13-8D880F2293EB}"/>
            </a:ext>
          </a:extLst>
        </xdr:cNvPr>
        <xdr:cNvSpPr txBox="1">
          <a:spLocks noChangeArrowheads="1"/>
        </xdr:cNvSpPr>
      </xdr:nvSpPr>
      <xdr:spPr bwMode="auto">
        <a:xfrm>
          <a:off x="38100" y="0"/>
          <a:ext cx="6953250" cy="2774950"/>
        </a:xfrm>
        <a:prstGeom prst="rect">
          <a:avLst/>
        </a:prstGeom>
        <a:solidFill>
          <a:srgbClr xmlns:mc="http://schemas.openxmlformats.org/markup-compatibility/2006" xmlns:a14="http://schemas.microsoft.com/office/drawing/2010/main" val="C0C0FF" mc:Ignorable="a14" a14:legacySpreadsheetColorIndex="31"/>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MS Sans Serif"/>
          </a:endParaRPr>
        </a:p>
        <a:p>
          <a:pPr algn="l" rtl="0">
            <a:defRPr sz="1000"/>
          </a:pPr>
          <a:r>
            <a:rPr lang="en-GB" sz="1200" b="1" i="0" u="sng" strike="noStrike" baseline="0">
              <a:solidFill>
                <a:srgbClr val="000000"/>
              </a:solidFill>
              <a:latin typeface="MS Sans Serif"/>
            </a:rPr>
            <a:t>Introduction</a:t>
          </a: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The sheets in this workbook highlight the response patterns to an end-of-semester survey administered in the Fall semester 1995 to three Chem30A (first-semester general chemistry) lectures at San Jose State University in San Jose California.  The professor has been an active participant in the New Traditions (NT) Curriculum reform initiative.</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Since the sample sizes are relatively small we avoid sweeping generalizations and statistical analyses.  Nevertheless, the response patterns provide a valuable source of feedback as to the overall impact of the NT innovations, implementation problems, as well as the use of survey instruments for assessment purposes.</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Each sheet has a set of notes which highlights some of the more interesting contrasts seen in the charts.  It may be useful (although not necessary) to have a copy of the survey in hand as one peruses the charts.  Electronic copies are available at the FLAG website.</a:t>
          </a:r>
        </a:p>
        <a:p>
          <a:pPr algn="l" rtl="0">
            <a:defRPr sz="1000"/>
          </a:pPr>
          <a:endParaRPr lang="en-GB" sz="1000" b="1" i="0" u="none" strike="noStrike" baseline="0">
            <a:solidFill>
              <a:srgbClr val="000000"/>
            </a:solidFill>
            <a:latin typeface="MS Sans Serif"/>
          </a:endParaRPr>
        </a:p>
      </xdr:txBody>
    </xdr:sp>
    <xdr:clientData/>
  </xdr:twoCellAnchor>
  <xdr:twoCellAnchor>
    <xdr:from>
      <xdr:col>0</xdr:col>
      <xdr:colOff>50800</xdr:colOff>
      <xdr:row>17</xdr:row>
      <xdr:rowOff>95250</xdr:rowOff>
    </xdr:from>
    <xdr:to>
      <xdr:col>11</xdr:col>
      <xdr:colOff>361950</xdr:colOff>
      <xdr:row>47</xdr:row>
      <xdr:rowOff>76200</xdr:rowOff>
    </xdr:to>
    <xdr:sp macro="" textlink="">
      <xdr:nvSpPr>
        <xdr:cNvPr id="2050" name="Text 2">
          <a:extLst>
            <a:ext uri="{FF2B5EF4-FFF2-40B4-BE49-F238E27FC236}">
              <a16:creationId xmlns:a16="http://schemas.microsoft.com/office/drawing/2014/main" id="{84AB7931-AFD8-47E4-866A-378AF85C34AE}"/>
            </a:ext>
          </a:extLst>
        </xdr:cNvPr>
        <xdr:cNvSpPr txBox="1">
          <a:spLocks noChangeArrowheads="1"/>
        </xdr:cNvSpPr>
      </xdr:nvSpPr>
      <xdr:spPr bwMode="auto">
        <a:xfrm>
          <a:off x="50800" y="2794000"/>
          <a:ext cx="7016750" cy="474345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45720" tIns="36576" rIns="0" bIns="0" anchor="t" upright="1"/>
        <a:lstStyle/>
        <a:p>
          <a:pPr algn="l" rtl="0">
            <a:defRPr sz="1000"/>
          </a:pPr>
          <a:r>
            <a:rPr lang="en-GB" sz="1200" b="1" i="0" u="sng" strike="noStrike" baseline="0">
              <a:solidFill>
                <a:srgbClr val="000000"/>
              </a:solidFill>
              <a:latin typeface="MS Sans Serif"/>
            </a:rPr>
            <a:t>Generalities about the Analysis/Interpretation of findings</a:t>
          </a: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 </a:t>
          </a:r>
        </a:p>
        <a:p>
          <a:pPr algn="l" rtl="0">
            <a:defRPr sz="1000"/>
          </a:pPr>
          <a:r>
            <a:rPr lang="en-GB" sz="1000" b="1" i="0" u="none" strike="noStrike" baseline="0">
              <a:solidFill>
                <a:srgbClr val="000000"/>
              </a:solidFill>
              <a:latin typeface="MS Sans Serif"/>
            </a:rPr>
            <a:t>Perhaps, the most basic point to realize regarding the analysis of Likert scale type survey questions (i.e., questions of the type strongly disagree=1,.., strongly agree=6) is that the scale (in this case from 1 to 6) is ordinal as opposed to metric. This means that a response of 5 can be assumed to be higher than a response of 3, but not necessarily 5/3(=1.667) times higher than 3.  Moreover, there is absolutely no guarantee that the contrast, say, between 5 and 3, for one respondent is the same as that for another respondent. On the contrary, one can be virtually certain that each respondent has their own "scale." Nevertheless, one may observe interesting contrasts between different groups of respondents. For example, one may find (as we did) that male freshman chemistry students tend to report higher confidence levels (higher percentages of 5s and 6s) than female students at the beginning of the semester, but that this gap (not surprisingly) narrows by the end of the semester. In general, questions framed in a scale "invariant" way (i.e., how many responded at the top, middle, or bottom of their scales) will be both more reliably answered, and the answer more easily interpreted. Thus, although "statistically significant" differences in average responses may be a useful method to "flag" potentially interesting contrasts the interpretation of such differences will be of one sort in the case that a large proportion of one group responds at the top of their scale(s) (in comparison to the other group), and of quite another sort in the case where most of the responses of both groups are near the middle of their scale(s). [The implications for statistical analyses are also far reaching. In particular, it means that the more appropriate statistical methods (i.e., the methods with p-values that are more reliably and easily interpreted) are those which are "invariant" under arbitrary monotone changes of scale. Thus, rank tests, permutation tests, chi-square tests, and log-linear methods are more appropriate than "normal theory" tests such as t-tests or Analysis of Variance (ANOVA) methods.] </a:t>
          </a:r>
          <a:endParaRPr lang="en-GB" sz="1000" b="0" i="0" u="none" strike="noStrike" baseline="0">
            <a:solidFill>
              <a:srgbClr val="000000"/>
            </a:solidFill>
            <a:latin typeface="MS Sans Serif"/>
          </a:endParaRPr>
        </a:p>
        <a:p>
          <a:pPr algn="l" rtl="0">
            <a:defRPr sz="1000"/>
          </a:pPr>
          <a:endParaRPr lang="en-GB" sz="1000" b="0"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Finally, we remark that we have seen t-tests perform quite poorly when the distribution of responses is weighted heavily at one (or both) end(s) of the scale.  In such cases, the t-test may indicate highly significant differences when closer inspection of the full distribution of responses reveals fairly insignificant differences.  These sorts of "bad" distributions for Normal theory tests are quite common for certain Likert scale questions and even course or exam grade distributions.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12700</xdr:colOff>
      <xdr:row>39</xdr:row>
      <xdr:rowOff>44450</xdr:rowOff>
    </xdr:from>
    <xdr:to>
      <xdr:col>11</xdr:col>
      <xdr:colOff>387350</xdr:colOff>
      <xdr:row>58</xdr:row>
      <xdr:rowOff>19050</xdr:rowOff>
    </xdr:to>
    <xdr:graphicFrame macro="">
      <xdr:nvGraphicFramePr>
        <xdr:cNvPr id="3076" name="Chart 4">
          <a:extLst>
            <a:ext uri="{FF2B5EF4-FFF2-40B4-BE49-F238E27FC236}">
              <a16:creationId xmlns:a16="http://schemas.microsoft.com/office/drawing/2014/main" id="{F121D481-FBC3-4745-B272-977AF3780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38100</xdr:colOff>
      <xdr:row>0</xdr:row>
      <xdr:rowOff>19050</xdr:rowOff>
    </xdr:from>
    <xdr:to>
      <xdr:col>23</xdr:col>
      <xdr:colOff>361950</xdr:colOff>
      <xdr:row>19</xdr:row>
      <xdr:rowOff>6350</xdr:rowOff>
    </xdr:to>
    <xdr:graphicFrame macro="">
      <xdr:nvGraphicFramePr>
        <xdr:cNvPr id="3075" name="Chart 3">
          <a:extLst>
            <a:ext uri="{FF2B5EF4-FFF2-40B4-BE49-F238E27FC236}">
              <a16:creationId xmlns:a16="http://schemas.microsoft.com/office/drawing/2014/main" id="{3F49AD61-2348-4E8B-8BEA-29A8F682D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12700</xdr:colOff>
      <xdr:row>0</xdr:row>
      <xdr:rowOff>0</xdr:rowOff>
    </xdr:from>
    <xdr:to>
      <xdr:col>12</xdr:col>
      <xdr:colOff>0</xdr:colOff>
      <xdr:row>18</xdr:row>
      <xdr:rowOff>139700</xdr:rowOff>
    </xdr:to>
    <xdr:graphicFrame macro="">
      <xdr:nvGraphicFramePr>
        <xdr:cNvPr id="3077" name="Chart 5">
          <a:extLst>
            <a:ext uri="{FF2B5EF4-FFF2-40B4-BE49-F238E27FC236}">
              <a16:creationId xmlns:a16="http://schemas.microsoft.com/office/drawing/2014/main" id="{050538C1-B7C0-4BC9-AA3A-749AA2213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12700</xdr:colOff>
      <xdr:row>19</xdr:row>
      <xdr:rowOff>38100</xdr:rowOff>
    </xdr:from>
    <xdr:to>
      <xdr:col>23</xdr:col>
      <xdr:colOff>387350</xdr:colOff>
      <xdr:row>38</xdr:row>
      <xdr:rowOff>114300</xdr:rowOff>
    </xdr:to>
    <xdr:graphicFrame macro="">
      <xdr:nvGraphicFramePr>
        <xdr:cNvPr id="3078" name="Chart 6">
          <a:extLst>
            <a:ext uri="{FF2B5EF4-FFF2-40B4-BE49-F238E27FC236}">
              <a16:creationId xmlns:a16="http://schemas.microsoft.com/office/drawing/2014/main" id="{5C4DABF2-9EB6-4F07-A254-C8AAE9861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19</xdr:row>
      <xdr:rowOff>38100</xdr:rowOff>
    </xdr:from>
    <xdr:to>
      <xdr:col>11</xdr:col>
      <xdr:colOff>387350</xdr:colOff>
      <xdr:row>38</xdr:row>
      <xdr:rowOff>114300</xdr:rowOff>
    </xdr:to>
    <xdr:graphicFrame macro="">
      <xdr:nvGraphicFramePr>
        <xdr:cNvPr id="3079" name="Chart 7">
          <a:extLst>
            <a:ext uri="{FF2B5EF4-FFF2-40B4-BE49-F238E27FC236}">
              <a16:creationId xmlns:a16="http://schemas.microsoft.com/office/drawing/2014/main" id="{4EE7D200-DC2F-4416-98DB-166FB68BA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18</xdr:row>
      <xdr:rowOff>63500</xdr:rowOff>
    </xdr:from>
    <xdr:to>
      <xdr:col>18</xdr:col>
      <xdr:colOff>209550</xdr:colOff>
      <xdr:row>33</xdr:row>
      <xdr:rowOff>57150</xdr:rowOff>
    </xdr:to>
    <xdr:sp macro="" textlink="">
      <xdr:nvSpPr>
        <xdr:cNvPr id="3081" name="Text 9">
          <a:extLst>
            <a:ext uri="{FF2B5EF4-FFF2-40B4-BE49-F238E27FC236}">
              <a16:creationId xmlns:a16="http://schemas.microsoft.com/office/drawing/2014/main" id="{55FDFC21-C2DC-478C-9C10-3445DE5DDF39}"/>
            </a:ext>
          </a:extLst>
        </xdr:cNvPr>
        <xdr:cNvSpPr txBox="1">
          <a:spLocks noChangeArrowheads="1"/>
        </xdr:cNvSpPr>
      </xdr:nvSpPr>
      <xdr:spPr bwMode="auto">
        <a:xfrm>
          <a:off x="19050" y="3048000"/>
          <a:ext cx="7251700" cy="24765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NOTES: 1=negative impact; 4=neutral impact; 7=positive impact</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[Use the vertical scrollbar on the right to scroll down to see all the charts.  Use the buttons above to show or hide these notes.]</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This series of questions queries students about the relative impact of various course components on their </a:t>
          </a:r>
          <a:r>
            <a:rPr lang="en-GB" sz="1000" b="1" i="1" u="sng" strike="noStrike" baseline="0">
              <a:solidFill>
                <a:srgbClr val="000000"/>
              </a:solidFill>
              <a:latin typeface="MS Sans Serif"/>
            </a:rPr>
            <a:t>learning</a:t>
          </a:r>
          <a:r>
            <a:rPr lang="en-GB" sz="1000" b="1" i="1" u="none" strike="noStrike" baseline="0">
              <a:solidFill>
                <a:srgbClr val="000000"/>
              </a:solidFill>
              <a:latin typeface="MS Sans Serif"/>
            </a:rPr>
            <a:t>of chemistry overall in this course</a:t>
          </a:r>
          <a:r>
            <a:rPr lang="en-GB" sz="1000" b="1" i="0" u="none" strike="noStrike" baseline="0">
              <a:solidFill>
                <a:srgbClr val="000000"/>
              </a:solidFill>
              <a:latin typeface="MS Sans Serif"/>
            </a:rPr>
            <a:t>; their </a:t>
          </a:r>
          <a:r>
            <a:rPr lang="en-GB" sz="1000" b="1" i="1" u="sng" strike="noStrike" baseline="0">
              <a:solidFill>
                <a:srgbClr val="000000"/>
              </a:solidFill>
              <a:latin typeface="MS Sans Serif"/>
            </a:rPr>
            <a:t>confidence</a:t>
          </a:r>
          <a:r>
            <a:rPr lang="en-GB" sz="1000" b="1" i="1" u="none" strike="noStrike" baseline="0">
              <a:solidFill>
                <a:srgbClr val="000000"/>
              </a:solidFill>
              <a:latin typeface="MS Sans Serif"/>
            </a:rPr>
            <a:t>in their ability to understand and do chemistry</a:t>
          </a:r>
          <a:r>
            <a:rPr lang="en-GB" sz="1000" b="1" i="0" u="none" strike="noStrike" baseline="0">
              <a:solidFill>
                <a:srgbClr val="000000"/>
              </a:solidFill>
              <a:latin typeface="MS Sans Serif"/>
            </a:rPr>
            <a:t>; and their </a:t>
          </a:r>
          <a:r>
            <a:rPr lang="en-GB" sz="1000" b="1" i="1" u="sng" strike="noStrike" baseline="0">
              <a:solidFill>
                <a:srgbClr val="000000"/>
              </a:solidFill>
              <a:latin typeface="MS Sans Serif"/>
            </a:rPr>
            <a:t>enthusiasm</a:t>
          </a:r>
          <a:r>
            <a:rPr lang="en-GB" sz="1000" b="1" i="1" u="none" strike="noStrike" baseline="0">
              <a:solidFill>
                <a:srgbClr val="000000"/>
              </a:solidFill>
              <a:latin typeface="MS Sans Serif"/>
            </a:rPr>
            <a:t>for learning chemistry</a:t>
          </a:r>
          <a:r>
            <a:rPr lang="en-GB" sz="1000" b="1" i="0" u="none" strike="noStrike" baseline="0">
              <a:solidFill>
                <a:srgbClr val="000000"/>
              </a:solidFill>
              <a:latin typeface="MS Sans Serif"/>
            </a:rPr>
            <a:t>. </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For most of the students in this course it appears that the lecture and the professor had the greatest positve impact on students compared to the other factors considered.</a:t>
          </a:r>
        </a:p>
        <a:p>
          <a:pPr algn="l" rtl="0">
            <a:defRPr sz="1000"/>
          </a:pP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xdr:txBody>
    </xdr:sp>
    <xdr:clientData/>
  </xdr:twoCellAnchor>
  <mc:AlternateContent xmlns:mc="http://schemas.openxmlformats.org/markup-compatibility/2006">
    <mc:Choice xmlns:a14="http://schemas.microsoft.com/office/drawing/2010/main" Requires="a14">
      <xdr:twoCellAnchor>
        <xdr:from>
          <xdr:col>9</xdr:col>
          <xdr:colOff>120650</xdr:colOff>
          <xdr:row>15</xdr:row>
          <xdr:rowOff>133350</xdr:rowOff>
        </xdr:from>
        <xdr:to>
          <xdr:col>12</xdr:col>
          <xdr:colOff>12700</xdr:colOff>
          <xdr:row>19</xdr:row>
          <xdr:rowOff>0</xdr:rowOff>
        </xdr:to>
        <xdr:sp macro="" textlink="">
          <xdr:nvSpPr>
            <xdr:cNvPr id="3083" name="Button 11" hidden="1">
              <a:extLst>
                <a:ext uri="{63B3BB69-23CF-44E3-9099-C40C66FF867C}">
                  <a14:compatExt spid="_x0000_s3083"/>
                </a:ext>
                <a:ext uri="{FF2B5EF4-FFF2-40B4-BE49-F238E27FC236}">
                  <a16:creationId xmlns:a16="http://schemas.microsoft.com/office/drawing/2014/main" id="{9B344A7A-38A9-41C5-81FD-6CD145CFA2B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45720" tIns="36576" rIns="45720" bIns="36576" anchor="ctr" upright="1"/>
            <a:lstStyle/>
            <a:p>
              <a:pPr algn="ctr" rtl="0">
                <a:defRPr sz="1000"/>
              </a:pPr>
              <a:r>
                <a:rPr lang="en-GB" sz="1200" b="1" i="0" u="none" strike="noStrike" baseline="0">
                  <a:solidFill>
                    <a:srgbClr val="339933"/>
                  </a:solidFill>
                  <a:latin typeface="Arial"/>
                  <a:cs typeface="Arial"/>
                </a:rPr>
                <a:t>Show</a:t>
              </a:r>
              <a:r>
                <a:rPr lang="en-GB" sz="1200" b="1" i="0" u="none" strike="noStrike" baseline="0">
                  <a:solidFill>
                    <a:srgbClr val="000000"/>
                  </a:solidFill>
                  <a:latin typeface="Arial"/>
                  <a:cs typeface="Arial"/>
                </a:rPr>
                <a:t>/</a:t>
              </a:r>
              <a:r>
                <a:rPr lang="en-GB" sz="1200" b="1" i="0" u="none" strike="noStrike" baseline="0">
                  <a:solidFill>
                    <a:srgbClr val="FF0000"/>
                  </a:solidFill>
                  <a:latin typeface="Arial"/>
                  <a:cs typeface="Arial"/>
                </a:rPr>
                <a:t>Hide</a:t>
              </a:r>
            </a:p>
            <a:p>
              <a:pPr algn="ctr" rtl="0">
                <a:defRPr sz="1000"/>
              </a:pPr>
              <a:r>
                <a:rPr lang="en-GB" sz="1200" b="1" i="0" u="none" strike="noStrike" baseline="0">
                  <a:solidFill>
                    <a:srgbClr val="000000"/>
                  </a:solidFill>
                  <a:latin typeface="Arial"/>
                  <a:cs typeface="Arial"/>
                </a:rPr>
                <a:t>Notes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50800</xdr:rowOff>
    </xdr:from>
    <xdr:to>
      <xdr:col>10</xdr:col>
      <xdr:colOff>571500</xdr:colOff>
      <xdr:row>18</xdr:row>
      <xdr:rowOff>133350</xdr:rowOff>
    </xdr:to>
    <xdr:graphicFrame macro="">
      <xdr:nvGraphicFramePr>
        <xdr:cNvPr id="4098" name="Chart 2">
          <a:extLst>
            <a:ext uri="{FF2B5EF4-FFF2-40B4-BE49-F238E27FC236}">
              <a16:creationId xmlns:a16="http://schemas.microsoft.com/office/drawing/2014/main" id="{54FEA67F-4292-42D0-B3E1-043DBAC2F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590550</xdr:colOff>
      <xdr:row>0</xdr:row>
      <xdr:rowOff>38100</xdr:rowOff>
    </xdr:from>
    <xdr:to>
      <xdr:col>21</xdr:col>
      <xdr:colOff>590550</xdr:colOff>
      <xdr:row>18</xdr:row>
      <xdr:rowOff>120650</xdr:rowOff>
    </xdr:to>
    <xdr:graphicFrame macro="">
      <xdr:nvGraphicFramePr>
        <xdr:cNvPr id="4099" name="Chart 3">
          <a:extLst>
            <a:ext uri="{FF2B5EF4-FFF2-40B4-BE49-F238E27FC236}">
              <a16:creationId xmlns:a16="http://schemas.microsoft.com/office/drawing/2014/main" id="{478A51E2-AC02-468D-A17C-D4952B94B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19050</xdr:rowOff>
    </xdr:from>
    <xdr:to>
      <xdr:col>10</xdr:col>
      <xdr:colOff>565150</xdr:colOff>
      <xdr:row>36</xdr:row>
      <xdr:rowOff>139700</xdr:rowOff>
    </xdr:to>
    <xdr:graphicFrame macro="">
      <xdr:nvGraphicFramePr>
        <xdr:cNvPr id="4100" name="Chart 4">
          <a:extLst>
            <a:ext uri="{FF2B5EF4-FFF2-40B4-BE49-F238E27FC236}">
              <a16:creationId xmlns:a16="http://schemas.microsoft.com/office/drawing/2014/main" id="{808B7DB1-6494-473E-9A49-4345827D7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xdr:colOff>
      <xdr:row>19</xdr:row>
      <xdr:rowOff>0</xdr:rowOff>
    </xdr:from>
    <xdr:to>
      <xdr:col>22</xdr:col>
      <xdr:colOff>19050</xdr:colOff>
      <xdr:row>36</xdr:row>
      <xdr:rowOff>101600</xdr:rowOff>
    </xdr:to>
    <xdr:graphicFrame macro="">
      <xdr:nvGraphicFramePr>
        <xdr:cNvPr id="4101" name="Chart 5">
          <a:extLst>
            <a:ext uri="{FF2B5EF4-FFF2-40B4-BE49-F238E27FC236}">
              <a16:creationId xmlns:a16="http://schemas.microsoft.com/office/drawing/2014/main" id="{A6638639-0E88-405A-8FE4-06BC82D82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18</xdr:row>
      <xdr:rowOff>63500</xdr:rowOff>
    </xdr:from>
    <xdr:to>
      <xdr:col>17</xdr:col>
      <xdr:colOff>139700</xdr:colOff>
      <xdr:row>32</xdr:row>
      <xdr:rowOff>101600</xdr:rowOff>
    </xdr:to>
    <xdr:sp macro="" textlink="">
      <xdr:nvSpPr>
        <xdr:cNvPr id="4102" name="Text 6">
          <a:extLst>
            <a:ext uri="{FF2B5EF4-FFF2-40B4-BE49-F238E27FC236}">
              <a16:creationId xmlns:a16="http://schemas.microsoft.com/office/drawing/2014/main" id="{2122DD29-26C2-4F1D-8CF7-AA4AB6E0DCEF}"/>
            </a:ext>
          </a:extLst>
        </xdr:cNvPr>
        <xdr:cNvSpPr txBox="1">
          <a:spLocks noChangeArrowheads="1"/>
        </xdr:cNvSpPr>
      </xdr:nvSpPr>
      <xdr:spPr bwMode="auto">
        <a:xfrm>
          <a:off x="19050" y="3028950"/>
          <a:ext cx="7061200" cy="23622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NOTES: Confidence Before and After are on 6 point scales from 0=low to 5=high so the differences (end-of-semester response minus the pre-survey response) are plotted on a scale from -5 to +5</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[Use the vertical scrollbar on the right to scroll down to see all the charts.  Use the buttons above to show or hide these notes.]</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The reader should note that students were asked on this end-of-semester survey to contrast their confidence and interests before they took the course with that at the time they took the survey.  Thus, the charts compare studnets' perception of this difference at the end of the course.</a:t>
          </a:r>
        </a:p>
        <a:p>
          <a:pPr algn="l" rtl="0">
            <a:defRPr sz="1000"/>
          </a:pPr>
          <a:endParaRPr lang="en-GB" sz="1000" b="1" i="0" u="none" strike="noStrike" baseline="0">
            <a:solidFill>
              <a:srgbClr val="000000"/>
            </a:solidFill>
            <a:latin typeface="MS Sans Serif"/>
          </a:endParaRPr>
        </a:p>
        <a:p>
          <a:pPr algn="l" rtl="0">
            <a:defRPr sz="1000"/>
          </a:pPr>
          <a:r>
            <a:rPr lang="en-GB" sz="1000" b="1" i="0" u="none" strike="noStrike" baseline="0">
              <a:solidFill>
                <a:srgbClr val="000000"/>
              </a:solidFill>
              <a:latin typeface="MS Sans Serif"/>
            </a:rPr>
            <a:t>Each of these charts displays dramatic "before-and-after" contrasts in students' confidence and interests.</a:t>
          </a:r>
        </a:p>
        <a:p>
          <a:pPr algn="l" rtl="0">
            <a:defRPr sz="1000"/>
          </a:pP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a:p>
          <a:pPr algn="l" rtl="0">
            <a:defRPr sz="1000"/>
          </a:pPr>
          <a:endParaRPr lang="en-GB" sz="1000" b="1" i="0" u="none" strike="noStrike" baseline="0">
            <a:solidFill>
              <a:srgbClr val="000000"/>
            </a:solidFill>
            <a:latin typeface="MS Sans Serif"/>
          </a:endParaRPr>
        </a:p>
      </xdr:txBody>
    </xdr:sp>
    <xdr:clientData/>
  </xdr:twoCellAnchor>
  <mc:AlternateContent xmlns:mc="http://schemas.openxmlformats.org/markup-compatibility/2006">
    <mc:Choice xmlns:a14="http://schemas.microsoft.com/office/drawing/2010/main" Requires="a14">
      <xdr:twoCellAnchor>
        <xdr:from>
          <xdr:col>9</xdr:col>
          <xdr:colOff>152400</xdr:colOff>
          <xdr:row>15</xdr:row>
          <xdr:rowOff>120650</xdr:rowOff>
        </xdr:from>
        <xdr:to>
          <xdr:col>11</xdr:col>
          <xdr:colOff>88900</xdr:colOff>
          <xdr:row>19</xdr:row>
          <xdr:rowOff>0</xdr:rowOff>
        </xdr:to>
        <xdr:sp macro="" textlink="">
          <xdr:nvSpPr>
            <xdr:cNvPr id="4103" name="Button 7" hidden="1">
              <a:extLst>
                <a:ext uri="{63B3BB69-23CF-44E3-9099-C40C66FF867C}">
                  <a14:compatExt spid="_x0000_s4103"/>
                </a:ext>
                <a:ext uri="{FF2B5EF4-FFF2-40B4-BE49-F238E27FC236}">
                  <a16:creationId xmlns:a16="http://schemas.microsoft.com/office/drawing/2014/main" id="{D590C2AA-BD89-4672-AD39-3616284F968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45720" tIns="36576" rIns="45720" bIns="36576" anchor="ctr" upright="1"/>
            <a:lstStyle/>
            <a:p>
              <a:pPr algn="ctr" rtl="0">
                <a:defRPr sz="1000"/>
              </a:pPr>
              <a:r>
                <a:rPr lang="en-GB" sz="1200" b="1" i="0" u="none" strike="noStrike" baseline="0">
                  <a:solidFill>
                    <a:srgbClr val="339933"/>
                  </a:solidFill>
                  <a:latin typeface="Arial"/>
                  <a:cs typeface="Arial"/>
                </a:rPr>
                <a:t>Show</a:t>
              </a:r>
              <a:r>
                <a:rPr lang="en-GB" sz="1200" b="1" i="0" u="none" strike="noStrike" baseline="0">
                  <a:solidFill>
                    <a:srgbClr val="000000"/>
                  </a:solidFill>
                  <a:latin typeface="Arial"/>
                  <a:cs typeface="Arial"/>
                </a:rPr>
                <a:t>/</a:t>
              </a:r>
              <a:r>
                <a:rPr lang="en-GB" sz="1200" b="1" i="0" u="none" strike="noStrike" baseline="0">
                  <a:solidFill>
                    <a:srgbClr val="FF0000"/>
                  </a:solidFill>
                  <a:latin typeface="Arial"/>
                  <a:cs typeface="Arial"/>
                </a:rPr>
                <a:t>Hide</a:t>
              </a:r>
            </a:p>
            <a:p>
              <a:pPr algn="ctr" rtl="0">
                <a:defRPr sz="1000"/>
              </a:pPr>
              <a:r>
                <a:rPr lang="en-GB" sz="1200" b="1" i="0" u="none" strike="noStrike" baseline="0">
                  <a:solidFill>
                    <a:srgbClr val="000000"/>
                  </a:solidFill>
                  <a:latin typeface="Arial"/>
                  <a:cs typeface="Arial"/>
                </a:rPr>
                <a:t>Notes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29" r:id="rId3" name="Button 5">
              <controlPr defaultSize="0" print="0" autoFill="0" autoLine="0" autoPict="0" macro="[0]!toggleRI">
                <anchor moveWithCells="1" sizeWithCells="1">
                  <from>
                    <xdr:col>0</xdr:col>
                    <xdr:colOff>438150</xdr:colOff>
                    <xdr:row>7</xdr:row>
                    <xdr:rowOff>120650</xdr:rowOff>
                  </from>
                  <to>
                    <xdr:col>2</xdr:col>
                    <xdr:colOff>12700</xdr:colOff>
                    <xdr:row>10</xdr:row>
                    <xdr:rowOff>82550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5" x14ac:dyDescent="0.25"/>
  <sheetData/>
  <pageMargins left="0.75" right="0.75" top="1" bottom="1" header="0.5" footer="0.5"/>
  <headerFooter alignWithMargins="0">
    <oddHeader>&amp;A</oddHeader>
    <oddFooter>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B61"/>
  <sheetViews>
    <sheetView workbookViewId="0"/>
  </sheetViews>
  <sheetFormatPr defaultRowHeight="12.5" x14ac:dyDescent="0.25"/>
  <cols>
    <col min="1" max="1" width="6" customWidth="1"/>
    <col min="2" max="2" width="12" customWidth="1"/>
    <col min="3" max="3" width="3.7265625" customWidth="1"/>
    <col min="4" max="4" width="4.26953125" customWidth="1"/>
    <col min="5" max="5" width="3.7265625" customWidth="1"/>
    <col min="6" max="10" width="4.7265625" customWidth="1"/>
    <col min="11" max="11" width="5.7265625" customWidth="1"/>
    <col min="12" max="12" width="5.7265625" style="14" customWidth="1"/>
    <col min="14" max="14" width="9.453125" customWidth="1"/>
    <col min="15" max="15" width="4.26953125" customWidth="1"/>
    <col min="16" max="16" width="4.7265625" customWidth="1"/>
    <col min="17" max="17" width="4.26953125" customWidth="1"/>
    <col min="18" max="18" width="4.81640625" customWidth="1"/>
    <col min="19" max="21" width="4.7265625" customWidth="1"/>
    <col min="22" max="22" width="5.26953125" customWidth="1"/>
    <col min="23" max="23" width="6" customWidth="1"/>
    <col min="24" max="24" width="5.7265625" customWidth="1"/>
  </cols>
  <sheetData>
    <row r="1" spans="2:28" x14ac:dyDescent="0.25">
      <c r="L1"/>
    </row>
    <row r="2" spans="2:28" ht="13.5" thickBot="1" x14ac:dyDescent="0.35">
      <c r="L2"/>
      <c r="N2" s="12" t="s">
        <v>0</v>
      </c>
      <c r="O2" s="12"/>
      <c r="P2" s="12"/>
      <c r="Q2" s="12"/>
      <c r="R2" s="12"/>
      <c r="S2" s="12"/>
      <c r="T2" s="12"/>
      <c r="U2" s="12"/>
      <c r="V2" s="12"/>
      <c r="W2" s="12"/>
      <c r="AB2" t="s">
        <v>1</v>
      </c>
    </row>
    <row r="3" spans="2:28" ht="14" thickTop="1" thickBot="1" x14ac:dyDescent="0.35">
      <c r="B3" s="12" t="s">
        <v>2</v>
      </c>
      <c r="C3" s="12"/>
      <c r="D3" s="12"/>
      <c r="E3" s="12"/>
      <c r="F3" s="12"/>
      <c r="G3" s="12"/>
      <c r="H3" s="12"/>
      <c r="I3" s="12"/>
      <c r="J3" s="12"/>
      <c r="K3" s="12"/>
      <c r="L3"/>
      <c r="N3" s="1" t="s">
        <v>3</v>
      </c>
      <c r="O3" s="2" t="s">
        <v>4</v>
      </c>
      <c r="P3" s="2" t="s">
        <v>5</v>
      </c>
      <c r="Q3" s="2" t="s">
        <v>6</v>
      </c>
      <c r="R3" s="2" t="s">
        <v>7</v>
      </c>
      <c r="S3" s="2" t="s">
        <v>8</v>
      </c>
      <c r="T3" s="2" t="s">
        <v>9</v>
      </c>
      <c r="U3" s="2" t="s">
        <v>10</v>
      </c>
      <c r="V3" s="2" t="s">
        <v>11</v>
      </c>
      <c r="W3" s="3" t="s">
        <v>12</v>
      </c>
    </row>
    <row r="4" spans="2:28" ht="13" x14ac:dyDescent="0.3">
      <c r="B4" s="17" t="s">
        <v>3</v>
      </c>
      <c r="C4" s="18" t="s">
        <v>4</v>
      </c>
      <c r="D4" s="18" t="s">
        <v>5</v>
      </c>
      <c r="E4" s="18" t="s">
        <v>6</v>
      </c>
      <c r="F4" s="18" t="s">
        <v>7</v>
      </c>
      <c r="G4" s="18" t="s">
        <v>8</v>
      </c>
      <c r="H4" s="18" t="s">
        <v>9</v>
      </c>
      <c r="I4" s="18" t="s">
        <v>10</v>
      </c>
      <c r="J4" s="18" t="s">
        <v>11</v>
      </c>
      <c r="K4" s="18" t="s">
        <v>12</v>
      </c>
      <c r="L4" s="19" t="s">
        <v>13</v>
      </c>
      <c r="N4" s="4" t="s">
        <v>14</v>
      </c>
      <c r="O4" s="5">
        <v>0</v>
      </c>
      <c r="P4" s="6">
        <v>0</v>
      </c>
      <c r="Q4" s="6">
        <v>2</v>
      </c>
      <c r="R4" s="6">
        <v>3</v>
      </c>
      <c r="S4" s="6">
        <v>17</v>
      </c>
      <c r="T4" s="6">
        <v>29</v>
      </c>
      <c r="U4" s="6">
        <v>26</v>
      </c>
      <c r="V4" s="6">
        <v>33</v>
      </c>
      <c r="W4" s="7">
        <v>0</v>
      </c>
      <c r="X4">
        <f t="shared" ref="X4:X6" si="0">SUM(O4:W4)</f>
        <v>110</v>
      </c>
    </row>
    <row r="5" spans="2:28" ht="13" x14ac:dyDescent="0.3">
      <c r="B5" s="20" t="s">
        <v>15</v>
      </c>
      <c r="C5" s="15">
        <v>0</v>
      </c>
      <c r="D5" s="15">
        <v>0</v>
      </c>
      <c r="E5" s="15">
        <v>2</v>
      </c>
      <c r="F5" s="15">
        <v>6</v>
      </c>
      <c r="G5" s="15">
        <v>14</v>
      </c>
      <c r="H5" s="15">
        <v>38</v>
      </c>
      <c r="I5" s="15">
        <v>24</v>
      </c>
      <c r="J5" s="15">
        <v>26</v>
      </c>
      <c r="K5" s="15">
        <v>0</v>
      </c>
      <c r="L5" s="29">
        <f t="shared" ref="L5:L8" si="1">SUM(C5:K5)</f>
        <v>110</v>
      </c>
      <c r="N5" s="4" t="s">
        <v>16</v>
      </c>
      <c r="O5" s="5">
        <v>1</v>
      </c>
      <c r="P5" s="6">
        <v>14</v>
      </c>
      <c r="Q5" s="6">
        <v>4</v>
      </c>
      <c r="R5" s="6">
        <v>9</v>
      </c>
      <c r="S5" s="6">
        <v>22</v>
      </c>
      <c r="T5" s="6">
        <v>26</v>
      </c>
      <c r="U5" s="6">
        <v>16</v>
      </c>
      <c r="V5" s="6">
        <v>18</v>
      </c>
      <c r="W5" s="7">
        <v>1</v>
      </c>
      <c r="X5">
        <f t="shared" si="0"/>
        <v>111</v>
      </c>
    </row>
    <row r="6" spans="2:28" ht="13" x14ac:dyDescent="0.3">
      <c r="B6" s="20" t="s">
        <v>17</v>
      </c>
      <c r="C6" s="15">
        <v>1</v>
      </c>
      <c r="D6" s="15">
        <v>14</v>
      </c>
      <c r="E6" s="15">
        <v>4</v>
      </c>
      <c r="F6" s="15">
        <v>9</v>
      </c>
      <c r="G6" s="15">
        <v>22</v>
      </c>
      <c r="H6" s="15">
        <v>26</v>
      </c>
      <c r="I6" s="15">
        <v>16</v>
      </c>
      <c r="J6" s="15">
        <v>18</v>
      </c>
      <c r="K6" s="16">
        <v>1</v>
      </c>
      <c r="L6" s="29">
        <f t="shared" si="1"/>
        <v>111</v>
      </c>
      <c r="N6" s="4" t="s">
        <v>18</v>
      </c>
      <c r="O6" s="5">
        <v>0</v>
      </c>
      <c r="P6" s="6">
        <v>0</v>
      </c>
      <c r="Q6" s="6">
        <v>0</v>
      </c>
      <c r="R6" s="6">
        <v>1</v>
      </c>
      <c r="S6" s="6">
        <v>27</v>
      </c>
      <c r="T6" s="6">
        <v>37</v>
      </c>
      <c r="U6" s="6">
        <v>18</v>
      </c>
      <c r="V6" s="6">
        <v>19</v>
      </c>
      <c r="W6" s="6">
        <v>1</v>
      </c>
      <c r="X6">
        <f t="shared" si="0"/>
        <v>103</v>
      </c>
    </row>
    <row r="7" spans="2:28" ht="13" x14ac:dyDescent="0.3">
      <c r="B7" s="20" t="s">
        <v>19</v>
      </c>
      <c r="C7" s="15">
        <v>1</v>
      </c>
      <c r="D7" s="15">
        <v>5</v>
      </c>
      <c r="E7" s="15">
        <v>9</v>
      </c>
      <c r="F7" s="15">
        <v>13</v>
      </c>
      <c r="G7" s="15">
        <v>29</v>
      </c>
      <c r="H7" s="15">
        <v>29</v>
      </c>
      <c r="I7" s="15">
        <v>17</v>
      </c>
      <c r="J7" s="15">
        <v>7</v>
      </c>
      <c r="K7" s="15">
        <v>1</v>
      </c>
      <c r="L7" s="29">
        <f t="shared" si="1"/>
        <v>111</v>
      </c>
    </row>
    <row r="8" spans="2:28" ht="13.5" thickBot="1" x14ac:dyDescent="0.35">
      <c r="B8" s="22" t="s">
        <v>20</v>
      </c>
      <c r="C8" s="23">
        <v>4</v>
      </c>
      <c r="D8" s="23">
        <v>2</v>
      </c>
      <c r="E8" s="23">
        <v>2</v>
      </c>
      <c r="F8" s="23">
        <v>9</v>
      </c>
      <c r="G8" s="23">
        <v>23</v>
      </c>
      <c r="H8" s="23">
        <v>36</v>
      </c>
      <c r="I8" s="23">
        <v>21</v>
      </c>
      <c r="J8" s="23">
        <v>13</v>
      </c>
      <c r="K8" s="33">
        <v>0</v>
      </c>
      <c r="L8" s="30">
        <f t="shared" si="1"/>
        <v>110</v>
      </c>
    </row>
    <row r="9" spans="2:28" ht="14" thickTop="1" thickBot="1" x14ac:dyDescent="0.35">
      <c r="L9"/>
      <c r="N9" s="1" t="s">
        <v>3</v>
      </c>
      <c r="O9" s="2" t="s">
        <v>4</v>
      </c>
      <c r="P9" s="2" t="s">
        <v>5</v>
      </c>
      <c r="Q9" s="2" t="s">
        <v>6</v>
      </c>
      <c r="R9" s="2" t="s">
        <v>7</v>
      </c>
      <c r="S9" s="2" t="s">
        <v>8</v>
      </c>
      <c r="T9" s="2" t="s">
        <v>9</v>
      </c>
      <c r="U9" s="2" t="s">
        <v>10</v>
      </c>
      <c r="V9" s="2" t="s">
        <v>11</v>
      </c>
      <c r="W9" s="3" t="s">
        <v>12</v>
      </c>
    </row>
    <row r="10" spans="2:28" ht="13" x14ac:dyDescent="0.3">
      <c r="B10" s="17" t="s">
        <v>3</v>
      </c>
      <c r="C10" s="18" t="s">
        <v>4</v>
      </c>
      <c r="D10" s="18" t="s">
        <v>5</v>
      </c>
      <c r="E10" s="18" t="s">
        <v>6</v>
      </c>
      <c r="F10" s="18" t="s">
        <v>7</v>
      </c>
      <c r="G10" s="18" t="s">
        <v>8</v>
      </c>
      <c r="H10" s="18" t="s">
        <v>9</v>
      </c>
      <c r="I10" s="18" t="s">
        <v>10</v>
      </c>
      <c r="J10" s="18" t="s">
        <v>11</v>
      </c>
      <c r="K10" s="18" t="s">
        <v>12</v>
      </c>
      <c r="L10" s="19" t="s">
        <v>13</v>
      </c>
      <c r="N10" s="4" t="s">
        <v>14</v>
      </c>
      <c r="O10" s="11">
        <f t="shared" ref="O10:X10" si="2">O4/110</f>
        <v>0</v>
      </c>
      <c r="P10" s="11">
        <f t="shared" si="2"/>
        <v>0</v>
      </c>
      <c r="Q10" s="11">
        <f t="shared" si="2"/>
        <v>1.8181818181818181E-2</v>
      </c>
      <c r="R10" s="11">
        <f t="shared" si="2"/>
        <v>2.7272727272727271E-2</v>
      </c>
      <c r="S10" s="11">
        <f t="shared" si="2"/>
        <v>0.15454545454545454</v>
      </c>
      <c r="T10" s="11">
        <f t="shared" si="2"/>
        <v>0.26363636363636361</v>
      </c>
      <c r="U10" s="11">
        <f t="shared" si="2"/>
        <v>0.23636363636363636</v>
      </c>
      <c r="V10" s="11">
        <f t="shared" si="2"/>
        <v>0.3</v>
      </c>
      <c r="W10" s="11">
        <f t="shared" si="2"/>
        <v>0</v>
      </c>
      <c r="X10" s="11">
        <f t="shared" si="2"/>
        <v>1</v>
      </c>
    </row>
    <row r="11" spans="2:28" ht="13" x14ac:dyDescent="0.3">
      <c r="B11" s="20" t="s">
        <v>15</v>
      </c>
      <c r="C11" s="25">
        <f t="shared" ref="C11:L11" si="3">C5/110</f>
        <v>0</v>
      </c>
      <c r="D11" s="25">
        <f t="shared" si="3"/>
        <v>0</v>
      </c>
      <c r="E11" s="25">
        <f t="shared" si="3"/>
        <v>1.8181818181818181E-2</v>
      </c>
      <c r="F11" s="25">
        <f t="shared" si="3"/>
        <v>5.4545454545454543E-2</v>
      </c>
      <c r="G11" s="25">
        <f t="shared" si="3"/>
        <v>0.12727272727272726</v>
      </c>
      <c r="H11" s="25">
        <f t="shared" si="3"/>
        <v>0.34545454545454546</v>
      </c>
      <c r="I11" s="25">
        <f t="shared" si="3"/>
        <v>0.21818181818181817</v>
      </c>
      <c r="J11" s="25">
        <f t="shared" si="3"/>
        <v>0.23636363636363636</v>
      </c>
      <c r="K11" s="25">
        <f t="shared" si="3"/>
        <v>0</v>
      </c>
      <c r="L11" s="31">
        <f t="shared" si="3"/>
        <v>1</v>
      </c>
      <c r="N11" s="4" t="s">
        <v>16</v>
      </c>
      <c r="O11" s="11">
        <f t="shared" ref="O11:X11" si="4">O5/111</f>
        <v>9.0090090090090089E-3</v>
      </c>
      <c r="P11" s="11">
        <f t="shared" si="4"/>
        <v>0.12612612612612611</v>
      </c>
      <c r="Q11" s="11">
        <f t="shared" si="4"/>
        <v>3.6036036036036036E-2</v>
      </c>
      <c r="R11" s="11">
        <f t="shared" si="4"/>
        <v>8.1081081081081086E-2</v>
      </c>
      <c r="S11" s="11">
        <f t="shared" si="4"/>
        <v>0.1981981981981982</v>
      </c>
      <c r="T11" s="11">
        <f t="shared" si="4"/>
        <v>0.23423423423423423</v>
      </c>
      <c r="U11" s="11">
        <f t="shared" si="4"/>
        <v>0.14414414414414414</v>
      </c>
      <c r="V11" s="11">
        <f t="shared" si="4"/>
        <v>0.16216216216216217</v>
      </c>
      <c r="W11" s="11">
        <f t="shared" si="4"/>
        <v>9.0090090090090089E-3</v>
      </c>
      <c r="X11" s="11">
        <f t="shared" si="4"/>
        <v>1</v>
      </c>
    </row>
    <row r="12" spans="2:28" ht="13" x14ac:dyDescent="0.3">
      <c r="B12" s="20" t="s">
        <v>17</v>
      </c>
      <c r="C12" s="25">
        <f t="shared" ref="C12:L13" si="5">C6/111</f>
        <v>9.0090090090090089E-3</v>
      </c>
      <c r="D12" s="25">
        <f t="shared" si="5"/>
        <v>0.12612612612612611</v>
      </c>
      <c r="E12" s="25">
        <f t="shared" si="5"/>
        <v>3.6036036036036036E-2</v>
      </c>
      <c r="F12" s="25">
        <f t="shared" si="5"/>
        <v>8.1081081081081086E-2</v>
      </c>
      <c r="G12" s="25">
        <f t="shared" si="5"/>
        <v>0.1981981981981982</v>
      </c>
      <c r="H12" s="25">
        <f t="shared" si="5"/>
        <v>0.23423423423423423</v>
      </c>
      <c r="I12" s="25">
        <f t="shared" si="5"/>
        <v>0.14414414414414414</v>
      </c>
      <c r="J12" s="25">
        <f t="shared" si="5"/>
        <v>0.16216216216216217</v>
      </c>
      <c r="K12" s="25">
        <f t="shared" si="5"/>
        <v>9.0090090090090089E-3</v>
      </c>
      <c r="L12" s="31">
        <f t="shared" si="5"/>
        <v>1</v>
      </c>
      <c r="N12" s="4" t="s">
        <v>18</v>
      </c>
      <c r="O12" s="11">
        <f t="shared" ref="O12:X12" si="6">O6/103</f>
        <v>0</v>
      </c>
      <c r="P12" s="11">
        <f t="shared" si="6"/>
        <v>0</v>
      </c>
      <c r="Q12" s="11">
        <f t="shared" si="6"/>
        <v>0</v>
      </c>
      <c r="R12" s="11">
        <f t="shared" si="6"/>
        <v>9.7087378640776691E-3</v>
      </c>
      <c r="S12" s="11">
        <f t="shared" si="6"/>
        <v>0.26213592233009708</v>
      </c>
      <c r="T12" s="11">
        <f t="shared" si="6"/>
        <v>0.35922330097087379</v>
      </c>
      <c r="U12" s="11">
        <f t="shared" si="6"/>
        <v>0.17475728155339806</v>
      </c>
      <c r="V12" s="11">
        <f t="shared" si="6"/>
        <v>0.18446601941747573</v>
      </c>
      <c r="W12" s="11">
        <f t="shared" si="6"/>
        <v>9.7087378640776691E-3</v>
      </c>
      <c r="X12" s="11">
        <f t="shared" si="6"/>
        <v>1</v>
      </c>
    </row>
    <row r="13" spans="2:28" ht="13" x14ac:dyDescent="0.3">
      <c r="B13" s="20" t="s">
        <v>19</v>
      </c>
      <c r="C13" s="25">
        <f t="shared" si="5"/>
        <v>9.0090090090090089E-3</v>
      </c>
      <c r="D13" s="25">
        <f t="shared" si="5"/>
        <v>4.5045045045045043E-2</v>
      </c>
      <c r="E13" s="25">
        <f t="shared" si="5"/>
        <v>8.1081081081081086E-2</v>
      </c>
      <c r="F13" s="25">
        <f t="shared" si="5"/>
        <v>0.11711711711711711</v>
      </c>
      <c r="G13" s="25">
        <f t="shared" si="5"/>
        <v>0.26126126126126126</v>
      </c>
      <c r="H13" s="25">
        <f t="shared" si="5"/>
        <v>0.26126126126126126</v>
      </c>
      <c r="I13" s="25">
        <f t="shared" si="5"/>
        <v>0.15315315315315314</v>
      </c>
      <c r="J13" s="25">
        <f t="shared" si="5"/>
        <v>6.3063063063063057E-2</v>
      </c>
      <c r="K13" s="25">
        <f t="shared" si="5"/>
        <v>9.0090090090090089E-3</v>
      </c>
      <c r="L13" s="31">
        <f t="shared" si="5"/>
        <v>1</v>
      </c>
    </row>
    <row r="14" spans="2:28" ht="13.5" thickBot="1" x14ac:dyDescent="0.35">
      <c r="B14" s="22" t="s">
        <v>20</v>
      </c>
      <c r="C14" s="27">
        <f t="shared" ref="C14:L14" si="7">C8/110</f>
        <v>3.6363636363636362E-2</v>
      </c>
      <c r="D14" s="27">
        <f t="shared" si="7"/>
        <v>1.8181818181818181E-2</v>
      </c>
      <c r="E14" s="27">
        <f t="shared" si="7"/>
        <v>1.8181818181818181E-2</v>
      </c>
      <c r="F14" s="27">
        <f t="shared" si="7"/>
        <v>8.1818181818181818E-2</v>
      </c>
      <c r="G14" s="27">
        <f t="shared" si="7"/>
        <v>0.20909090909090908</v>
      </c>
      <c r="H14" s="27">
        <f t="shared" si="7"/>
        <v>0.32727272727272727</v>
      </c>
      <c r="I14" s="27">
        <f t="shared" si="7"/>
        <v>0.19090909090909092</v>
      </c>
      <c r="J14" s="27">
        <f t="shared" si="7"/>
        <v>0.11818181818181818</v>
      </c>
      <c r="K14" s="27">
        <f t="shared" si="7"/>
        <v>0</v>
      </c>
      <c r="L14" s="32">
        <f t="shared" si="7"/>
        <v>1</v>
      </c>
    </row>
    <row r="20" spans="2:24" x14ac:dyDescent="0.25">
      <c r="L20"/>
    </row>
    <row r="21" spans="2:24" ht="13.5" thickBot="1" x14ac:dyDescent="0.35">
      <c r="B21" s="12" t="s">
        <v>21</v>
      </c>
      <c r="C21" s="12"/>
      <c r="D21" s="12"/>
      <c r="E21" s="12"/>
      <c r="F21" s="12"/>
      <c r="G21" s="12"/>
      <c r="H21" s="12"/>
      <c r="L21"/>
      <c r="N21" s="12" t="s">
        <v>21</v>
      </c>
      <c r="O21" s="12"/>
      <c r="P21" s="12"/>
      <c r="Q21" s="12"/>
      <c r="R21" s="12"/>
      <c r="S21" s="12"/>
      <c r="T21" s="12"/>
    </row>
    <row r="22" spans="2:24" ht="13" x14ac:dyDescent="0.3">
      <c r="B22" s="17" t="s">
        <v>3</v>
      </c>
      <c r="C22" s="18" t="s">
        <v>4</v>
      </c>
      <c r="D22" s="18" t="s">
        <v>5</v>
      </c>
      <c r="E22" s="18" t="s">
        <v>6</v>
      </c>
      <c r="F22" s="18" t="s">
        <v>7</v>
      </c>
      <c r="G22" s="18" t="s">
        <v>8</v>
      </c>
      <c r="H22" s="18" t="s">
        <v>9</v>
      </c>
      <c r="I22" s="18" t="s">
        <v>10</v>
      </c>
      <c r="J22" s="18" t="s">
        <v>11</v>
      </c>
      <c r="K22" s="18" t="s">
        <v>12</v>
      </c>
      <c r="L22" s="19" t="s">
        <v>13</v>
      </c>
      <c r="N22" s="17" t="s">
        <v>3</v>
      </c>
      <c r="O22" s="18" t="s">
        <v>4</v>
      </c>
      <c r="P22" s="18" t="s">
        <v>5</v>
      </c>
      <c r="Q22" s="18" t="s">
        <v>6</v>
      </c>
      <c r="R22" s="18" t="s">
        <v>7</v>
      </c>
      <c r="S22" s="18" t="s">
        <v>8</v>
      </c>
      <c r="T22" s="18" t="s">
        <v>9</v>
      </c>
      <c r="U22" s="18" t="s">
        <v>10</v>
      </c>
      <c r="V22" s="18" t="s">
        <v>11</v>
      </c>
      <c r="W22" s="18" t="s">
        <v>12</v>
      </c>
      <c r="X22" s="19" t="s">
        <v>13</v>
      </c>
    </row>
    <row r="23" spans="2:24" ht="13" x14ac:dyDescent="0.3">
      <c r="B23" s="20" t="s">
        <v>15</v>
      </c>
      <c r="C23" s="15">
        <v>0</v>
      </c>
      <c r="D23" s="15">
        <v>1</v>
      </c>
      <c r="E23" s="15">
        <v>0</v>
      </c>
      <c r="F23" s="15">
        <v>7</v>
      </c>
      <c r="G23" s="15">
        <v>18</v>
      </c>
      <c r="H23" s="15">
        <v>39</v>
      </c>
      <c r="I23" s="15">
        <v>24</v>
      </c>
      <c r="J23" s="15">
        <v>21</v>
      </c>
      <c r="K23" s="15">
        <v>0</v>
      </c>
      <c r="L23" s="29">
        <f t="shared" ref="L23:L26" si="8">SUM(C23:K23)</f>
        <v>110</v>
      </c>
      <c r="N23" s="20" t="s">
        <v>14</v>
      </c>
      <c r="O23" s="15">
        <v>0</v>
      </c>
      <c r="P23" s="15">
        <v>0</v>
      </c>
      <c r="Q23" s="15">
        <v>3</v>
      </c>
      <c r="R23" s="15">
        <v>1</v>
      </c>
      <c r="S23" s="15">
        <v>13</v>
      </c>
      <c r="T23" s="15">
        <v>27</v>
      </c>
      <c r="U23" s="15">
        <v>25</v>
      </c>
      <c r="V23" s="15">
        <v>40</v>
      </c>
      <c r="W23" s="15">
        <v>1</v>
      </c>
      <c r="X23" s="34">
        <f t="shared" ref="X23:X25" si="9">SUM(O23:W23)</f>
        <v>110</v>
      </c>
    </row>
    <row r="24" spans="2:24" ht="13" x14ac:dyDescent="0.3">
      <c r="B24" s="20" t="s">
        <v>17</v>
      </c>
      <c r="C24" s="15">
        <v>0</v>
      </c>
      <c r="D24" s="15">
        <v>8</v>
      </c>
      <c r="E24" s="15">
        <v>6</v>
      </c>
      <c r="F24" s="15">
        <v>11</v>
      </c>
      <c r="G24" s="15">
        <v>28</v>
      </c>
      <c r="H24" s="15">
        <v>36</v>
      </c>
      <c r="I24" s="15">
        <v>16</v>
      </c>
      <c r="J24" s="15">
        <v>5</v>
      </c>
      <c r="K24" s="16">
        <v>0</v>
      </c>
      <c r="L24" s="29">
        <f t="shared" si="8"/>
        <v>110</v>
      </c>
      <c r="N24" s="20" t="s">
        <v>16</v>
      </c>
      <c r="O24" s="15">
        <v>1</v>
      </c>
      <c r="P24" s="15">
        <v>12</v>
      </c>
      <c r="Q24" s="15">
        <v>5</v>
      </c>
      <c r="R24" s="15">
        <v>11</v>
      </c>
      <c r="S24" s="15">
        <v>29</v>
      </c>
      <c r="T24" s="15">
        <v>24</v>
      </c>
      <c r="U24" s="15">
        <v>12</v>
      </c>
      <c r="V24" s="15">
        <v>16</v>
      </c>
      <c r="W24" s="16">
        <v>0</v>
      </c>
      <c r="X24" s="34">
        <f t="shared" si="9"/>
        <v>110</v>
      </c>
    </row>
    <row r="25" spans="2:24" ht="13.5" thickBot="1" x14ac:dyDescent="0.35">
      <c r="B25" s="20" t="s">
        <v>19</v>
      </c>
      <c r="C25" s="15">
        <v>0</v>
      </c>
      <c r="D25" s="15">
        <v>11</v>
      </c>
      <c r="E25" s="15">
        <v>7</v>
      </c>
      <c r="F25" s="15">
        <v>21</v>
      </c>
      <c r="G25" s="15">
        <v>33</v>
      </c>
      <c r="H25" s="15">
        <v>18</v>
      </c>
      <c r="I25" s="15">
        <v>15</v>
      </c>
      <c r="J25" s="15">
        <v>5</v>
      </c>
      <c r="K25" s="15">
        <v>0</v>
      </c>
      <c r="L25" s="29">
        <f t="shared" si="8"/>
        <v>110</v>
      </c>
      <c r="N25" s="22" t="s">
        <v>18</v>
      </c>
      <c r="O25" s="23">
        <v>7</v>
      </c>
      <c r="P25" s="23">
        <v>0</v>
      </c>
      <c r="Q25" s="23">
        <v>3</v>
      </c>
      <c r="R25" s="23">
        <v>7</v>
      </c>
      <c r="S25" s="23">
        <v>32</v>
      </c>
      <c r="T25" s="23">
        <v>23</v>
      </c>
      <c r="U25" s="23">
        <v>26</v>
      </c>
      <c r="V25" s="23">
        <v>12</v>
      </c>
      <c r="W25" s="23">
        <v>1</v>
      </c>
      <c r="X25" s="35">
        <f t="shared" si="9"/>
        <v>111</v>
      </c>
    </row>
    <row r="26" spans="2:24" ht="13.5" thickBot="1" x14ac:dyDescent="0.35">
      <c r="B26" s="22" t="s">
        <v>20</v>
      </c>
      <c r="C26" s="23">
        <v>4</v>
      </c>
      <c r="D26" s="23">
        <v>4</v>
      </c>
      <c r="E26" s="23">
        <v>2</v>
      </c>
      <c r="F26" s="23">
        <v>12</v>
      </c>
      <c r="G26" s="23">
        <v>34</v>
      </c>
      <c r="H26" s="23">
        <v>30</v>
      </c>
      <c r="I26" s="23">
        <v>13</v>
      </c>
      <c r="J26" s="23">
        <v>11</v>
      </c>
      <c r="K26" s="33">
        <v>0</v>
      </c>
      <c r="L26" s="30">
        <f t="shared" si="8"/>
        <v>110</v>
      </c>
      <c r="N26" s="4" t="s">
        <v>20</v>
      </c>
      <c r="O26" s="5">
        <v>4</v>
      </c>
      <c r="P26" s="6">
        <v>2</v>
      </c>
      <c r="Q26" s="6">
        <v>2</v>
      </c>
      <c r="R26" s="6">
        <v>9</v>
      </c>
      <c r="S26" s="6">
        <v>23</v>
      </c>
      <c r="T26" s="6">
        <v>36</v>
      </c>
      <c r="U26" s="6">
        <v>21</v>
      </c>
      <c r="V26" s="6">
        <v>13</v>
      </c>
      <c r="W26" s="36">
        <v>0</v>
      </c>
    </row>
    <row r="27" spans="2:24" ht="13.5" thickBot="1" x14ac:dyDescent="0.35">
      <c r="B27" s="17" t="s">
        <v>3</v>
      </c>
      <c r="C27" s="18" t="s">
        <v>4</v>
      </c>
      <c r="D27" s="18" t="s">
        <v>5</v>
      </c>
      <c r="E27" s="18" t="s">
        <v>6</v>
      </c>
      <c r="F27" s="18" t="s">
        <v>7</v>
      </c>
      <c r="G27" s="18" t="s">
        <v>8</v>
      </c>
      <c r="H27" s="18" t="s">
        <v>9</v>
      </c>
      <c r="I27" s="18" t="s">
        <v>10</v>
      </c>
      <c r="J27" s="18" t="s">
        <v>11</v>
      </c>
      <c r="K27" s="18" t="s">
        <v>12</v>
      </c>
      <c r="L27" s="19" t="s">
        <v>13</v>
      </c>
      <c r="N27" s="13"/>
      <c r="O27" s="13"/>
      <c r="P27" s="13"/>
      <c r="Q27" s="13"/>
      <c r="R27" s="13"/>
      <c r="S27" s="13"/>
      <c r="T27" s="13"/>
      <c r="U27" s="13"/>
      <c r="V27" s="13"/>
      <c r="W27" s="13"/>
    </row>
    <row r="28" spans="2:24" ht="13" x14ac:dyDescent="0.3">
      <c r="B28" s="20" t="s">
        <v>15</v>
      </c>
      <c r="C28" s="37">
        <f t="shared" ref="C28:L31" si="10">C23/110</f>
        <v>0</v>
      </c>
      <c r="D28" s="37">
        <f t="shared" si="10"/>
        <v>9.0909090909090905E-3</v>
      </c>
      <c r="E28" s="37">
        <f t="shared" si="10"/>
        <v>0</v>
      </c>
      <c r="F28" s="37">
        <f t="shared" si="10"/>
        <v>6.363636363636363E-2</v>
      </c>
      <c r="G28" s="37">
        <f t="shared" si="10"/>
        <v>0.16363636363636364</v>
      </c>
      <c r="H28" s="37">
        <f t="shared" si="10"/>
        <v>0.35454545454545455</v>
      </c>
      <c r="I28" s="37">
        <f t="shared" si="10"/>
        <v>0.21818181818181817</v>
      </c>
      <c r="J28" s="37">
        <f t="shared" si="10"/>
        <v>0.19090909090909092</v>
      </c>
      <c r="K28" s="37">
        <f t="shared" si="10"/>
        <v>0</v>
      </c>
      <c r="L28" s="38">
        <f t="shared" si="10"/>
        <v>1</v>
      </c>
      <c r="N28" s="17" t="s">
        <v>3</v>
      </c>
      <c r="O28" s="18" t="s">
        <v>4</v>
      </c>
      <c r="P28" s="18" t="s">
        <v>5</v>
      </c>
      <c r="Q28" s="18" t="s">
        <v>6</v>
      </c>
      <c r="R28" s="18" t="s">
        <v>7</v>
      </c>
      <c r="S28" s="18" t="s">
        <v>8</v>
      </c>
      <c r="T28" s="18" t="s">
        <v>9</v>
      </c>
      <c r="U28" s="18" t="s">
        <v>10</v>
      </c>
      <c r="V28" s="18" t="s">
        <v>11</v>
      </c>
      <c r="W28" s="18" t="s">
        <v>12</v>
      </c>
      <c r="X28" s="19" t="s">
        <v>13</v>
      </c>
    </row>
    <row r="29" spans="2:24" ht="13" x14ac:dyDescent="0.3">
      <c r="B29" s="20" t="s">
        <v>17</v>
      </c>
      <c r="C29" s="37">
        <f t="shared" si="10"/>
        <v>0</v>
      </c>
      <c r="D29" s="37">
        <f t="shared" si="10"/>
        <v>7.2727272727272724E-2</v>
      </c>
      <c r="E29" s="37">
        <f t="shared" si="10"/>
        <v>5.4545454545454543E-2</v>
      </c>
      <c r="F29" s="37">
        <f t="shared" si="10"/>
        <v>0.1</v>
      </c>
      <c r="G29" s="37">
        <f t="shared" si="10"/>
        <v>0.25454545454545452</v>
      </c>
      <c r="H29" s="37">
        <f t="shared" si="10"/>
        <v>0.32727272727272727</v>
      </c>
      <c r="I29" s="37">
        <f t="shared" si="10"/>
        <v>0.14545454545454545</v>
      </c>
      <c r="J29" s="37">
        <f t="shared" si="10"/>
        <v>4.5454545454545456E-2</v>
      </c>
      <c r="K29" s="37">
        <f t="shared" si="10"/>
        <v>0</v>
      </c>
      <c r="L29" s="38">
        <f t="shared" si="10"/>
        <v>1</v>
      </c>
      <c r="N29" s="20" t="s">
        <v>14</v>
      </c>
      <c r="O29" s="25">
        <f t="shared" ref="O29:X29" si="11">O23/110</f>
        <v>0</v>
      </c>
      <c r="P29" s="25">
        <f t="shared" si="11"/>
        <v>0</v>
      </c>
      <c r="Q29" s="25">
        <f t="shared" si="11"/>
        <v>2.7272727272727271E-2</v>
      </c>
      <c r="R29" s="25">
        <f t="shared" si="11"/>
        <v>9.0909090909090905E-3</v>
      </c>
      <c r="S29" s="25">
        <f t="shared" si="11"/>
        <v>0.11818181818181818</v>
      </c>
      <c r="T29" s="25">
        <f t="shared" si="11"/>
        <v>0.24545454545454545</v>
      </c>
      <c r="U29" s="25">
        <f t="shared" si="11"/>
        <v>0.22727272727272727</v>
      </c>
      <c r="V29" s="25">
        <f t="shared" si="11"/>
        <v>0.36363636363636365</v>
      </c>
      <c r="W29" s="25">
        <f t="shared" si="11"/>
        <v>9.0909090909090905E-3</v>
      </c>
      <c r="X29" s="25">
        <f t="shared" si="11"/>
        <v>1</v>
      </c>
    </row>
    <row r="30" spans="2:24" ht="13" x14ac:dyDescent="0.3">
      <c r="B30" s="20" t="s">
        <v>19</v>
      </c>
      <c r="C30" s="37">
        <f t="shared" si="10"/>
        <v>0</v>
      </c>
      <c r="D30" s="37">
        <f t="shared" si="10"/>
        <v>0.1</v>
      </c>
      <c r="E30" s="37">
        <f t="shared" si="10"/>
        <v>6.363636363636363E-2</v>
      </c>
      <c r="F30" s="37">
        <f t="shared" si="10"/>
        <v>0.19090909090909092</v>
      </c>
      <c r="G30" s="37">
        <f t="shared" si="10"/>
        <v>0.3</v>
      </c>
      <c r="H30" s="37">
        <f t="shared" si="10"/>
        <v>0.16363636363636364</v>
      </c>
      <c r="I30" s="37">
        <f t="shared" si="10"/>
        <v>0.13636363636363635</v>
      </c>
      <c r="J30" s="37">
        <f t="shared" si="10"/>
        <v>4.5454545454545456E-2</v>
      </c>
      <c r="K30" s="37">
        <f t="shared" si="10"/>
        <v>0</v>
      </c>
      <c r="L30" s="38">
        <f t="shared" si="10"/>
        <v>1</v>
      </c>
      <c r="N30" s="20" t="s">
        <v>16</v>
      </c>
      <c r="O30" s="25">
        <f t="shared" ref="O30:O31" si="12">O24/111</f>
        <v>9.0090090090090089E-3</v>
      </c>
      <c r="P30" s="25">
        <f t="shared" ref="P30:X30" si="13">P24/110</f>
        <v>0.10909090909090909</v>
      </c>
      <c r="Q30" s="25">
        <f t="shared" si="13"/>
        <v>4.5454545454545456E-2</v>
      </c>
      <c r="R30" s="25">
        <f t="shared" si="13"/>
        <v>0.1</v>
      </c>
      <c r="S30" s="25">
        <f t="shared" si="13"/>
        <v>0.26363636363636361</v>
      </c>
      <c r="T30" s="25">
        <f t="shared" si="13"/>
        <v>0.21818181818181817</v>
      </c>
      <c r="U30" s="25">
        <f t="shared" si="13"/>
        <v>0.10909090909090909</v>
      </c>
      <c r="V30" s="25">
        <f t="shared" si="13"/>
        <v>0.14545454545454545</v>
      </c>
      <c r="W30" s="25">
        <f t="shared" si="13"/>
        <v>0</v>
      </c>
      <c r="X30" s="25">
        <f t="shared" si="13"/>
        <v>1</v>
      </c>
    </row>
    <row r="31" spans="2:24" ht="13.5" thickBot="1" x14ac:dyDescent="0.35">
      <c r="B31" s="22" t="s">
        <v>20</v>
      </c>
      <c r="C31" s="39">
        <f t="shared" si="10"/>
        <v>3.6363636363636362E-2</v>
      </c>
      <c r="D31" s="39">
        <f t="shared" si="10"/>
        <v>3.6363636363636362E-2</v>
      </c>
      <c r="E31" s="39">
        <f t="shared" si="10"/>
        <v>1.8181818181818181E-2</v>
      </c>
      <c r="F31" s="39">
        <f t="shared" si="10"/>
        <v>0.10909090909090909</v>
      </c>
      <c r="G31" s="39">
        <f t="shared" si="10"/>
        <v>0.30909090909090908</v>
      </c>
      <c r="H31" s="39">
        <f t="shared" si="10"/>
        <v>0.27272727272727271</v>
      </c>
      <c r="I31" s="39">
        <f t="shared" si="10"/>
        <v>0.11818181818181818</v>
      </c>
      <c r="J31" s="39">
        <f t="shared" si="10"/>
        <v>0.1</v>
      </c>
      <c r="K31" s="39">
        <f t="shared" si="10"/>
        <v>0</v>
      </c>
      <c r="L31" s="40">
        <f t="shared" si="10"/>
        <v>1</v>
      </c>
      <c r="N31" s="22" t="s">
        <v>18</v>
      </c>
      <c r="O31" s="25">
        <f t="shared" si="12"/>
        <v>6.3063063063063057E-2</v>
      </c>
      <c r="P31" s="25">
        <f t="shared" ref="P31:X31" si="14">P25/111</f>
        <v>0</v>
      </c>
      <c r="Q31" s="25">
        <f t="shared" si="14"/>
        <v>2.7027027027027029E-2</v>
      </c>
      <c r="R31" s="25">
        <f t="shared" si="14"/>
        <v>6.3063063063063057E-2</v>
      </c>
      <c r="S31" s="25">
        <f t="shared" si="14"/>
        <v>0.28828828828828829</v>
      </c>
      <c r="T31" s="25">
        <f t="shared" si="14"/>
        <v>0.2072072072072072</v>
      </c>
      <c r="U31" s="25">
        <f t="shared" si="14"/>
        <v>0.23423423423423423</v>
      </c>
      <c r="V31" s="25">
        <f t="shared" si="14"/>
        <v>0.10810810810810811</v>
      </c>
      <c r="W31" s="25">
        <f t="shared" si="14"/>
        <v>9.0090090090090089E-3</v>
      </c>
      <c r="X31" s="25">
        <f t="shared" si="14"/>
        <v>1</v>
      </c>
    </row>
    <row r="41" spans="2:12" ht="13.5" thickBot="1" x14ac:dyDescent="0.35">
      <c r="B41" s="12" t="s">
        <v>22</v>
      </c>
      <c r="C41" s="12"/>
      <c r="D41" s="12"/>
      <c r="E41" s="12"/>
      <c r="F41" s="12"/>
      <c r="G41" s="12"/>
      <c r="H41" s="12"/>
      <c r="I41" s="12"/>
      <c r="J41" s="12"/>
      <c r="K41" s="12"/>
    </row>
    <row r="42" spans="2:12" ht="13" x14ac:dyDescent="0.3">
      <c r="B42" s="17" t="s">
        <v>3</v>
      </c>
      <c r="C42" s="18" t="s">
        <v>4</v>
      </c>
      <c r="D42" s="18" t="s">
        <v>5</v>
      </c>
      <c r="E42" s="18" t="s">
        <v>6</v>
      </c>
      <c r="F42" s="18" t="s">
        <v>7</v>
      </c>
      <c r="G42" s="18" t="s">
        <v>8</v>
      </c>
      <c r="H42" s="18" t="s">
        <v>9</v>
      </c>
      <c r="I42" s="18" t="s">
        <v>10</v>
      </c>
      <c r="J42" s="18" t="s">
        <v>11</v>
      </c>
      <c r="K42" s="18" t="s">
        <v>12</v>
      </c>
      <c r="L42" s="19" t="s">
        <v>13</v>
      </c>
    </row>
    <row r="43" spans="2:12" ht="13" x14ac:dyDescent="0.3">
      <c r="B43" s="20" t="s">
        <v>15</v>
      </c>
      <c r="C43" s="15">
        <v>0</v>
      </c>
      <c r="D43" s="15">
        <v>0</v>
      </c>
      <c r="E43" s="15">
        <v>4</v>
      </c>
      <c r="F43" s="15">
        <v>2</v>
      </c>
      <c r="G43" s="15">
        <v>10</v>
      </c>
      <c r="H43" s="15">
        <v>24</v>
      </c>
      <c r="I43" s="15">
        <v>32</v>
      </c>
      <c r="J43" s="15">
        <v>38</v>
      </c>
      <c r="K43" s="16">
        <v>0</v>
      </c>
      <c r="L43" s="21">
        <f t="shared" ref="L43:L45" si="15">SUM(C43:K43)</f>
        <v>110</v>
      </c>
    </row>
    <row r="44" spans="2:12" ht="13" x14ac:dyDescent="0.3">
      <c r="B44" s="20" t="s">
        <v>17</v>
      </c>
      <c r="C44" s="15">
        <v>0</v>
      </c>
      <c r="D44" s="15">
        <v>2</v>
      </c>
      <c r="E44" s="15">
        <v>10</v>
      </c>
      <c r="F44" s="15">
        <v>16</v>
      </c>
      <c r="G44" s="15">
        <v>25</v>
      </c>
      <c r="H44" s="15">
        <v>32</v>
      </c>
      <c r="I44" s="15">
        <v>19</v>
      </c>
      <c r="J44" s="15">
        <v>6</v>
      </c>
      <c r="K44" s="16">
        <v>1</v>
      </c>
      <c r="L44" s="21">
        <f t="shared" si="15"/>
        <v>111</v>
      </c>
    </row>
    <row r="45" spans="2:12" ht="13.5" thickBot="1" x14ac:dyDescent="0.35">
      <c r="B45" s="22" t="s">
        <v>19</v>
      </c>
      <c r="C45" s="23">
        <v>0</v>
      </c>
      <c r="D45" s="23">
        <v>3</v>
      </c>
      <c r="E45" s="23">
        <v>4</v>
      </c>
      <c r="F45" s="23">
        <v>14</v>
      </c>
      <c r="G45" s="23">
        <v>28</v>
      </c>
      <c r="H45" s="23">
        <v>28</v>
      </c>
      <c r="I45" s="23">
        <v>24</v>
      </c>
      <c r="J45" s="23">
        <v>8</v>
      </c>
      <c r="K45" s="23">
        <v>1</v>
      </c>
      <c r="L45" s="24">
        <f t="shared" si="15"/>
        <v>110</v>
      </c>
    </row>
    <row r="46" spans="2:12" ht="13.5" thickBot="1" x14ac:dyDescent="0.35">
      <c r="B46" s="8"/>
      <c r="C46" s="9"/>
      <c r="D46" s="9"/>
      <c r="E46" s="9"/>
      <c r="F46" s="9"/>
      <c r="G46" s="9"/>
      <c r="H46" s="9"/>
      <c r="I46" s="9"/>
      <c r="J46" s="9"/>
      <c r="K46" s="10"/>
    </row>
    <row r="47" spans="2:12" ht="13.5" thickTop="1" x14ac:dyDescent="0.3">
      <c r="B47" s="17" t="s">
        <v>3</v>
      </c>
      <c r="C47" s="18" t="s">
        <v>4</v>
      </c>
      <c r="D47" s="18" t="s">
        <v>5</v>
      </c>
      <c r="E47" s="18" t="s">
        <v>6</v>
      </c>
      <c r="F47" s="18" t="s">
        <v>7</v>
      </c>
      <c r="G47" s="18" t="s">
        <v>8</v>
      </c>
      <c r="H47" s="18" t="s">
        <v>9</v>
      </c>
      <c r="I47" s="18" t="s">
        <v>10</v>
      </c>
      <c r="J47" s="18" t="s">
        <v>11</v>
      </c>
      <c r="K47" s="18" t="s">
        <v>12</v>
      </c>
      <c r="L47" s="19" t="s">
        <v>13</v>
      </c>
    </row>
    <row r="48" spans="2:12" ht="13" x14ac:dyDescent="0.3">
      <c r="B48" s="20" t="s">
        <v>15</v>
      </c>
      <c r="C48" s="25">
        <f t="shared" ref="C48:L48" si="16">C43/110</f>
        <v>0</v>
      </c>
      <c r="D48" s="25">
        <f t="shared" si="16"/>
        <v>0</v>
      </c>
      <c r="E48" s="25">
        <f t="shared" si="16"/>
        <v>3.6363636363636362E-2</v>
      </c>
      <c r="F48" s="25">
        <f t="shared" si="16"/>
        <v>1.8181818181818181E-2</v>
      </c>
      <c r="G48" s="25">
        <f t="shared" si="16"/>
        <v>9.0909090909090912E-2</v>
      </c>
      <c r="H48" s="25">
        <f t="shared" si="16"/>
        <v>0.21818181818181817</v>
      </c>
      <c r="I48" s="25">
        <f t="shared" si="16"/>
        <v>0.29090909090909089</v>
      </c>
      <c r="J48" s="25">
        <f t="shared" si="16"/>
        <v>0.34545454545454546</v>
      </c>
      <c r="K48" s="25">
        <f t="shared" si="16"/>
        <v>0</v>
      </c>
      <c r="L48" s="26">
        <f t="shared" si="16"/>
        <v>1</v>
      </c>
    </row>
    <row r="49" spans="2:12" ht="13" x14ac:dyDescent="0.3">
      <c r="B49" s="20" t="s">
        <v>17</v>
      </c>
      <c r="C49" s="25">
        <f t="shared" ref="C49:L49" si="17">C44/111</f>
        <v>0</v>
      </c>
      <c r="D49" s="25">
        <f t="shared" si="17"/>
        <v>1.8018018018018018E-2</v>
      </c>
      <c r="E49" s="25">
        <f t="shared" si="17"/>
        <v>9.0090090090090086E-2</v>
      </c>
      <c r="F49" s="25">
        <f t="shared" si="17"/>
        <v>0.14414414414414414</v>
      </c>
      <c r="G49" s="25">
        <f t="shared" si="17"/>
        <v>0.22522522522522523</v>
      </c>
      <c r="H49" s="25">
        <f t="shared" si="17"/>
        <v>0.28828828828828829</v>
      </c>
      <c r="I49" s="25">
        <f t="shared" si="17"/>
        <v>0.17117117117117117</v>
      </c>
      <c r="J49" s="25">
        <f t="shared" si="17"/>
        <v>5.4054054054054057E-2</v>
      </c>
      <c r="K49" s="25">
        <f t="shared" si="17"/>
        <v>9.0090090090090089E-3</v>
      </c>
      <c r="L49" s="26">
        <f t="shared" si="17"/>
        <v>1</v>
      </c>
    </row>
    <row r="50" spans="2:12" ht="13.5" thickBot="1" x14ac:dyDescent="0.35">
      <c r="B50" s="22" t="s">
        <v>19</v>
      </c>
      <c r="C50" s="27">
        <f t="shared" ref="C50:L50" si="18">C45/110</f>
        <v>0</v>
      </c>
      <c r="D50" s="27">
        <f t="shared" si="18"/>
        <v>2.7272727272727271E-2</v>
      </c>
      <c r="E50" s="27">
        <f t="shared" si="18"/>
        <v>3.6363636363636362E-2</v>
      </c>
      <c r="F50" s="27">
        <f t="shared" si="18"/>
        <v>0.12727272727272726</v>
      </c>
      <c r="G50" s="27">
        <f t="shared" si="18"/>
        <v>0.25454545454545452</v>
      </c>
      <c r="H50" s="27">
        <f t="shared" si="18"/>
        <v>0.25454545454545452</v>
      </c>
      <c r="I50" s="27">
        <f t="shared" si="18"/>
        <v>0.21818181818181817</v>
      </c>
      <c r="J50" s="27">
        <f t="shared" si="18"/>
        <v>7.2727272727272724E-2</v>
      </c>
      <c r="K50" s="27">
        <f t="shared" si="18"/>
        <v>9.0909090909090905E-3</v>
      </c>
      <c r="L50" s="28">
        <f t="shared" si="18"/>
        <v>1</v>
      </c>
    </row>
    <row r="51" spans="2:12" x14ac:dyDescent="0.25">
      <c r="L51"/>
    </row>
    <row r="52" spans="2:12" x14ac:dyDescent="0.25">
      <c r="L52"/>
    </row>
    <row r="61" spans="2:12" x14ac:dyDescent="0.25">
      <c r="H61" s="42"/>
    </row>
  </sheetData>
  <pageMargins left="0.43" right="0.32" top="0.74" bottom="0.86" header="0.5" footer="0.5"/>
  <pageSetup orientation="landscape" horizontalDpi="4294967292" verticalDpi="300" r:id="rId1"/>
  <headerFooter alignWithMargins="0">
    <oddHeader>&amp;A</oddHeader>
    <oddFoote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83" r:id="rId4" name="Button 11">
              <controlPr defaultSize="0" print="0" autoFill="0" autoLine="0" autoPict="0" macro="[0]!toggleRI">
                <anchor moveWithCells="1" sizeWithCells="1">
                  <from>
                    <xdr:col>9</xdr:col>
                    <xdr:colOff>120650</xdr:colOff>
                    <xdr:row>15</xdr:row>
                    <xdr:rowOff>133350</xdr:rowOff>
                  </from>
                  <to>
                    <xdr:col>12</xdr:col>
                    <xdr:colOff>12700</xdr:colOff>
                    <xdr:row>19</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B30"/>
  <sheetViews>
    <sheetView workbookViewId="0"/>
  </sheetViews>
  <sheetFormatPr defaultRowHeight="12.5" x14ac:dyDescent="0.25"/>
  <cols>
    <col min="1" max="1" width="4.453125" customWidth="1"/>
    <col min="2" max="2" width="10" customWidth="1"/>
    <col min="3" max="8" width="4.7265625" customWidth="1"/>
    <col min="9" max="9" width="6" customWidth="1"/>
    <col min="10" max="10" width="5.7265625" customWidth="1"/>
    <col min="13" max="13" width="9.1796875" customWidth="1"/>
    <col min="14" max="19" width="4.54296875" customWidth="1"/>
    <col min="20" max="20" width="6" customWidth="1"/>
    <col min="21" max="21" width="5.54296875" customWidth="1"/>
  </cols>
  <sheetData>
    <row r="1" spans="2:28" ht="13" x14ac:dyDescent="0.3">
      <c r="M1" s="41" t="s">
        <v>23</v>
      </c>
    </row>
    <row r="2" spans="2:28" ht="13.5" thickBot="1" x14ac:dyDescent="0.35">
      <c r="M2" s="12" t="s">
        <v>24</v>
      </c>
      <c r="N2" s="12"/>
      <c r="O2" s="12"/>
      <c r="P2" s="12"/>
      <c r="Q2" s="12"/>
      <c r="R2" s="12"/>
      <c r="S2" s="12"/>
      <c r="T2" s="12"/>
      <c r="U2" s="12"/>
      <c r="AB2" t="s">
        <v>1</v>
      </c>
    </row>
    <row r="3" spans="2:28" ht="13.5" thickBot="1" x14ac:dyDescent="0.35">
      <c r="B3" s="12" t="s">
        <v>25</v>
      </c>
      <c r="C3" s="12"/>
      <c r="D3" s="12"/>
      <c r="E3" s="12"/>
      <c r="F3" s="12"/>
      <c r="G3" s="12"/>
      <c r="H3" s="12"/>
      <c r="M3" s="17" t="s">
        <v>3</v>
      </c>
      <c r="N3" s="18" t="s">
        <v>4</v>
      </c>
      <c r="O3" s="18" t="s">
        <v>5</v>
      </c>
      <c r="P3" s="18" t="s">
        <v>6</v>
      </c>
      <c r="Q3" s="18" t="s">
        <v>7</v>
      </c>
      <c r="R3" s="18" t="s">
        <v>8</v>
      </c>
      <c r="S3" s="18" t="s">
        <v>9</v>
      </c>
      <c r="T3" s="18" t="s">
        <v>12</v>
      </c>
      <c r="U3" s="19" t="s">
        <v>13</v>
      </c>
    </row>
    <row r="4" spans="2:28" ht="13" x14ac:dyDescent="0.3">
      <c r="B4" s="17" t="s">
        <v>3</v>
      </c>
      <c r="C4" s="18" t="s">
        <v>4</v>
      </c>
      <c r="D4" s="18" t="s">
        <v>5</v>
      </c>
      <c r="E4" s="18" t="s">
        <v>6</v>
      </c>
      <c r="F4" s="18" t="s">
        <v>7</v>
      </c>
      <c r="G4" s="18" t="s">
        <v>8</v>
      </c>
      <c r="H4" s="18" t="s">
        <v>9</v>
      </c>
      <c r="I4" s="18" t="s">
        <v>12</v>
      </c>
      <c r="J4" s="19" t="s">
        <v>13</v>
      </c>
      <c r="M4" s="20" t="s">
        <v>26</v>
      </c>
      <c r="N4" s="15">
        <v>27</v>
      </c>
      <c r="O4" s="15">
        <v>16</v>
      </c>
      <c r="P4" s="15">
        <v>25</v>
      </c>
      <c r="Q4" s="15">
        <v>22</v>
      </c>
      <c r="R4" s="15">
        <v>12</v>
      </c>
      <c r="S4" s="15">
        <v>6</v>
      </c>
      <c r="T4" s="15">
        <v>1</v>
      </c>
      <c r="U4" s="29">
        <f t="shared" ref="U4:U5" si="0">SUM(N4:T4)</f>
        <v>109</v>
      </c>
    </row>
    <row r="5" spans="2:28" ht="13.5" thickBot="1" x14ac:dyDescent="0.35">
      <c r="B5" s="20" t="s">
        <v>26</v>
      </c>
      <c r="C5" s="15">
        <v>27</v>
      </c>
      <c r="D5" s="15">
        <v>20</v>
      </c>
      <c r="E5" s="15">
        <v>26</v>
      </c>
      <c r="F5" s="15">
        <v>24</v>
      </c>
      <c r="G5" s="15">
        <v>9</v>
      </c>
      <c r="H5" s="15">
        <v>4</v>
      </c>
      <c r="I5" s="15">
        <v>0</v>
      </c>
      <c r="J5" s="29">
        <f t="shared" ref="J5:J6" si="1">SUM(C5:I5)</f>
        <v>110</v>
      </c>
      <c r="M5" s="22" t="s">
        <v>27</v>
      </c>
      <c r="N5" s="23">
        <v>2</v>
      </c>
      <c r="O5" s="23">
        <v>1</v>
      </c>
      <c r="P5" s="23">
        <v>14</v>
      </c>
      <c r="Q5" s="23">
        <v>30</v>
      </c>
      <c r="R5" s="23">
        <v>39</v>
      </c>
      <c r="S5" s="23">
        <v>22</v>
      </c>
      <c r="T5" s="23">
        <v>2</v>
      </c>
      <c r="U5" s="30">
        <f t="shared" si="0"/>
        <v>110</v>
      </c>
    </row>
    <row r="6" spans="2:28" ht="13.5" thickBot="1" x14ac:dyDescent="0.35">
      <c r="B6" s="22" t="s">
        <v>27</v>
      </c>
      <c r="C6" s="23">
        <v>6</v>
      </c>
      <c r="D6" s="23">
        <v>10</v>
      </c>
      <c r="E6" s="23">
        <v>15</v>
      </c>
      <c r="F6" s="23">
        <v>36</v>
      </c>
      <c r="G6" s="23">
        <v>26</v>
      </c>
      <c r="H6" s="23">
        <v>17</v>
      </c>
      <c r="I6" s="23">
        <v>0</v>
      </c>
      <c r="J6" s="30">
        <f t="shared" si="1"/>
        <v>110</v>
      </c>
    </row>
    <row r="7" spans="2:28" ht="13.5" thickBot="1" x14ac:dyDescent="0.35">
      <c r="M7" s="17" t="s">
        <v>3</v>
      </c>
      <c r="N7" s="18" t="s">
        <v>4</v>
      </c>
      <c r="O7" s="18" t="s">
        <v>5</v>
      </c>
      <c r="P7" s="18" t="s">
        <v>6</v>
      </c>
      <c r="Q7" s="18" t="s">
        <v>7</v>
      </c>
      <c r="R7" s="18" t="s">
        <v>8</v>
      </c>
      <c r="S7" s="18" t="s">
        <v>9</v>
      </c>
      <c r="T7" s="18" t="s">
        <v>12</v>
      </c>
      <c r="U7" s="19" t="s">
        <v>13</v>
      </c>
    </row>
    <row r="8" spans="2:28" ht="13" x14ac:dyDescent="0.3">
      <c r="B8" s="17" t="s">
        <v>3</v>
      </c>
      <c r="C8" s="18" t="s">
        <v>4</v>
      </c>
      <c r="D8" s="18" t="s">
        <v>5</v>
      </c>
      <c r="E8" s="18" t="s">
        <v>6</v>
      </c>
      <c r="F8" s="18" t="s">
        <v>7</v>
      </c>
      <c r="G8" s="18" t="s">
        <v>8</v>
      </c>
      <c r="H8" s="18" t="s">
        <v>9</v>
      </c>
      <c r="I8" s="18" t="s">
        <v>12</v>
      </c>
      <c r="J8" s="19" t="s">
        <v>13</v>
      </c>
      <c r="M8" s="20" t="s">
        <v>26</v>
      </c>
      <c r="N8" s="37">
        <f t="shared" ref="N8:U8" si="2">N4/109</f>
        <v>0.24770642201834864</v>
      </c>
      <c r="O8" s="37">
        <f t="shared" si="2"/>
        <v>0.14678899082568808</v>
      </c>
      <c r="P8" s="37">
        <f t="shared" si="2"/>
        <v>0.22935779816513763</v>
      </c>
      <c r="Q8" s="37">
        <f t="shared" si="2"/>
        <v>0.20183486238532111</v>
      </c>
      <c r="R8" s="37">
        <f t="shared" si="2"/>
        <v>0.11009174311926606</v>
      </c>
      <c r="S8" s="37">
        <f t="shared" si="2"/>
        <v>5.5045871559633031E-2</v>
      </c>
      <c r="T8" s="37">
        <f t="shared" si="2"/>
        <v>9.1743119266055051E-3</v>
      </c>
      <c r="U8" s="38">
        <f t="shared" si="2"/>
        <v>1</v>
      </c>
    </row>
    <row r="9" spans="2:28" ht="13.5" thickBot="1" x14ac:dyDescent="0.35">
      <c r="B9" s="20" t="s">
        <v>26</v>
      </c>
      <c r="C9" s="25">
        <f t="shared" ref="C9:J10" si="3">C5/110</f>
        <v>0.24545454545454545</v>
      </c>
      <c r="D9" s="25">
        <f t="shared" si="3"/>
        <v>0.18181818181818182</v>
      </c>
      <c r="E9" s="25">
        <f t="shared" si="3"/>
        <v>0.23636363636363636</v>
      </c>
      <c r="F9" s="25">
        <f t="shared" si="3"/>
        <v>0.21818181818181817</v>
      </c>
      <c r="G9" s="25">
        <f t="shared" si="3"/>
        <v>8.1818181818181818E-2</v>
      </c>
      <c r="H9" s="25">
        <f t="shared" si="3"/>
        <v>3.6363636363636362E-2</v>
      </c>
      <c r="I9" s="25">
        <f t="shared" si="3"/>
        <v>0</v>
      </c>
      <c r="J9" s="31">
        <f t="shared" si="3"/>
        <v>1</v>
      </c>
      <c r="M9" s="22" t="s">
        <v>27</v>
      </c>
      <c r="N9" s="39">
        <f t="shared" ref="N9:U9" si="4">N5/110</f>
        <v>1.8181818181818181E-2</v>
      </c>
      <c r="O9" s="39">
        <f t="shared" si="4"/>
        <v>9.0909090909090905E-3</v>
      </c>
      <c r="P9" s="39">
        <f t="shared" si="4"/>
        <v>0.12727272727272726</v>
      </c>
      <c r="Q9" s="39">
        <f t="shared" si="4"/>
        <v>0.27272727272727271</v>
      </c>
      <c r="R9" s="39">
        <f t="shared" si="4"/>
        <v>0.35454545454545455</v>
      </c>
      <c r="S9" s="39">
        <f t="shared" si="4"/>
        <v>0.2</v>
      </c>
      <c r="T9" s="39">
        <f t="shared" si="4"/>
        <v>1.8181818181818181E-2</v>
      </c>
      <c r="U9" s="40">
        <f t="shared" si="4"/>
        <v>1</v>
      </c>
    </row>
    <row r="10" spans="2:28" ht="13.5" thickBot="1" x14ac:dyDescent="0.35">
      <c r="B10" s="22" t="s">
        <v>27</v>
      </c>
      <c r="C10" s="27">
        <f t="shared" si="3"/>
        <v>5.4545454545454543E-2</v>
      </c>
      <c r="D10" s="27">
        <f t="shared" si="3"/>
        <v>9.0909090909090912E-2</v>
      </c>
      <c r="E10" s="27">
        <f t="shared" si="3"/>
        <v>0.13636363636363635</v>
      </c>
      <c r="F10" s="27">
        <f t="shared" si="3"/>
        <v>0.32727272727272727</v>
      </c>
      <c r="G10" s="27">
        <f t="shared" si="3"/>
        <v>0.23636363636363636</v>
      </c>
      <c r="H10" s="27">
        <f t="shared" si="3"/>
        <v>0.15454545454545454</v>
      </c>
      <c r="I10" s="27">
        <f t="shared" si="3"/>
        <v>0</v>
      </c>
      <c r="J10" s="32">
        <f t="shared" si="3"/>
        <v>1</v>
      </c>
    </row>
    <row r="21" spans="2:21" ht="13" thickBot="1" x14ac:dyDescent="0.3">
      <c r="B21" t="s">
        <v>28</v>
      </c>
    </row>
    <row r="22" spans="2:21" ht="13" x14ac:dyDescent="0.3">
      <c r="B22" s="17" t="s">
        <v>3</v>
      </c>
      <c r="C22" s="18" t="s">
        <v>4</v>
      </c>
      <c r="D22" s="18" t="s">
        <v>5</v>
      </c>
      <c r="E22" s="18" t="s">
        <v>6</v>
      </c>
      <c r="F22" s="18" t="s">
        <v>7</v>
      </c>
      <c r="G22" s="18" t="s">
        <v>8</v>
      </c>
      <c r="H22" s="18" t="s">
        <v>9</v>
      </c>
      <c r="I22" s="18" t="s">
        <v>12</v>
      </c>
      <c r="J22" s="19" t="s">
        <v>13</v>
      </c>
      <c r="M22" s="17" t="s">
        <v>3</v>
      </c>
      <c r="N22" s="18" t="s">
        <v>4</v>
      </c>
      <c r="O22" s="18" t="s">
        <v>5</v>
      </c>
      <c r="P22" s="18" t="s">
        <v>6</v>
      </c>
      <c r="Q22" s="18" t="s">
        <v>7</v>
      </c>
      <c r="R22" s="18" t="s">
        <v>8</v>
      </c>
      <c r="S22" s="18" t="s">
        <v>9</v>
      </c>
      <c r="T22" s="18" t="s">
        <v>12</v>
      </c>
      <c r="U22" s="19" t="s">
        <v>13</v>
      </c>
    </row>
    <row r="23" spans="2:21" ht="13" x14ac:dyDescent="0.3">
      <c r="B23" s="20" t="s">
        <v>26</v>
      </c>
      <c r="C23" s="15">
        <v>23</v>
      </c>
      <c r="D23" s="15">
        <v>19</v>
      </c>
      <c r="E23" s="15">
        <v>29</v>
      </c>
      <c r="F23" s="15">
        <v>22</v>
      </c>
      <c r="G23" s="15">
        <v>13</v>
      </c>
      <c r="H23" s="15">
        <v>3</v>
      </c>
      <c r="I23" s="15">
        <v>1</v>
      </c>
      <c r="J23" s="29">
        <f t="shared" ref="J23:J24" si="5">SUM(C23:I23)</f>
        <v>110</v>
      </c>
      <c r="M23" s="20" t="s">
        <v>26</v>
      </c>
      <c r="N23" s="15">
        <v>23</v>
      </c>
      <c r="O23" s="15">
        <v>28</v>
      </c>
      <c r="P23" s="15">
        <v>27</v>
      </c>
      <c r="Q23" s="15">
        <v>22</v>
      </c>
      <c r="R23" s="15">
        <v>6</v>
      </c>
      <c r="S23" s="15">
        <v>3</v>
      </c>
      <c r="T23" s="15">
        <v>1</v>
      </c>
      <c r="U23" s="29">
        <f t="shared" ref="U23:U24" si="6">SUM(N23:T23)</f>
        <v>110</v>
      </c>
    </row>
    <row r="24" spans="2:21" ht="13.5" thickBot="1" x14ac:dyDescent="0.35">
      <c r="B24" s="22" t="s">
        <v>27</v>
      </c>
      <c r="C24" s="23">
        <v>2</v>
      </c>
      <c r="D24" s="23">
        <v>4</v>
      </c>
      <c r="E24" s="23">
        <v>11</v>
      </c>
      <c r="F24" s="23">
        <v>35</v>
      </c>
      <c r="G24" s="23">
        <v>30</v>
      </c>
      <c r="H24" s="23">
        <v>25</v>
      </c>
      <c r="I24" s="23">
        <v>2</v>
      </c>
      <c r="J24" s="30">
        <f t="shared" si="5"/>
        <v>109</v>
      </c>
      <c r="M24" s="22" t="s">
        <v>27</v>
      </c>
      <c r="N24" s="23">
        <v>1</v>
      </c>
      <c r="O24" s="23">
        <v>4</v>
      </c>
      <c r="P24" s="23">
        <v>4</v>
      </c>
      <c r="Q24" s="23">
        <v>30</v>
      </c>
      <c r="R24" s="23">
        <v>47</v>
      </c>
      <c r="S24" s="23">
        <v>24</v>
      </c>
      <c r="T24" s="23">
        <v>0</v>
      </c>
      <c r="U24" s="30">
        <f t="shared" si="6"/>
        <v>110</v>
      </c>
    </row>
    <row r="25" spans="2:21" ht="13.5" thickBot="1" x14ac:dyDescent="0.35">
      <c r="B25" s="20" t="s">
        <v>29</v>
      </c>
      <c r="C25" s="15">
        <v>27</v>
      </c>
      <c r="D25" s="15">
        <v>16</v>
      </c>
      <c r="E25" s="15">
        <v>25</v>
      </c>
      <c r="F25" s="15">
        <v>22</v>
      </c>
      <c r="G25" s="15">
        <v>12</v>
      </c>
      <c r="H25" s="15">
        <v>7</v>
      </c>
      <c r="I25" s="16">
        <v>1</v>
      </c>
      <c r="J25" s="29"/>
    </row>
    <row r="26" spans="2:21" ht="13" x14ac:dyDescent="0.3">
      <c r="B26" s="20" t="s">
        <v>30</v>
      </c>
      <c r="C26" s="15">
        <v>2</v>
      </c>
      <c r="D26" s="15">
        <v>1</v>
      </c>
      <c r="E26" s="15">
        <v>14</v>
      </c>
      <c r="F26" s="15">
        <v>30</v>
      </c>
      <c r="G26" s="15">
        <v>39</v>
      </c>
      <c r="H26" s="15">
        <v>24</v>
      </c>
      <c r="I26" s="16">
        <v>0</v>
      </c>
      <c r="J26" s="29"/>
      <c r="M26" s="17" t="s">
        <v>3</v>
      </c>
      <c r="N26" s="18" t="s">
        <v>4</v>
      </c>
      <c r="O26" s="18" t="s">
        <v>5</v>
      </c>
      <c r="P26" s="18" t="s">
        <v>6</v>
      </c>
      <c r="Q26" s="18" t="s">
        <v>7</v>
      </c>
      <c r="R26" s="18" t="s">
        <v>8</v>
      </c>
      <c r="S26" s="18" t="s">
        <v>9</v>
      </c>
      <c r="T26" s="18" t="s">
        <v>12</v>
      </c>
      <c r="U26" s="19" t="s">
        <v>13</v>
      </c>
    </row>
    <row r="27" spans="2:21" ht="14.25" customHeight="1" thickBot="1" x14ac:dyDescent="0.35">
      <c r="B27" s="13"/>
      <c r="C27" s="13"/>
      <c r="D27" s="13"/>
      <c r="E27" s="13"/>
      <c r="F27" s="13"/>
      <c r="G27" s="13"/>
      <c r="H27" s="13"/>
      <c r="I27" s="13"/>
      <c r="J27" s="13"/>
      <c r="M27" s="20" t="s">
        <v>26</v>
      </c>
      <c r="N27" s="25">
        <f t="shared" ref="N27:U28" si="7">N23/110</f>
        <v>0.20909090909090908</v>
      </c>
      <c r="O27" s="25">
        <f t="shared" si="7"/>
        <v>0.25454545454545452</v>
      </c>
      <c r="P27" s="25">
        <f t="shared" si="7"/>
        <v>0.24545454545454545</v>
      </c>
      <c r="Q27" s="25">
        <f t="shared" si="7"/>
        <v>0.2</v>
      </c>
      <c r="R27" s="25">
        <f t="shared" si="7"/>
        <v>5.4545454545454543E-2</v>
      </c>
      <c r="S27" s="25">
        <f t="shared" si="7"/>
        <v>2.7272727272727271E-2</v>
      </c>
      <c r="T27" s="25">
        <f t="shared" si="7"/>
        <v>9.0909090909090905E-3</v>
      </c>
      <c r="U27" s="31">
        <f t="shared" si="7"/>
        <v>1</v>
      </c>
    </row>
    <row r="28" spans="2:21" ht="13.5" thickBot="1" x14ac:dyDescent="0.35">
      <c r="B28" s="17" t="s">
        <v>3</v>
      </c>
      <c r="C28" s="18" t="s">
        <v>4</v>
      </c>
      <c r="D28" s="18" t="s">
        <v>5</v>
      </c>
      <c r="E28" s="18" t="s">
        <v>6</v>
      </c>
      <c r="F28" s="18" t="s">
        <v>7</v>
      </c>
      <c r="G28" s="18" t="s">
        <v>8</v>
      </c>
      <c r="H28" s="18" t="s">
        <v>9</v>
      </c>
      <c r="I28" s="18" t="s">
        <v>12</v>
      </c>
      <c r="J28" s="19" t="s">
        <v>13</v>
      </c>
      <c r="M28" s="22" t="s">
        <v>27</v>
      </c>
      <c r="N28" s="27">
        <f t="shared" si="7"/>
        <v>9.0909090909090905E-3</v>
      </c>
      <c r="O28" s="27">
        <f t="shared" si="7"/>
        <v>3.6363636363636362E-2</v>
      </c>
      <c r="P28" s="27">
        <f t="shared" si="7"/>
        <v>3.6363636363636362E-2</v>
      </c>
      <c r="Q28" s="27">
        <f t="shared" si="7"/>
        <v>0.27272727272727271</v>
      </c>
      <c r="R28" s="27">
        <f t="shared" si="7"/>
        <v>0.42727272727272725</v>
      </c>
      <c r="S28" s="27">
        <f t="shared" si="7"/>
        <v>0.21818181818181817</v>
      </c>
      <c r="T28" s="27">
        <f t="shared" si="7"/>
        <v>0</v>
      </c>
      <c r="U28" s="32">
        <f t="shared" si="7"/>
        <v>1</v>
      </c>
    </row>
    <row r="29" spans="2:21" ht="13" x14ac:dyDescent="0.3">
      <c r="B29" s="20" t="s">
        <v>26</v>
      </c>
      <c r="C29" s="25">
        <f t="shared" ref="C29:J29" si="8">C23/110</f>
        <v>0.20909090909090908</v>
      </c>
      <c r="D29" s="25">
        <f t="shared" si="8"/>
        <v>0.17272727272727273</v>
      </c>
      <c r="E29" s="25">
        <f t="shared" si="8"/>
        <v>0.26363636363636361</v>
      </c>
      <c r="F29" s="25">
        <f t="shared" si="8"/>
        <v>0.2</v>
      </c>
      <c r="G29" s="25">
        <f t="shared" si="8"/>
        <v>0.11818181818181818</v>
      </c>
      <c r="H29" s="25">
        <f t="shared" si="8"/>
        <v>2.7272727272727271E-2</v>
      </c>
      <c r="I29" s="25">
        <f t="shared" si="8"/>
        <v>9.0909090909090905E-3</v>
      </c>
      <c r="J29" s="25">
        <f t="shared" si="8"/>
        <v>1</v>
      </c>
    </row>
    <row r="30" spans="2:21" ht="13.5" thickBot="1" x14ac:dyDescent="0.35">
      <c r="B30" s="22" t="s">
        <v>27</v>
      </c>
      <c r="C30" s="25">
        <f t="shared" ref="C30:J30" si="9">C24/109</f>
        <v>1.834862385321101E-2</v>
      </c>
      <c r="D30" s="25">
        <f t="shared" si="9"/>
        <v>3.669724770642202E-2</v>
      </c>
      <c r="E30" s="25">
        <f t="shared" si="9"/>
        <v>0.10091743119266056</v>
      </c>
      <c r="F30" s="25">
        <f t="shared" si="9"/>
        <v>0.32110091743119268</v>
      </c>
      <c r="G30" s="25">
        <f t="shared" si="9"/>
        <v>0.27522935779816515</v>
      </c>
      <c r="H30" s="25">
        <f t="shared" si="9"/>
        <v>0.22935779816513763</v>
      </c>
      <c r="I30" s="25">
        <f t="shared" si="9"/>
        <v>1.834862385321101E-2</v>
      </c>
      <c r="J30" s="25">
        <f t="shared" si="9"/>
        <v>1</v>
      </c>
    </row>
  </sheetData>
  <pageMargins left="0.56000000000000005" right="0.34" top="0.8" bottom="0.79" header="0.5" footer="0.5"/>
  <pageSetup orientation="landscape" horizontalDpi="4294967292" verticalDpi="300" r:id="rId1"/>
  <headerFooter alignWithMargins="0">
    <oddHeader>&amp;A</oddHeader>
    <oddFoote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103" r:id="rId4" name="Button 7">
              <controlPr defaultSize="0" print="0" autoFill="0" autoLine="0" autoPict="0" macro="[0]!toggleBA">
                <anchor moveWithCells="1" sizeWithCells="1">
                  <from>
                    <xdr:col>9</xdr:col>
                    <xdr:colOff>152400</xdr:colOff>
                    <xdr:row>15</xdr:row>
                    <xdr:rowOff>120650</xdr:rowOff>
                  </from>
                  <to>
                    <xdr:col>11</xdr:col>
                    <xdr:colOff>88900</xdr:colOff>
                    <xdr:row>19</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buttons</vt:lpstr>
      <vt:lpstr>Intro</vt:lpstr>
      <vt:lpstr>Rel-Impact</vt:lpstr>
      <vt:lpstr>Before&amp;After</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Company>LEAD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San Jose State Chem 30A Fall `95</dc:title>
  <dc:subject>end-of semester survey</dc:subject>
  <dc:creator>STEVE KOSCIUK</dc:creator>
  <cp:lastModifiedBy>Carina Negreanu</cp:lastModifiedBy>
  <cp:lastPrinted>1998-02-19T22:09:23Z</cp:lastPrinted>
  <dcterms:created xsi:type="dcterms:W3CDTF">1998-02-19T16:35:56Z</dcterms:created>
  <dcterms:modified xsi:type="dcterms:W3CDTF">2020-01-27T12:40:32Z</dcterms:modified>
</cp:coreProperties>
</file>